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U" sheetId="1" r:id="rId4"/>
    <sheet state="visible" name="ORÇAMENTO" sheetId="2" r:id="rId5"/>
    <sheet state="visible" name="DADOS" sheetId="3" r:id="rId6"/>
    <sheet state="visible" name="ESTOQUE" sheetId="4" r:id="rId7"/>
    <sheet state="visible" name="LANÇAMENTOS" sheetId="5" r:id="rId8"/>
    <sheet state="visible" name="PEDIDO" sheetId="6" r:id="rId9"/>
    <sheet state="visible" name="PROD. SITE" sheetId="7" r:id="rId10"/>
  </sheets>
  <definedNames>
    <definedName hidden="1" localSheetId="2" name="_xlnm._FilterDatabase">DADOS!$C$1:$I$999</definedName>
    <definedName hidden="1" localSheetId="3" name="_xlnm._FilterDatabase">ESTOQUE!$D$1:$J$80</definedName>
    <definedName hidden="1" localSheetId="4" name="_xlnm._FilterDatabase">'LANÇAMENTOS'!$D$6:$H$168</definedName>
    <definedName hidden="1" localSheetId="6" name="_xlnm._FilterDatabase">'PROD. SITE'!$A$1:$BA$257</definedName>
  </definedNames>
  <calcPr/>
</workbook>
</file>

<file path=xl/sharedStrings.xml><?xml version="1.0" encoding="utf-8"?>
<sst xmlns="http://schemas.openxmlformats.org/spreadsheetml/2006/main" count="4369" uniqueCount="1444">
  <si>
    <t>CUSTO TOTAL</t>
  </si>
  <si>
    <t xml:space="preserve">PREÇO SUGERIDO </t>
  </si>
  <si>
    <t xml:space="preserve">PREÇO A TRABALHAR </t>
  </si>
  <si>
    <t>PORCENTAGEM</t>
  </si>
  <si>
    <t>MARKUP MEDIO</t>
  </si>
  <si>
    <t>MARCA</t>
  </si>
  <si>
    <t>PRODUTO</t>
  </si>
  <si>
    <t>QUANTIDADE</t>
  </si>
  <si>
    <t>CUSTO</t>
  </si>
  <si>
    <t>PREÇO SUGERIDO</t>
  </si>
  <si>
    <t>MARKUP</t>
  </si>
  <si>
    <t>PREÇO A TRABALHAR</t>
  </si>
  <si>
    <t>PRODUTOS</t>
  </si>
  <si>
    <t>%</t>
  </si>
  <si>
    <t xml:space="preserve">CUSTO </t>
  </si>
  <si>
    <t>MARGEM</t>
  </si>
  <si>
    <t>3 TECLAS AVULSAS CE</t>
  </si>
  <si>
    <t>CONTROLART</t>
  </si>
  <si>
    <t>3 TECLAS AVULSAS SE</t>
  </si>
  <si>
    <t>4 PORT</t>
  </si>
  <si>
    <t>4 TECLAS AVULSAS CE</t>
  </si>
  <si>
    <t>4 TECLAS AVULSAS SE</t>
  </si>
  <si>
    <t>6 TECLAS AVULSAS CE</t>
  </si>
  <si>
    <t>6 TECLAS AVULSAS SE</t>
  </si>
  <si>
    <t>7 PORT</t>
  </si>
  <si>
    <t>7 PORT SERIAL</t>
  </si>
  <si>
    <t>EMISSOR IR DUPLO</t>
  </si>
  <si>
    <t>EMISSOR IR SIMPLES</t>
  </si>
  <si>
    <t>FONTE MDR SÉRIE 60</t>
  </si>
  <si>
    <t>INTERFACE 433</t>
  </si>
  <si>
    <t>IR BLASTER 360</t>
  </si>
  <si>
    <t>IR BLASTER 360 ACRILICO</t>
  </si>
  <si>
    <t>IVOLV RELÉ  6 TECLAS CE</t>
  </si>
  <si>
    <t>IVOLV RELÉ  6 TECLAS SE</t>
  </si>
  <si>
    <t>IVOLV RELÉ 3 TECLAS CE</t>
  </si>
  <si>
    <t>IVOLV RELÉ 3 TECLAS SE</t>
  </si>
  <si>
    <t>IVOLV RELÉ 4 TECLAS CE</t>
  </si>
  <si>
    <t>IVOLV RELÉ 4 TECLAS SE</t>
  </si>
  <si>
    <t>IVOLVE PULSE  3 TECLAS SE</t>
  </si>
  <si>
    <t>IVOLVE PULSE  BACKLIGHT 3 TECLAS SE</t>
  </si>
  <si>
    <t>IVOLVE PULSE 3 TECLAS CE</t>
  </si>
  <si>
    <t>IVOLVE PULSE 4 TECLAS CE</t>
  </si>
  <si>
    <t>IVOLVE PULSE 4 TECLAS SE</t>
  </si>
  <si>
    <t>IVOLVE PULSE 6 TECLAS CE</t>
  </si>
  <si>
    <t>IVOLVE PULSE 6 TECLAS SE</t>
  </si>
  <si>
    <t>IVOLVE PULSE BACKLIGHT 3 TECLAS CE</t>
  </si>
  <si>
    <t>IVOLVE PULSE BACKLIGHT 4 TECLAS CE</t>
  </si>
  <si>
    <t>IVOLVE PULSE BACKLIGHT 4 TECLAS SE</t>
  </si>
  <si>
    <t>IVOLVE PULSE BACKLIGHT 6 TECLAS CE</t>
  </si>
  <si>
    <t>IVOLVE PULSE BACKLIGHT 6 TECLAS SE</t>
  </si>
  <si>
    <t>MÓDULO DIMMER CABEADO</t>
  </si>
  <si>
    <t>MÓDULO MOTOR</t>
  </si>
  <si>
    <t>MÓDULO RELÉ</t>
  </si>
  <si>
    <t>MÓDULO RELÉ CABEADO</t>
  </si>
  <si>
    <t>MÓDULO RGBW</t>
  </si>
  <si>
    <t xml:space="preserve">NEW DIMMER </t>
  </si>
  <si>
    <t>RFtoIR</t>
  </si>
  <si>
    <t>RFtoIR com SPOT</t>
  </si>
  <si>
    <t>RFtoIR com SPOT ACRILICO</t>
  </si>
  <si>
    <t>SPOT IR 360</t>
  </si>
  <si>
    <t>SPOT IR 360 ACRILICO</t>
  </si>
  <si>
    <t>XPORT PRÓ</t>
  </si>
  <si>
    <t>FPC1500</t>
  </si>
  <si>
    <t>ENGEBLU</t>
  </si>
  <si>
    <t>FPC1900</t>
  </si>
  <si>
    <t>FP1900-CX</t>
  </si>
  <si>
    <t>FP1900-ATX</t>
  </si>
  <si>
    <t>FPD1500</t>
  </si>
  <si>
    <t>FPD2200</t>
  </si>
  <si>
    <t>FP2200-DX</t>
  </si>
  <si>
    <t>FPT1000</t>
  </si>
  <si>
    <t>FPT2000</t>
  </si>
  <si>
    <t>FP2000-ATX</t>
  </si>
  <si>
    <t>FP1000-ITX</t>
  </si>
  <si>
    <t>FP3300-ATX</t>
  </si>
  <si>
    <t>FPA3300</t>
  </si>
  <si>
    <t>FPI3300</t>
  </si>
  <si>
    <t>ANTENA PROTECT DZ9101</t>
  </si>
  <si>
    <t>CABLE PROTECT CLO302</t>
  </si>
  <si>
    <t>SUPORTE PARA RACK</t>
  </si>
  <si>
    <t>JBL</t>
  </si>
  <si>
    <t>CATEGORIA</t>
  </si>
  <si>
    <t>SALDO</t>
  </si>
  <si>
    <t>ENTRADA</t>
  </si>
  <si>
    <t>SAIDA</t>
  </si>
  <si>
    <t>ACESSÓRIO</t>
  </si>
  <si>
    <t>ANTENNA  PROTECT</t>
  </si>
  <si>
    <t>ATUALIZADO EM 10/04/2025</t>
  </si>
  <si>
    <t>CABLE PROTECT</t>
  </si>
  <si>
    <t>KIT PASSADOR DE FIO EXPANSÍVEL</t>
  </si>
  <si>
    <t>MICROFONE PARA CALIBRAÇÃO</t>
  </si>
  <si>
    <t>ABRAÇADEIRAS</t>
  </si>
  <si>
    <t>EMENDA HDMI RETO</t>
  </si>
  <si>
    <t>EMENDA HDMI EM L</t>
  </si>
  <si>
    <t>RÉGUA 5 TOMADAS COM LIGA</t>
  </si>
  <si>
    <t>AMPLIFICADOR</t>
  </si>
  <si>
    <t>HAYONIK APLIFICADOR 450</t>
  </si>
  <si>
    <t>APARELHO</t>
  </si>
  <si>
    <t>HDMI ARC</t>
  </si>
  <si>
    <t>SWITCH HIKVISION 8P 1GB</t>
  </si>
  <si>
    <t>SWITCH HIKVISION 5P 1GB</t>
  </si>
  <si>
    <t>SWITCH MERCURYS 8P FAST</t>
  </si>
  <si>
    <t>SWITCH MERCURYS 5P FAST</t>
  </si>
  <si>
    <t>CABO</t>
  </si>
  <si>
    <t>CABO ALARME 2P X 24  RL</t>
  </si>
  <si>
    <t>CABO COAXIAL CX</t>
  </si>
  <si>
    <t>CABO DE SOM 0,75mm RL</t>
  </si>
  <si>
    <t>CABO DE SOM 1,5mm RL</t>
  </si>
  <si>
    <t>CABO DE SOM 2,5mm RL</t>
  </si>
  <si>
    <t>CAT5 (cx)</t>
  </si>
  <si>
    <t>CAT6 (cx)</t>
  </si>
  <si>
    <t>HDMI PIX 0,5m UND</t>
  </si>
  <si>
    <t xml:space="preserve">HDMI PIX 1,5m </t>
  </si>
  <si>
    <t xml:space="preserve">HDMI PIX 2m </t>
  </si>
  <si>
    <t xml:space="preserve">HDMI PIX 3m </t>
  </si>
  <si>
    <t xml:space="preserve">HDMI PIX 5m </t>
  </si>
  <si>
    <t xml:space="preserve">HDMI STORM 0,5m </t>
  </si>
  <si>
    <t xml:space="preserve">HDMI STORM 1,5m </t>
  </si>
  <si>
    <t xml:space="preserve">HDMI STORM 1m </t>
  </si>
  <si>
    <t xml:space="preserve">HDMI STORM 2m </t>
  </si>
  <si>
    <t xml:space="preserve">HDMI STORM 3m </t>
  </si>
  <si>
    <t xml:space="preserve">HDMI STORM 5m </t>
  </si>
  <si>
    <t>RCA Y 1 MACHO + 2 FÊMES 90 GRAUS</t>
  </si>
  <si>
    <t>TOSLINK PIX 10m</t>
  </si>
  <si>
    <t>TOSLINK PIX 1m</t>
  </si>
  <si>
    <t>TOSLINK PIX 2m</t>
  </si>
  <si>
    <t>TOSLINK PIX 3m</t>
  </si>
  <si>
    <t>TOSLINK PIX 5m</t>
  </si>
  <si>
    <t>CABO 4P X 24 300M</t>
  </si>
  <si>
    <t>RCA STORM 5M</t>
  </si>
  <si>
    <t>RCA STORM 3M</t>
  </si>
  <si>
    <t>RCA STORM 1M</t>
  </si>
  <si>
    <t>TOSLINK DMD 1,5M</t>
  </si>
  <si>
    <t>TOSLINK DMD 3M</t>
  </si>
  <si>
    <t>TOSLINK DMD SPECIAL 1,5M</t>
  </si>
  <si>
    <t>TOSLINK DMD SPECIAL 3M</t>
  </si>
  <si>
    <t>FONTE 12V 3A</t>
  </si>
  <si>
    <t xml:space="preserve">CABO </t>
  </si>
  <si>
    <t>RCA SUMAY 1,8M</t>
  </si>
  <si>
    <t>RCA SUMAY 1,2M</t>
  </si>
  <si>
    <t>CAIXA DE SOM</t>
  </si>
  <si>
    <t xml:space="preserve">JBL CI6S PLUS </t>
  </si>
  <si>
    <t>JBL CI6SA</t>
  </si>
  <si>
    <t>JBL CI6SA PLUS</t>
  </si>
  <si>
    <t>JBL CI8P</t>
  </si>
  <si>
    <t>JBL CI8S</t>
  </si>
  <si>
    <t>JBL CI8SA</t>
  </si>
  <si>
    <t>JBL STAGE 260C</t>
  </si>
  <si>
    <t>JBL STAGE 260CSA</t>
  </si>
  <si>
    <t>JBL STAGE XD-6</t>
  </si>
  <si>
    <t>JBL SUBWOOFER 200P</t>
  </si>
  <si>
    <t>JBL SUBWOOFER A100P</t>
  </si>
  <si>
    <t>SUMAY 100W</t>
  </si>
  <si>
    <t>SUMAY 80W</t>
  </si>
  <si>
    <t>HAYONIK CS 630 PLUS BRANCA</t>
  </si>
  <si>
    <t>HAYONIK CS 630 PLUS PRETA</t>
  </si>
  <si>
    <t>CONDICIONADOR DE ENERGIA</t>
  </si>
  <si>
    <t>FullProtect FPT1000</t>
  </si>
  <si>
    <t>CONECTOR</t>
  </si>
  <si>
    <t>CONECTOR BANANA</t>
  </si>
  <si>
    <t>CONECTOR RCA</t>
  </si>
  <si>
    <t>CONECTOR RJ45</t>
  </si>
  <si>
    <t>RECEIVER</t>
  </si>
  <si>
    <t xml:space="preserve">JBLMA510BLKBR </t>
  </si>
  <si>
    <t>JBLMA7100HP</t>
  </si>
  <si>
    <t>DENON S760H</t>
  </si>
  <si>
    <t>SUPORTE</t>
  </si>
  <si>
    <t>SUPORTE TV 32" - 86"</t>
  </si>
  <si>
    <t>SUPORTE TV 37" - 70"</t>
  </si>
  <si>
    <t xml:space="preserve">SUPORTE TV PINO 14" A 84" </t>
  </si>
  <si>
    <t>DATA</t>
  </si>
  <si>
    <t xml:space="preserve">SITUAÇÃO </t>
  </si>
  <si>
    <t>TIPO</t>
  </si>
  <si>
    <t>CLIENTE LOJA</t>
  </si>
  <si>
    <t>ACERTO ESTOQUE</t>
  </si>
  <si>
    <t xml:space="preserve">ACERTO ESTOQUE </t>
  </si>
  <si>
    <t>COMPRA</t>
  </si>
  <si>
    <t>CLIENTE ILHA DE NANTES</t>
  </si>
  <si>
    <t>KANGOO</t>
  </si>
  <si>
    <t>CLIENTE BOMBINHAS</t>
  </si>
  <si>
    <t>CLIENTE MARCOS</t>
  </si>
  <si>
    <t xml:space="preserve">HDMI PIX 0,5m </t>
  </si>
  <si>
    <t>VENDA ML</t>
  </si>
  <si>
    <t>IRMÃO ELAINE</t>
  </si>
  <si>
    <t>CLIENTE</t>
  </si>
  <si>
    <t xml:space="preserve">ACERTO DE ESTOQUE </t>
  </si>
  <si>
    <t>ACERTO DE ESTOQUE</t>
  </si>
  <si>
    <t>LIA</t>
  </si>
  <si>
    <t>FERNANDO</t>
  </si>
  <si>
    <t>kangu</t>
  </si>
  <si>
    <t>AP 2402 OMA</t>
  </si>
  <si>
    <t>CLIENTE(ALAMEDA)</t>
  </si>
  <si>
    <t>ANDRE GASPAR</t>
  </si>
  <si>
    <t>SITE</t>
  </si>
  <si>
    <t>BIOGYM</t>
  </si>
  <si>
    <t>CABO ALARME 2PX0,5  RL</t>
  </si>
  <si>
    <t>CLIENTE (ANDRÉ)</t>
  </si>
  <si>
    <t>TERMOSTATO</t>
  </si>
  <si>
    <t>NOME COMPLETO:</t>
  </si>
  <si>
    <t>ENDEREÇO:</t>
  </si>
  <si>
    <t>TELEFONE:</t>
  </si>
  <si>
    <t>EMAIL:</t>
  </si>
  <si>
    <t>PEDIDO</t>
  </si>
  <si>
    <t>PREÇO UNITÁRIO</t>
  </si>
  <si>
    <t>TOTAL</t>
  </si>
  <si>
    <t>Par de Caixa Som Ambiente JBL C321B 30W Branca</t>
  </si>
  <si>
    <t>Caixa Acústica Hayonik HSP-450IB Indoor Branca</t>
  </si>
  <si>
    <t>INVESTIMENTO TOTAL</t>
  </si>
  <si>
    <t>Dados Bancarios</t>
  </si>
  <si>
    <t>PIX CNPJ: 13.744.082/0001-20</t>
  </si>
  <si>
    <t>AJUSTE FINO AUTOMAÇÃO RESIDENCIAL</t>
  </si>
  <si>
    <t>Rua Joinville, 36 | Vila Nova | Blumenau/SC</t>
  </si>
  <si>
    <t>(47) 3042 - 3781 | (47) 99139 - 6883</t>
  </si>
  <si>
    <t>www.ajustefinoht.com.br</t>
  </si>
  <si>
    <t>nome</t>
  </si>
  <si>
    <t>estoque-quantidade</t>
  </si>
  <si>
    <t>estoque-gerenciado</t>
  </si>
  <si>
    <t>estoque-situacao-em-estoque</t>
  </si>
  <si>
    <t>estoque-situacao-sem-estoque</t>
  </si>
  <si>
    <t>ativo</t>
  </si>
  <si>
    <t>usado</t>
  </si>
  <si>
    <t>id</t>
  </si>
  <si>
    <t>tipo</t>
  </si>
  <si>
    <t>sku-pai</t>
  </si>
  <si>
    <t>sku</t>
  </si>
  <si>
    <t>destaque</t>
  </si>
  <si>
    <t>ncm</t>
  </si>
  <si>
    <t>gtin</t>
  </si>
  <si>
    <t>mpn</t>
  </si>
  <si>
    <t>seo-tag-title</t>
  </si>
  <si>
    <t>seo-tag-description</t>
  </si>
  <si>
    <t>descricao-completa</t>
  </si>
  <si>
    <t>url-video-youtube</t>
  </si>
  <si>
    <t>preco-sob-consulta</t>
  </si>
  <si>
    <t>preco-custo</t>
  </si>
  <si>
    <t>preco-cheio</t>
  </si>
  <si>
    <t>preco-promocional</t>
  </si>
  <si>
    <t>marca</t>
  </si>
  <si>
    <t>peso-em-kg</t>
  </si>
  <si>
    <t>altura-em-cm</t>
  </si>
  <si>
    <t>largura-em-cm</t>
  </si>
  <si>
    <t>comprimento-em-cm</t>
  </si>
  <si>
    <t>categoria-nome-nivel-1</t>
  </si>
  <si>
    <t>categoria-nome-nivel-2</t>
  </si>
  <si>
    <t>categoria-nome-nivel-3</t>
  </si>
  <si>
    <t>categoria-nome-nivel-4</t>
  </si>
  <si>
    <t>categoria-nome-nivel-5</t>
  </si>
  <si>
    <t>imagem-1</t>
  </si>
  <si>
    <t>imagem-2</t>
  </si>
  <si>
    <t>imagem-3</t>
  </si>
  <si>
    <t>imagem-4</t>
  </si>
  <si>
    <t>imagem-5</t>
  </si>
  <si>
    <t>grade-genero</t>
  </si>
  <si>
    <t>grade-produto-com-uma-cor</t>
  </si>
  <si>
    <t>grade-produto-com-duas-cores</t>
  </si>
  <si>
    <t>grade-tamanho-de-anelalianca</t>
  </si>
  <si>
    <t>grade-tamanho-de-calca</t>
  </si>
  <si>
    <t>grade-tamanho-de-camisacamiseta</t>
  </si>
  <si>
    <t>grade-tamanho-de-capacete</t>
  </si>
  <si>
    <t>grade-tamanho-de-tenis</t>
  </si>
  <si>
    <t>grade-voltagem</t>
  </si>
  <si>
    <t>grade-tamanho-juvenil-infantil</t>
  </si>
  <si>
    <t>grade-formato-telacaixa-de-som</t>
  </si>
  <si>
    <t>grade-formato-telacor</t>
  </si>
  <si>
    <t>grade-tamanho-cabos</t>
  </si>
  <si>
    <t>grade-tamanho-de-projeto</t>
  </si>
  <si>
    <t>grade-tamanho-mangueira</t>
  </si>
  <si>
    <t>Kit De Conector Banana Nakamichi 4 Unid</t>
  </si>
  <si>
    <t>S</t>
  </si>
  <si>
    <t>imediata</t>
  </si>
  <si>
    <t>indisponivel</t>
  </si>
  <si>
    <t>N</t>
  </si>
  <si>
    <t>sem-variacao</t>
  </si>
  <si>
    <t>2F7JN3U5D</t>
  </si>
  <si>
    <t xml:space="preserve">&lt;p&gt;&lt;span style="font-size:16px;"&gt;&lt;span style="font-family:trebuchet ms,helvetica,sans-serif;"&gt;&lt;strong&gt;&lt;span style="color: rgb(102, 102, 102);"&gt;DESCRIÇÃO:&lt;/span&gt;&lt;/strong&gt;&lt;br style="box-sizing: border-box; color: rgb(102, 102, 102); font-family: &amp;quot;Proxima Nova&amp;quot;, -apple-system, &amp;quot;Helvetica Neue&amp;quot;, Helvetica, Roboto, Arial, sans-serif; font-size: 20px;" /&gt;
&lt;span style="color: rgb(102, 102, 102);"&gt;Os conectores Nakamichi são fabricados com materiais de excelente qualidade, esse tipo de conector "BANANA" é muito utilizado na confecção de cabos de alta performance para sonorização de home theater e outros.&lt;/span&gt;&lt;br style="box-sizing: border-box; color: rgb(102, 102, 102); font-family: &amp;quot;Proxima Nova&amp;quot;, -apple-system, &amp;quot;Helvetica Neue&amp;quot;, Helvetica, Roboto, Arial, sans-serif; font-size: 20px;" /&gt;
&lt;br style="box-sizing: border-box; color: rgb(102, 102, 102); font-family: &amp;quot;Proxima Nova&amp;quot;, -apple-system, &amp;quot;Helvetica Neue&amp;quot;, Helvetica, Roboto, Arial, sans-serif; font-size: 20px;" /&gt;
&lt;strong&gt;&lt;span style="color: rgb(102, 102, 102);"&gt;ESPECIFICAÇÃO:&lt;/span&gt;&lt;/strong&gt;&lt;br style="box-sizing: border-box; color: rgb(102, 102, 102); font-family: &amp;quot;Proxima Nova&amp;quot;, -apple-system, &amp;quot;Helvetica Neue&amp;quot;, Helvetica, Roboto, Arial, sans-serif; font-size: 20px;" /&gt;
&lt;span style="color: rgb(102, 102, 102);"&gt;- Alta qualidade 100% novo!&lt;/span&gt;&lt;br style="box-sizing: border-box; color: rgb(102, 102, 102); font-family: &amp;quot;Proxima Nova&amp;quot;, -apple-system, &amp;quot;Helvetica Neue&amp;quot;, Helvetica, Roboto, Arial, sans-serif; font-size: 20px;" /&gt;
&lt;span style="color: rgb(102, 102, 102);"&gt;- Chapeamento de ouro 24k para transferência de sinal máximo e durabilidade.&lt;/span&gt;&lt;br style="box-sizing: border-box; color: rgb(102, 102, 102); font-family: &amp;quot;Proxima Nova&amp;quot;, -apple-system, &amp;quot;Helvetica Neue&amp;quot;, Helvetica, Roboto, Arial, sans-serif; font-size: 20px;" /&gt;
&lt;span style="color: rgb(102, 102, 102);"&gt;- Acomoda o cabo com tamanho do fio até 4mm. Aceita 8awg ao fio do orador 20awg.&lt;/span&gt;&lt;br style="box-sizing: border-box; color: rgb(102, 102, 102); font-family: &amp;quot;Proxima Nova&amp;quot;, -apple-system, &amp;quot;Helvetica Neue&amp;quot;, Helvetica, Roboto, Arial, sans-serif; font-size: 20px;" /&gt;
&lt;span style="color: rgb(102, 102, 102);"&gt;- Parafusos dobro de travamento.&lt;/span&gt;&lt;br style="box-sizing: border-box; color: rgb(102, 102, 102); font-family: &amp;quot;Proxima Nova&amp;quot;, -apple-system, &amp;quot;Helvetica Neue&amp;quot;, Helvetica, Roboto, Arial, sans-serif; font-size: 20px;" /&gt;
&lt;span style="color: rgb(102, 102, 102);"&gt;- Kit com 04 unidades sendo 02 vermelhas e 02 pretas.&lt;/span&gt;&lt;/span&gt;&lt;/span&gt;&lt;/p&gt;
</t>
  </si>
  <si>
    <t>Nakamichi</t>
  </si>
  <si>
    <t>https://cdn.awsli.com.br/948/948321/produto/72473218/83d46b23c8.jpg</t>
  </si>
  <si>
    <t>https://cdn.awsli.com.br/948/948321/produto/72473218/2cedede271.jpg</t>
  </si>
  <si>
    <t>CABO DE ÁUDIO ÓPTICO TOSLINK PIX 2m</t>
  </si>
  <si>
    <t>TOSLINK2M</t>
  </si>
  <si>
    <t xml:space="preserve">&lt;p&gt;&lt;span style="font-size:16px;"&gt;&lt;span style="font-family:verdana,geneva,sans-serif;"&gt;Você merece o melhor som digital e sem nenhum tipo de interferências ou distorção!&lt;/span&gt;&lt;/span&gt;&lt;/p&gt;
&lt;p&gt;&lt;span style="font-size:16px;"&gt;&lt;span style="font-family:verdana,geneva,sans-serif;"&gt;Aproveite o máximo de fidelidade e desempenho sonoro dos seus equipamentos com o Cabo Ótico Digital da CHIP SCE. Com ele você poderá ter uma transmissão livre de interferências e qualidade incomparável de áudio.&lt;/span&gt;&lt;/span&gt;&lt;/p&gt;
&lt;p&gt;&lt;span style="font-size:16px;"&gt;&lt;span style="font-family:verdana,geneva,sans-serif;"&gt;Indicado para equipamentos que utilizam conexão óptica como: Blu-ray, TV's, receptores de TV Digital, vídeo games, receivers, DVD, home theaters e demais equipamentos que se adéquam à este sistema.&lt;/span&gt;&lt;/span&gt;&lt;/p&gt;
&lt;p&gt;&lt;span style="font-size:16px;"&gt;&lt;strong&gt;&lt;span style="font-family:verdana,geneva,sans-serif;"&gt;Especificações Técnicas:&lt;/span&gt;&lt;/strong&gt;&lt;/span&gt;&lt;/p&gt;
&lt;p&gt;&lt;span style="font-size:16px;"&gt;&lt;span style="font-family:verdana,geneva,sans-serif;"&gt;Tamanho: 02 metros&lt;/span&gt;&lt;/span&gt;&lt;/p&gt;
&lt;p&gt;&lt;span style="font-size:16px;"&gt;&lt;span style="font-family:verdana,geneva,sans-serif;"&gt;Conectores: Toslink - Gold&lt;/span&gt;&lt;/span&gt;&lt;/p&gt;
&lt;p&gt;&lt;span style="font-size:16px;"&gt;&lt;span style="font-family:verdana,geneva,sans-serif;"&gt;Cabo: Fibra Ótica&lt;/span&gt;&lt;/span&gt;&lt;/p&gt;
&lt;p&gt;&lt;span style="font-size:16px;"&gt;&lt;span style="font-family:verdana,geneva,sans-serif;"&gt;Aplicações: Blu-Ray, Receptores de Imagens digitais, Vídeo Games, Receivers, DVD, TVs e Home Theater.&lt;/span&gt;&lt;/span&gt;&lt;/p&gt;
&lt;p&gt;&lt;span style="font-size:16px;"&gt;&lt;span style="font-family:verdana,geneva,sans-serif;"&gt;&lt;strong&gt;Conteúdo da embalagem:&lt;/strong&gt;&lt;br /&gt;
01 - Cabo Ótico de 2 metros&lt;/span&gt;&lt;/span&gt;&lt;/p&gt;
</t>
  </si>
  <si>
    <t>PIX</t>
  </si>
  <si>
    <t>https://cdn.awsli.com.br/948/948321/produto/59336047/82a8782820.jpg</t>
  </si>
  <si>
    <t>https://cdn.awsli.com.br/948/948321/produto/59336047/61c4b17699.jpg</t>
  </si>
  <si>
    <t>CAIXA DE SOM JBL CI6SA PLUS DE EMBUTIR ANGULADA - 160W RMS</t>
  </si>
  <si>
    <t>22BNRZMT7-W5SBT1VFO</t>
  </si>
  <si>
    <t xml:space="preserve">&lt;p style="margin: 0px 0px 10px; padding: 0px;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background-color: rgb(255, 255, 255);"&gt;&lt;span style="font-size:16px;margin:0px;padding:0px;"&gt;&lt;span style="margin: 0px; padding: 0px;"&gt;&lt;span style="margin: 0px; padding: 0px; font-family: verdana, geneva, sans-serif;"&gt;&lt;span style="margin: 0px; padding: 0px;"&gt;Descrição do Produto:&lt;/span&gt;&lt;/span&gt;&lt;/span&gt;&lt;br style="margin: 0px; padding: 0px;" /&gt;
&lt;br style="margin: 0px; padding: 0px;" /&gt;
&lt;span style="-webkit-text-stroke-width: 0px; background-color: rgb(255, 255, 255); color: rgb(102, 102, 102); font-family: Roboto, sans-serif; font-style: normal; font-variant-caps: normal; font-variant-ligatures: normal; font-weight: 400; letter-spacing: normal; margin: 0px 0px 10px; orphans: 2; text-align: start; text-decoration-color: initial; text-decoration-style: initial; text-decoration-thickness: initial; text-indent: 0px; text-transform: none; white-space: normal; widows: 2; word-spacing: 0px;"&gt;Caixa de som de embutir quadrada e angulada com alto-falante de Kevlar de 6.5 polegadas e tweeter com domo de seda de 20mm. Possui impedância de 8 ohms, e suporta potência máxima de 160 Watts RMS. Sua resposta de frequência é de 53Hz a 20kHz e possui sensibilidade de 90dB. Essa nova geração vem equipada com tela magnética para facilitar a instalação, além de incorporar um novo crossover para melhorar a performance de áudio e um ímã maior para otimizar o trabalho do alto-falante. O peso unitário da unidade é de 1,8kg.&lt;/span&gt;&lt;button aria-controls="radix-:r5:" aria-expanded="true" class="sc-75806410-0 fPPRHK" data-radix-collection-item="" data-state="open" id="radix-:r4:" style="margin: 0px; padding: 0px; font-size: 16px; vertical-align: middle; line-height: 20px; appearance: button; cursor: pointer; font-weight: 400; font-family: Poppins, sans-serif !important; border: none; list-style: none; box-sizing: border-box; width: 1408.8px; background: transparent; display: flex; -webkit-box-pack: justify; justify-content: space-between; -webkit-box-align: center; align-items: center; orphans: 2; widows: 2; -webkit-text-stroke-width: 0px; white-space: normal; text-decoration-thickness: initial; text-decoration-style: initial; text-decoration-color: initial;" type="button"&gt;&lt;/button&gt;&lt;/span&gt;&lt;/p&gt;
&lt;p style="margin: 0px 0px 10px; padding: 0px;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background-color: rgb(255, 255, 255);"&gt;&lt;span style="margin: 0px; padding: 0px; font-size: 16px;"&gt;&lt;span style="margin: 0px; padding: 0px; border: none; list-style: none; box-sizing: border-box; line-height: 1.125rem; font-weight: 700; font-family: Poppins, sans-serif !important;"&gt;Informações Técnicas:&lt;br style="margin: 0px; padding: 0px;" /&gt;
&lt;br style="margin: 0px; padding: 0px;" /&gt;
Características:&lt;/span&gt;&lt;/span&gt;&lt;/p&gt;
&lt;p style="margin: 0px 0px 10px; padding: 0px;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style="margin: 0px; padding: 0px; border: none; list-style: none; box-sizing: border-box; font-size: 16px; font-family: Poppins, sans-serif !important;" /&gt;
&lt;span style="margin: 0px; padding: 0px; color: rgb(102, 102, 102); font-family: Roboto, sans-serif; font-size: 16px; background-color: rgb(255, 255, 255);"&gt;- Marca: JBL&lt;br style="margin: 0px; padding: 0px; border: none; list-style: none; box-sizing: border-box; font-size: 16px; font-family: Poppins, sans-serif !important;" /&gt;
- Modelo: CI6SA PLUS&lt;br style="margin: 0px; padding: 0px; border: none; list-style: none; box-sizing: border-box; font-size: 16px; font-family: Poppins, sans-serif !important;" /&gt;
&lt;br style="margin: 0px; padding: 0px; border: none; list-style: none; box-sizing: border-box; font-size: 16px; font-family: Poppins, sans-serif !important;" /&gt;
&lt;strong style="margin: 0px; padding: 0px; font-weight: 700; border: none; list-style: none; box-sizing: border-box; font-size: 0.875rem; line-height: 1.125rem; font-family: Poppins, sans-serif !important;"&gt;Especificações Técnicas:&lt;/strong&gt;&lt;br style="margin: 0px; padding: 0px; border: none; list-style: none; box-sizing: border-box; font-size: 16px; font-family: Poppins, sans-serif !important;" /&gt;
&lt;br style="margin: 0px; padding: 0px; border: none; list-style: none; box-sizing: border-box; font-size: 16px; font-family: Poppins, sans-serif !important;" /&gt;
- Tipo de caixa: Embutir no Gesso&lt;br style="margin: 0px; padding: 0px; border: none; list-style: none; box-sizing: border-box; font-size: 16px; font-family: Poppins, sans-serif !important;" /&gt;
- Formato: Quadrado&lt;br style="margin: 0px; padding: 0px; border: none; list-style: none; box-sizing: border-box; font-size: 16px; font-family: Poppins, sans-serif !important;" /&gt;
- Sensibilidade: 90dB (@1W/m)&lt;br style="margin: 0px; padding: 0px; border: none; list-style: none; box-sizing: border-box; font-size: 16px; font-family: Poppins, sans-serif !important;" /&gt;
- Woofer: Um woofer de 6"&lt;br style="margin: 0px; padding: 0px; border: none; list-style: none; box-sizing: border-box; font-size: 16px; font-family: Poppins, sans-serif !important;" /&gt;
- Potência: 160&lt;/span&gt;&lt;span style="margin: 0px; padding: 0px; color: rgb(102, 102, 102); font-family: Roboto, sans-serif; font-size: 16px; background-color: rgb(255, 255, 255);"&gt;W RMS&lt;br style="margin: 0px; padding: 0px; border: none; list-style: none; box-sizing: border-box; font-size: 16px; font-family: Poppins, sans-serif !important;" /&gt;
- Impedância: 8 Ohms&lt;br style="margin: 0px; padding: 0px; border: none; list-style: none; box-sizing: border-box; font-size: 16px; font-family: Poppins, sans-serif !important;" /&gt;
- Resposta de Frequência: 53Hz - 20KHz&lt;br style="margin: 0px; padding: 0px; border: none; list-style: none; box-sizing: border-box; font-size: 16px; font-family: Poppins, sans-serif !important;" /&gt;
- Altura (cm): 23&lt;br style="margin: 0px; padding: 0px; border: none; list-style: none; box-sizing: border-box; font-size: 16px; font-family: Poppins, sans-serif !important;" /&gt;
- Espessura (cm): 12&lt;br style="margin: 0px; padding: 0px; border: none; list-style: none; box-sizing: border-box; font-size: 16px; font-family: Poppins, sans-serif !important;" /&gt;
- Largura (cm): 23&lt;br style="margin: 0px; padding: 0px; border: none; list-style: none; box-sizing: border-box; font-size: 16px; font-family: Poppins, sans-serif !important;" /&gt;
- Peso (kg): 1.80&lt;br style="margin: 0px; padding: 0px; border: none; list-style: none; box-sizing: border-box; font-size: 16px; font-family: Poppins, sans-serif !important;" /&gt;
&lt;br style="margin: 0px; padding: 0px; border: none; list-style: none; box-sizing: border-box; font-size: 16px; font-family: Poppins, sans-serif !important;" /&gt;
&lt;strong style="margin: 0px; padding: 0px; font-weight: 700; border: none; list-style: none; box-sizing: border-box; font-size: 0.875rem; line-height: 1.125rem; font-family: Poppins, sans-serif !important;"&gt;Conteúdo da Embalagem:&lt;/strong&gt;&lt;br style="margin: 0px; padding: 0px; border: none; list-style: none; box-sizing: border-box; font-size: 16px; font-family: Poppins, sans-serif !important;" /&gt;
&lt;br style="margin: 0px; padding: 0px; border: none; list-style: none; box-sizing: border-box; font-size: 16px; font-family: Poppins, sans-serif !important;" /&gt;
- Caixa de Embutir Quadrada CI6SA PLUS JBL 160W RMS&lt;br style="margin: 0px; padding: 0px; border: none; list-style: none; box-sizing: border-box; font-size: 16px; font-family: Poppins, sans-serif !important;" /&gt;
- Manual de Instalação&lt;br style="margin: 0px; padding: 0px; border: none; list-style: none; box-sizing: border-box; font-size: 16px; font-family: Poppins, sans-serif !important;" /&gt;
- Folheto de Segurança&lt;/span&gt;&lt;/p&gt;
&lt;p style="margin: 0px; padding: 0px; color: rgb(102, 102, 102);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border: none; list-style: none; box-sizing: border-box; font-size: 0.875rem; line-height: 1.125rem; font-family: Poppins, sans-serif !important;"&gt; &lt;/p&gt;
&lt;p style="margin: 0px; padding: 0px; color: rgb(102, 102, 102);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border: none; list-style: none; box-sizing: border-box; font-size: 0.875rem; line-height: 1.125rem; font-family: Poppins, sans-serif !important;"&gt;&lt;span style="margin: 0px; padding: 0px; font-size: 16px;"&gt;&lt;strong style="margin: 0px; padding: 0px; font-weight: 700; border: none; list-style: none; box-sizing: border-box; font-size: 0.875rem; line-height: 1.125rem; font-family: Poppins, sans-serif !important;"&gt;Garantia do Fornecedor&lt;/strong&gt;&lt;/span&gt;&lt;/p&gt;
&lt;p style="margin: 0px; padding: 0px; color: rgb(102, 102, 102);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border: none; list-style: none; box-sizing: border-box; font-size: 0.875rem; line-height: 1.125rem; font-family: Poppins, sans-serif !important;"&gt;&lt;span style="margin: 0px; padding: 0px; font-size: 16px;"&gt;12 meses&lt;/span&gt;&lt;/p&gt;
&lt;p style="margin: 0px; padding: 0px; color: rgb(102, 102, 102);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border: none; list-style: none; box-sizing: border-box; font-size: 0.875rem; line-height: 1.125rem; font-family: Poppins, sans-serif !important;"&gt; &lt;/p&gt;
&lt;p style="margin: 0px; padding: 0px; color: rgb(102, 102, 102);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border: none; list-style: none; box-sizing: border-box; font-size: 0.875rem; line-height: 1.125rem; font-family: Poppins, sans-serif !important;"&gt;&lt;span style="margin: 0px; padding: 0px; font-size: 16px;"&gt;&lt;strong style="margin: 0px; padding: 0px; font-weight: 700; border: none; list-style: none; box-sizing: border-box; font-size: 0.875rem; line-height: 1.125rem; font-family: Poppins, sans-serif !important;"&gt;Fabricante&lt;/strong&gt;&lt;/span&gt;&lt;/p&gt;
&lt;p style="margin: 0px; padding: 0px; color: rgb(102, 102, 102);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border: none; list-style: none; box-sizing: border-box; font-size: 0.875rem; line-height: 1.125rem; font-family: Poppins, sans-serif !important;"&gt;&lt;span style="margin: 0px; padding: 0px; font-size: 16px;"&gt;JBL&lt;/span&gt;&lt;/p&gt;
&lt;p style="margin: 0px; padding: 0px; color: rgb(102, 102, 102);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border: none; list-style: none; box-sizing: border-box; font-size: 0.875rem; line-height: 1.125rem; font-family: Poppins, sans-serif !important;"&gt; &lt;/p&gt;
&lt;p style="margin: 0px; padding: 0px; color: rgb(102, 102, 102);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border: none; list-style: none; box-sizing: border-box; font-size: 0.875rem; line-height: 1.125rem; font-family: Poppins, sans-serif !important;"&gt;&lt;span style="margin: 0px; padding: 0px; font-size: 16px;"&gt;&lt;strong style="margin: 0px; padding: 0px; font-weight: 700; border: none; list-style: none; box-sizing: border-box; font-size: 0.875rem; line-height: 1.125rem; font-family: Poppins, sans-serif !important;"&gt;Modelo&lt;/strong&gt;&lt;/span&gt;&lt;/p&gt;
&lt;p style="margin: 0px; padding: 0px; color: rgb(102, 102, 102);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border: none; list-style: none; box-sizing: border-box; font-size: 0.875rem; line-height: 1.125rem; font-family: Poppins, sans-serif !important;"&gt;&lt;span style="margin: 0px; padding: 0px; font-size: 16px;"&gt;Caixa de Som de Embutir JBL CI6SA PLUS Quadrada 160W Rms&lt;/span&gt;&lt;/p&gt;
</t>
  </si>
  <si>
    <t>https://cdn.awsli.com.br/948/948321/produto/263282847/1-9a4khbfhsx.PNG</t>
  </si>
  <si>
    <t>https://cdn.awsli.com.br/948/948321/produto/263282847/3-x8xnjaymeh.PNG</t>
  </si>
  <si>
    <t>https://cdn.awsli.com.br/948/948321/produto/263282847/2-nibs0s5h9r.PNG</t>
  </si>
  <si>
    <t>Cabo Rca Automotivo Y 1 Macho + 2 Fêmeas 90 Graus 25cm</t>
  </si>
  <si>
    <t>XPT8SP5DC</t>
  </si>
  <si>
    <t xml:space="preserve">&lt;p&gt;&lt;span style="font-size:16px;"&gt;&lt;span style="font-family:trebuchet ms,helvetica,sans-serif;"&gt;&lt;span style="color: rgb(102, 102, 102);"&gt;Utilizado nas ligações de equipamentos auxiliar de Áudio.&lt;/span&gt;&lt;br style="box-sizing: border-box; color: rgb(102, 102, 102); font-family: &amp;quot;Proxima Nova&amp;quot;, -apple-system, &amp;quot;Helvetica Neue&amp;quot;, Helvetica, Roboto, Arial, sans-serif; font-size: 20px;" /&gt;
&lt;span style="color: rgb(102, 102, 102);"&gt;Específico para som automotivo, simplesmente plugue em cada extremidade.&lt;/span&gt;&lt;br style="box-sizing: border-box; color: rgb(102, 102, 102); font-family: &amp;quot;Proxima Nova&amp;quot;, -apple-system, &amp;quot;Helvetica Neue&amp;quot;, Helvetica, Roboto, Arial, sans-serif; font-size: 20px;" /&gt;
&lt;br style="box-sizing: border-box; color: rgb(102, 102, 102); font-family: &amp;quot;Proxima Nova&amp;quot;, -apple-system, &amp;quot;Helvetica Neue&amp;quot;, Helvetica, Roboto, Arial, sans-serif; font-size: 20px;" /&gt;
&lt;span style="color: rgb(102, 102, 102);"&gt;INFORMAÇÕES ADICIONAIS&lt;/span&gt;&lt;br style="box-sizing: border-box; color: rgb(102, 102, 102); font-family: &amp;quot;Proxima Nova&amp;quot;, -apple-system, &amp;quot;Helvetica Neue&amp;quot;, Helvetica, Roboto, Arial, sans-serif; font-size: 20px;" /&gt;
&lt;span style="color: rgb(102, 102, 102);"&gt;Conexão: 1 RCA Macho + 2 RCA Fêmeas 90º Graus.&lt;/span&gt;&lt;br style="box-sizing: border-box; color: rgb(102, 102, 102); font-family: &amp;quot;Proxima Nova&amp;quot;, -apple-system, &amp;quot;Helvetica Neue&amp;quot;, Helvetica, Roboto, Arial, sans-serif; font-size: 20px;" /&gt;
&lt;span style="color: rgb(102, 102, 102);"&gt;Cabo: 4mm.&lt;/span&gt;&lt;br style="box-sizing: border-box; color: rgb(102, 102, 102); font-family: &amp;quot;Proxima Nova&amp;quot;, -apple-system, &amp;quot;Helvetica Neue&amp;quot;, Helvetica, Roboto, Arial, sans-serif; font-size: 20px;" /&gt;
&lt;span style="color: rgb(102, 102, 102);"&gt;Comprimento: 0,25cm.&lt;/span&gt;&lt;br style="box-sizing: border-box; color: rgb(102, 102, 102); font-family: &amp;quot;Proxima Nova&amp;quot;, -apple-system, &amp;quot;Helvetica Neue&amp;quot;, Helvetica, Roboto, Arial, sans-serif; font-size: 20px;" /&gt;
&lt;span style="color: rgb(102, 102, 102);"&gt;Cor: Preto.&lt;/span&gt;&lt;br style="box-sizing: border-box; color: rgb(102, 102, 102); font-family: &amp;quot;Proxima Nova&amp;quot;, -apple-system, &amp;quot;Helvetica Neue&amp;quot;, Helvetica, Roboto, Arial, sans-serif; font-size: 20px;" /&gt;
&lt;span style="color: rgb(102, 102, 102);"&gt;Comprimento do cabo: 0,25 Metro&lt;/span&gt;&lt;br style="box-sizing: border-box; color: rgb(102, 102, 102); font-family: &amp;quot;Proxima Nova&amp;quot;, -apple-system, &amp;quot;Helvetica Neue&amp;quot;, Helvetica, Roboto, Arial, sans-serif; font-size: 20px;" /&gt;
&lt;span style="color: rgb(102, 102, 102);"&gt;Conexão: Y 90 Graus&lt;/span&gt;&lt;br style="box-sizing: border-box; color: rgb(102, 102, 102); font-family: &amp;quot;Proxima Nova&amp;quot;, -apple-system, &amp;quot;Helvetica Neue&amp;quot;, Helvetica, Roboto, Arial, sans-serif; font-size: 20px;" /&gt;
&lt;span style="color: rgb(102, 102, 102);"&gt;Cor: Preto&lt;/span&gt;&lt;br style="box-sizing: border-box; color: rgb(102, 102, 102); font-family: &amp;quot;Proxima Nova&amp;quot;, -apple-system, &amp;quot;Helvetica Neue&amp;quot;, Helvetica, Roboto, Arial, sans-serif; font-size: 20px;" /&gt;
&lt;span style="color: rgb(102, 102, 102);"&gt;Embalagem: Polybag&lt;/span&gt;&lt;br style="box-sizing: border-box; color: rgb(102, 102, 102); font-family: &amp;quot;Proxima Nova&amp;quot;, -apple-system, &amp;quot;Helvetica Neue&amp;quot;, Helvetica, Roboto, Arial, sans-serif; font-size: 20px;" /&gt;
&lt;span style="color: rgb(102, 102, 102);"&gt;MM: 4mm&lt;/span&gt;&lt;br style="box-sizing: border-box; color: rgb(102, 102, 102); font-family: &amp;quot;Proxima Nova&amp;quot;, -apple-system, &amp;quot;Helvetica Neue&amp;quot;, Helvetica, Roboto, Arial, sans-serif; font-size: 20px;" /&gt;
&lt;span style="color: rgb(102, 102, 102);"&gt;Ponta: Gold&lt;/span&gt;&lt;br style="box-sizing: border-box; color: rgb(102, 102, 102); font-family: &amp;quot;Proxima Nova&amp;quot;, -apple-system, &amp;quot;Helvetica Neue&amp;quot;, Helvetica, Roboto, Arial, sans-serif; font-size: 20px;" /&gt;
&lt;span style="color: rgb(102, 102, 102);"&gt;Série: Automotivo&lt;/span&gt;&lt;/span&gt;&lt;/span&gt;&lt;/p&gt;
</t>
  </si>
  <si>
    <t>https://cdn.awsli.com.br/948/948321/produto/72457584/0cd1a849bb.jpg</t>
  </si>
  <si>
    <t>Pure Acoustics Proxima 60C - Caixa acústica Central 150w - Preto</t>
  </si>
  <si>
    <t>4 dias</t>
  </si>
  <si>
    <t>Multimport-003</t>
  </si>
  <si>
    <t xml:space="preserve">&lt;p&gt;&lt;span style="font-size:16px;"&gt;&lt;span style="font-family:verdana,geneva,sans-serif;"&gt;&lt;strong&gt;A perfeição está a apenas decibéis de distância&lt;/strong&gt;&lt;br /&gt;
Os alto-falantes da série PROXIMA garantem uma qualidade de som incomparável, seja assistindo a filmes em sistema de som surround ou ouvindo gravações de música estéreo. O som é rico, dinâmico e livre de distorções. Os três drivers de 6,5 "oferecem uma reprodução de som excepcional com distorção mínima, enquanto o subwoofer de 10" oferece graves profundos e dinâmicos. O acabamento de alto brilho exclusivo adiciona um toque moderno que irá complementar qualquer cômodo da casa.&lt;/span&gt;&lt;/span&gt;&lt;/p&gt;
&lt;p&gt;&lt;strong&gt;&lt;span style="font-size:16px;"&gt;&lt;span style="font-family:verdana,geneva,sans-serif;"&gt;PROXIMA Center&lt;/span&gt;&lt;/span&gt;&lt;/strong&gt;&lt;/p&gt;
&lt;p&gt;&lt;span style="font-size:16px;"&gt;&lt;span style="font-family:verdana,geneva,sans-serif;"&gt;- Dois woofers de 5,25 "oferecem uma dispersão de som realista com distorção mínima&lt;br /&gt;
- Tweeter de cúpula de seda de 1 "com sistema de resfriamento de óleo para agudos cristalinos&lt;br /&gt;
- Drivers com blindagem magnética eliminam a interferência de componentes eletrônicos próximos&lt;br /&gt;
- Poderosa potência de saída de 150 W de 3 vias fornece distribuição de som equilibrada&lt;br /&gt;
- Acabamento de piano moderno que irá melhorar qualquer configuração&lt;/span&gt;&lt;/span&gt;&lt;/p&gt;
&lt;p&gt;&lt;span style="font-size:16px;"&gt;&lt;span style="font-family:verdana,geneva,sans-serif;"&gt;&lt;strong&gt;Potência da saída:&lt;/strong&gt; 150 watts&lt;br /&gt;
&lt;strong&gt;Resposta de frequência:&lt;/strong&gt; 65 Hz - 20 KHz&lt;br /&gt;
&lt;strong&gt;Sensibilidade:&lt;/strong&gt; 89 dB&lt;br /&gt;
&lt;strong&gt;Impedância:&lt;/strong&gt; 8 ohm&lt;br /&gt;
&lt;strong&gt;Woofer:&lt;/strong&gt; 2 x 5 "&lt;br /&gt;
&lt;strong&gt;Tweeter:&lt;/strong&gt; 1 "&lt;br /&gt;
&lt;strong&gt;Dimensões do produto:&lt;/strong&gt; 17,5 x 55 x 18 cm&lt;br /&gt;
&lt;strong&gt;Peso do Produto:&lt;/strong&gt; 8 Kg&lt;/span&gt;&lt;/span&gt;&lt;/p&gt;
&lt;p&gt; &lt;/p&gt;
&lt;p&gt; &lt;/p&gt;
</t>
  </si>
  <si>
    <t>Pure Acoustics</t>
  </si>
  <si>
    <t>Sonorização</t>
  </si>
  <si>
    <t>Caixas de Som</t>
  </si>
  <si>
    <t>https://cdn.awsli.com.br/948/948321/produto/61709088/ac3fe464c8.jpg</t>
  </si>
  <si>
    <t>Microfone De Calibração Acm1hb. Receiver Denon/marantz/jbl, Harman, Sony, Onkyo</t>
  </si>
  <si>
    <t>NVJ345DVC</t>
  </si>
  <si>
    <t>Microfone De Calibração Acm1hb. Receiver Denon/marantz/jbl, Harman,</t>
  </si>
  <si>
    <t>MICROFONE DE CALIBRAÇÃO RECEIVER DENON AUDYSSEY
MICROFONE PARA CALIBRAÇÃO AUTOMÁTICA DE RECEIVERS
PRODUTO NOVO NA CAIXA ORIGINAL
100% ORIGINAL
MICROFONE AUDISSEY ORIGINAL PARA CALIBRAÇÃO DE RECEIVERS:
DENON, MARANTZ, HARMAN, ONKYO, JBL,</t>
  </si>
  <si>
    <t xml:space="preserve">&lt;p&gt;MICROFONE DE CALIBRAÇÃO RECEIVER DENON AUDYSSEY&lt;br /&gt;
MICROFONE PARA CALIBRAÇÃO AUTOMÁTICA DE RECEIVERS&lt;br /&gt;
PRODUTO NOVO NA CAIXA ORIGINAL&lt;br /&gt;
100% ORIGINAL&lt;br /&gt;
DENON -DMA409&lt;br /&gt;
MICROFONE AUDISSEY ORIGINAL PARA CALIBRAÇÃO DE RECEIVERS:&lt;br /&gt;
DENON, MARANTZ, HARMAN, ONKYO, JBL, OUTROS.&lt;/p&gt;
&lt;p&gt;!!!DUVIDAS NOS CONSULTE-NOS!!!&lt;/p&gt;
</t>
  </si>
  <si>
    <t>DENON</t>
  </si>
  <si>
    <t>https://cdn.awsli.com.br/948/948321/produto/110443186/9aa230bf7a.jpg</t>
  </si>
  <si>
    <t>https://cdn.awsli.com.br/948/948321/produto/110443186/d367c6bde7.jpg</t>
  </si>
  <si>
    <t>10 dias</t>
  </si>
  <si>
    <t>variacao</t>
  </si>
  <si>
    <t>PA6QDGV2B</t>
  </si>
  <si>
    <t>PA6QDGV2B-1m</t>
  </si>
  <si>
    <t>1m</t>
  </si>
  <si>
    <t>PA6QDGV2B-2m</t>
  </si>
  <si>
    <t>2m</t>
  </si>
  <si>
    <t>PA6QDGV2B-3m</t>
  </si>
  <si>
    <t>3m</t>
  </si>
  <si>
    <t>PA6QDGV2B-5m</t>
  </si>
  <si>
    <t>5m</t>
  </si>
  <si>
    <t>PA6QDGV2B-10m</t>
  </si>
  <si>
    <t>10m</t>
  </si>
  <si>
    <t>PA6QDGV2B-83EZCXF76</t>
  </si>
  <si>
    <t>PA6QDGV2B-10m-ED9W6C7RU</t>
  </si>
  <si>
    <t>PA6QDGV2B-5m-PGSW6H6XU</t>
  </si>
  <si>
    <t>PA6QDGV2B-3m-MLPAABLG5</t>
  </si>
  <si>
    <t>PA6QDGV2B-2m-XMJV7LBG0</t>
  </si>
  <si>
    <t>PA6QDGV2B-1m-4LWY4D2VP</t>
  </si>
  <si>
    <t>Kit Passador De Fio Expansível</t>
  </si>
  <si>
    <t>KQYSSUB6X</t>
  </si>
  <si>
    <t xml:space="preserve">&lt;p&gt;&lt;strong&gt;&lt;span style="font-size:14px;"&gt;Descrição&lt;/span&gt;&lt;/strong&gt;&lt;/p&gt;
&lt;p&gt;&lt;span style="font-size:14px;"&gt;Você que é profissional da área de elétrica, telecom ou afins e que já se deparou com a dificuldade em pescar fios em cima de forros, sabe que tempo é dinheiro.&lt;br /&gt;
Esse Kit vem para facilitar sua vida na obra, ele acompanha vários acessórios que permitem você pescar ou passar fiação de forma fácil e tranquila por cima do forro, por ser expansível é possível ter até 11m de pescador, sua embalagem é slim e cabe em qualquer carro é leve e fácil de carregar.&lt;br /&gt;
Adquira agora mesmo esse Kit passador de fio expansível, e veja seu tempo ser economizado com essa excelente ferramenta!&lt;/span&gt;&lt;/p&gt;
&lt;p style="box-sizing: border-box; border: 0px; font-size: 14px; font-style: normal; font-weight: 500; margin: 0px 0px 1.75em; outline: 0px; padding: 0px; vertical-align: baseline; color: rgb(75, 79, 88); font-family: Montserrat, sans-serif;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style="font-size:14px;"&gt;&lt;strong style="box-sizing: border-box; font-weight: 700;"&gt;Especificações Técnicas:&lt;/strong&gt;&lt;br style="box-sizing: border-box;" /&gt;
A Vara de Pescar Cabos de Fibra Óptica é uma ferramenta indicada para acessar cabos ópticos e eltricos em lugares de difícil acesso, como no teto, em cavidade de calhas, em tubos no chão e em paredes.&lt;br style="box-sizing: border-box;" /&gt;
A Vara de Pescar cabos de Fibra Óptica é composta por 10 hastes que são confeccionadas em fibra de vidro, na extremidade de cada haste há conectores rosqueáveis em cobre, que possuem o objetivo de ajustar o produto com a necessidade do profissional.&lt;/span&gt;&lt;/p&gt;
&lt;p style="box-sizing: border-box; border: 0px; font-size: 14px; font-style: normal; font-weight: 500; margin: 0px 0px 1.75em; outline: 0px; padding: 0px; vertical-align: baseline; color: rgb(75, 79, 88); font-family: Montserrat, sans-serif;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style="font-size:14px;"&gt;&lt;strong style="box-sizing: border-box; font-weight: 700;"&gt;Dimensões e Peso:&lt;/strong&gt;&lt;br style="box-sizing: border-box;" /&gt;
Comprimento: 101cm cada haste&lt;br style="box-sizing: border-box;" /&gt;
Diâmetro: 6mm&lt;br style="box-sizing: border-box;" /&gt;
Peso: 1.030 Kg (Estojo com todas as peças)&lt;/span&gt;&lt;/p&gt;
&lt;p style="box-sizing: border-box; border: 0px; font-size: 14px; font-style: normal; font-weight: 500; margin: 0px 0px 1.75em; outline: 0px; padding: 0px; vertical-align: baseline; color: rgb(75, 79, 88); font-family: Montserrat, sans-serif;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style="font-size:14px;"&gt;&lt;strong style="box-sizing: border-box; font-weight: 700;"&gt;Conteúdo:&lt;/strong&gt;&lt;br style="box-sizing: border-box;" /&gt;
1 estojo para armazenar as peças Vara de Pescar Cabos de Fibra Óptica OT-8910-VA&lt;br style="box-sizing: border-box;" /&gt;
10 hastes com conectores de bronze rosqueáveis&lt;br style="box-sizing: border-box;" /&gt;
1 conexão flexível&lt;br style="box-sizing: border-box;" /&gt;
1 luz de led em uma das extremidades&lt;br style="box-sizing: border-box;" /&gt;
1 Gancho de bronze rosqueável&lt;br style="box-sizing: border-box;" /&gt;
1 Gancho para pescar cabos de fibra óptica&lt;br style="box-sizing: border-box;" /&gt;
1 Anel&lt;br style="box-sizing: border-box;" /&gt;
1 Fio de puxa&lt;br style="box-sizing: border-box;" /&gt;
1 Fio de puxar a fibra óptica&lt;br style="box-sizing: border-box;" /&gt;
1 Ímã&lt;br style="box-sizing: border-box;" /&gt;
1 Anel de 6 mm&lt;br style="box-sizing: border-box;" /&gt;
1 Anel de 4 mm&lt;/span&gt;&lt;/p&gt;
</t>
  </si>
  <si>
    <t>https://cdn.awsli.com.br/948/948321/produto/269286278/whatsapp-image-2024-05-22-at-07-42-49--2--x7zrxdhy82.jpeg</t>
  </si>
  <si>
    <t>https://cdn.awsli.com.br/948/948321/produto/269286278/whatsapp-image-2024-05-22-at-07-42-48--1--vz8rsbwq5c.jpeg</t>
  </si>
  <si>
    <t>https://cdn.awsli.com.br/948/948321/produto/269286278/whatsapp-image-2024-05-22-at-07-42-49-y86dgod1xn.jpeg</t>
  </si>
  <si>
    <t>https://cdn.awsli.com.br/948/948321/produto/269286278/whatsapp-image-2024-05-22-at-07-42-49--1--zcerqgk8mg.jpeg</t>
  </si>
  <si>
    <t>https://cdn.awsli.com.br/948/948321/produto/269286278/whatsapp-image-2024-05-22-at-07-42-48-nw8oncvqk0.jpeg</t>
  </si>
  <si>
    <t>CABO DE ÁUDIO ÓPTICO DIGITAL TOSLINK PIX 3m</t>
  </si>
  <si>
    <t>XV856JDLM</t>
  </si>
  <si>
    <t xml:space="preserve">&lt;p&gt;&lt;span style="font-size:16px;"&gt;&lt;span style="font-family:verdana,geneva,sans-serif;"&gt;Você merece o melhor som digital e sem nenhum tipo de interferências ou distorção!&lt;/span&gt;&lt;/span&gt;&lt;/p&gt;
&lt;p&gt;&lt;span style="font-size:16px;"&gt;&lt;span style="font-family:verdana,geneva,sans-serif;"&gt;Aproveite o máximo de fidelidade e desempenho sonoro dos seus equipamentos com o Cabo Ótico Digital da CHIP SCE. Com ele você poderá ter uma transmissão livre de interferências e qualidade incomparável de áudio.&lt;/span&gt;&lt;/span&gt;&lt;/p&gt;
&lt;p&gt;&lt;span style="font-size:16px;"&gt;&lt;span style="font-family:verdana,geneva,sans-serif;"&gt;Indicado para equipamentos que utilizam conexão óptica como: Blu-ray, TV's, receptores de TV Digital, vídeo games, receivers, DVD, home theaters e demais equipamentos que se adéquam à este sistema.&lt;/span&gt;&lt;/span&gt;&lt;/p&gt;
&lt;p&gt; &lt;/p&gt;
&lt;p&gt;&lt;span style="font-size:16px;"&gt;&lt;span style="font-family:verdana,geneva,sans-serif;"&gt;&lt;strong&gt;Especificações Técnicas:&lt;/strong&gt;&lt;/span&gt;&lt;/span&gt;&lt;/p&gt;
&lt;p&gt;&lt;span style="font-size:16px;"&gt;&lt;span style="font-family:verdana,geneva,sans-serif;"&gt;Tamanho: 03 metros&lt;/span&gt;&lt;/span&gt;&lt;/p&gt;
&lt;p&gt;&lt;span style="font-size:16px;"&gt;&lt;span style="font-family:verdana,geneva,sans-serif;"&gt;Conectores: Toslink - Gold&lt;/span&gt;&lt;/span&gt;&lt;/p&gt;
&lt;p&gt;&lt;span style="font-size:16px;"&gt;&lt;span style="font-family:verdana,geneva,sans-serif;"&gt;Cabo: Fibra Ótica&lt;/span&gt;&lt;/span&gt;&lt;/p&gt;
&lt;p&gt;&lt;span style="font-size:16px;"&gt;&lt;span style="font-family:verdana,geneva,sans-serif;"&gt;Aplicações: Blu-Ray, Receptores de Imagens digitais, Vídeo Games, Receivers, DVD, TVs e Home Theater.&lt;/span&gt;&lt;/span&gt;&lt;/p&gt;
&lt;p&gt;&lt;span style="font-size:16px;"&gt;&lt;span style="font-family:verdana,geneva,sans-serif;"&gt;&lt;strong&gt;Conteúdo da embalagem:&lt;/strong&gt;&lt;br /&gt;
01 - Cabo Ótico de 3 metros&lt;/span&gt;&lt;/span&gt;&lt;/p&gt;
</t>
  </si>
  <si>
    <t>https://cdn.awsli.com.br/948/948321/produto/59336787/7cc66b3cf4.jpg</t>
  </si>
  <si>
    <t>CABO DE ÁUDIO ÓPTICO DIGITAL TOSLINK PIX 10m</t>
  </si>
  <si>
    <t>TOSLINK10M</t>
  </si>
  <si>
    <t xml:space="preserve">&lt;p&gt;&lt;span style="font-size:16px;"&gt;&lt;span style="font-family:verdana,geneva,sans-serif;"&gt;&lt;span style="color: rgb(102, 102, 102);"&gt;Você merece o melhor som digital e sem nenhum tipo de interferências ou distorção!&lt;/span&gt;&lt;br style="box-sizing: border-box; color: rgb(102, 102, 102); font-family: &amp;quot;Proxima Nova&amp;quot;, -apple-system, &amp;quot;Helvetica Neue&amp;quot;, Helvetica, Roboto, Arial, sans-serif; font-size: 20px;" /&gt;
&lt;span style="color: rgb(102, 102, 102);"&gt;Aproveite o máximo de fidelidade e desempenho sonoro dos seus equipamentos com o Cabo Ótico Digital da CHIP SCE. Com ele você poderá ter uma transmissão livre de interferências e qualidade incomparável de áudio.&lt;/span&gt;&lt;br style="box-sizing: border-box; color: rgb(102, 102, 102); font-family: &amp;quot;Proxima Nova&amp;quot;, -apple-system, &amp;quot;Helvetica Neue&amp;quot;, Helvetica, Roboto, Arial, sans-serif; font-size: 20px;" /&gt;
&lt;span style="color: rgb(102, 102, 102);"&gt;Indicado para equipamentos que utilizam conexão óptica como: Blu-ray, TV's, receptores de TV Digital, vídeo games, receivers, DVD, home theaters e demais equipamentos que se adéquam à este sistema.&lt;/span&gt;&lt;br style="box-sizing: border-box; color: rgb(102, 102, 102); font-family: &amp;quot;Proxima Nova&amp;quot;, -apple-system, &amp;quot;Helvetica Neue&amp;quot;, Helvetica, Roboto, Arial, sans-serif; font-size: 20px;" /&gt;
&lt;br style="box-sizing: border-box; color: rgb(102, 102, 102); font-family: &amp;quot;Proxima Nova&amp;quot;, -apple-system, &amp;quot;Helvetica Neue&amp;quot;, Helvetica, Roboto, Arial, sans-serif; font-size: 20px;" /&gt;
&lt;strong&gt;&lt;span style="color: rgb(102, 102, 102);"&gt;Especificações Técnicas:&lt;/span&gt;&lt;/strong&gt;&lt;br style="box-sizing: border-box; color: rgb(102, 102, 102); font-family: &amp;quot;Proxima Nova&amp;quot;, -apple-system, &amp;quot;Helvetica Neue&amp;quot;, Helvetica, Roboto, Arial, sans-serif; font-size: 20px;" /&gt;
&lt;span style="color: rgb(102, 102, 102);"&gt;Tamanho: &lt;/span&gt;&lt;span style="color: rgb(102, 102, 102);"&gt;10 metros&lt;/span&gt;&lt;br style="box-sizing: border-box; color: rgb(102, 102, 102); font-family: &amp;quot;Proxima Nova&amp;quot;, -apple-system, &amp;quot;Helvetica Neue&amp;quot;, Helvetica, Roboto, Arial, sans-serif; font-size: 20px;" /&gt;
&lt;span style="color: rgb(102, 102, 102);"&gt;Conectores: &lt;/span&gt;&lt;span style="color: rgb(102, 102, 102);"&gt;Toslink - Gold&lt;/span&gt;&lt;br style="box-sizing: border-box; color: rgb(102, 102, 102); font-family: &amp;quot;Proxima Nova&amp;quot;, -apple-system, &amp;quot;Helvetica Neue&amp;quot;, Helvetica, Roboto, Arial, sans-serif; font-size: 20px;" /&gt;
&lt;span style="color: rgb(102, 102, 102);"&gt;Cabo: &lt;/span&gt;&lt;span style="color: rgb(102, 102, 102);"&gt;Fibra Ótica&lt;/span&gt;&lt;br style="box-sizing: border-box; color: rgb(102, 102, 102); font-family: &amp;quot;Proxima Nova&amp;quot;, -apple-system, &amp;quot;Helvetica Neue&amp;quot;, Helvetica, Roboto, Arial, sans-serif; font-size: 20px;" /&gt;
&lt;span style="color: rgb(102, 102, 102);"&gt;Aplicações: &lt;/span&gt;&lt;span style="color: rgb(102, 102, 102);"&gt;Blu-Ray, Receptores de Imagens digitais, Vídeo Games, Receivers, DVD, TVs e Home Theater.&lt;/span&gt;&lt;br style="box-sizing: border-box; color: rgb(102, 102, 102); font-family: &amp;quot;Proxima Nova&amp;quot;, -apple-system, &amp;quot;Helvetica Neue&amp;quot;, Helvetica, Roboto, Arial, sans-serif; font-size: 20px;" /&gt;
&lt;br style="box-sizing: border-box; color: rgb(102, 102, 102); font-family: &amp;quot;Proxima Nova&amp;quot;, -apple-system, &amp;quot;Helvetica Neue&amp;quot;, Helvetica, Roboto, Arial, sans-serif; font-size: 20px;" /&gt;
&lt;strong&gt;&lt;span style="color: rgb(102, 102, 102);"&gt;Conteúdo da embalagem:&lt;/span&gt;&lt;/strong&gt;&lt;br style="box-sizing: border-box; color: rgb(102, 102, 102); font-family: &amp;quot;Proxima Nova&amp;quot;, -apple-system, &amp;quot;Helvetica Neue&amp;quot;, Helvetica, Roboto, Arial, sans-serif; font-size: 20px;" /&gt;
&lt;span style="color: rgb(102, 102, 102);"&gt;01 - Cabo Ótico de 10 metros&lt;/span&gt;&lt;/span&gt;&lt;/span&gt;&lt;/p&gt;
</t>
  </si>
  <si>
    <t>https://cdn.awsli.com.br/948/948321/produto/59340752/680c55ce4a.jpg</t>
  </si>
  <si>
    <t>https://cdn.awsli.com.br/948/948321/produto/59340752/16bd3c23e0.jpg</t>
  </si>
  <si>
    <t>SUBWOOFER JBL CI8P ATIVO 100W 8 POLEGADAS PRETO</t>
  </si>
  <si>
    <t>YN6HLEYU3</t>
  </si>
  <si>
    <t>Subwoofer JBL Ci8P Ativo 100w 8 Polegadas Preto
O subwoofer JBL CI8P é desenhado para atender o mercado especializado de home e o mercado de instalação.Apresenta excelente performance sonora e é de fácil instalação, o seu design MODERNO e CLEAN,</t>
  </si>
  <si>
    <t xml:space="preserve">&lt;p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style="font-family:Arial,Helvetica,sans-serif;"&gt;O subwoofer JBL CI8P é desenhado para atender o mercado especializado de home e o mercado de instalação.&lt;/span&gt;&lt;/span&gt;&lt;/span&gt;&lt;/p&gt;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style="font-family:Arial,Helvetica,sans-serif;"&gt;Apresenta excelente performance sonora e é de fácil instalação, o seu design MODERNO e CLEAN, atende aos mais diversos tipos de ambientes e decorações.&lt;/span&gt;&lt;/span&gt;&lt;/span&gt;&lt;/p&gt;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style="font-family:Arial,Helvetica,sans-serif;"&gt;Modeloativocompotênciade100WattsRMS&lt;/span&gt;&lt;/span&gt;&lt;/span&gt;&lt;/p&gt;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style="font-family:Arial,Helvetica,sans-serif;"&gt;Altofalantedepolicelulosede8”&lt;/span&gt;&lt;/span&gt;&lt;/span&gt;&lt;/p&gt;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style="font-family:Arial,Helvetica,sans-serif;"&gt;Gabinete do tipo bass-reflex&lt;/span&gt;&lt;/span&gt;&lt;/span&gt;&lt;/p&gt;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style="font-family:Arial,Helvetica,sans-serif;"&gt;Controle de volume e entrada do tipo RCA(modo normal e LFE)&lt;/span&gt;&lt;/span&gt;&lt;/span&gt;&lt;/p&gt;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style="font-family:Arial,Helvetica,sans-serif;"&gt;Função Power ON/OFF&lt;/span&gt;&lt;/span&gt;&lt;/span&gt;&lt;/p&gt;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style="font-family:Arial,Helvetica,sans-serif;"&gt;Especificações Técnicas&lt;/span&gt;&lt;/span&gt;&lt;/span&gt;&lt;/p&gt;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style="font-family:Arial,Helvetica,sans-serif;"&gt;Woofer de 8 polegadas com cone de policelulose (203.2mm)&lt;/span&gt;&lt;/span&gt;&lt;/span&gt;&lt;/p&gt;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style="font-family:Arial,Helvetica,sans-serif;"&gt;Potência de 100W RMS&lt;/span&gt;&lt;/span&gt;&lt;/span&gt;&lt;/p&gt;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style="font-family:Arial,Helvetica,sans-serif;"&gt;Resposta de frequencia de 35 Hz – 200 Hz&lt;/span&gt;&lt;/span&gt;&lt;/span&gt;&lt;/p&gt;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style="font-family:Arial,Helvetica,sans-serif;"&gt;Controles de liga/desliga, entrada e volume&lt;/span&gt;&lt;/span&gt;&lt;/span&gt;&lt;/p&gt;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style="font-family:Arial,Helvetica,sans-serif;"&gt;Entradas de linha tipo RCA estéreo e LFE&lt;/span&gt;&lt;/span&gt;&lt;/span&gt;&lt;/p&gt;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style="font-family:Arial,Helvetica,sans-serif;"&gt;Gabinete do tipo Bass Reflex com porta sintonizada traseira&lt;/span&gt;&lt;/span&gt;&lt;/span&gt;&lt;/p&gt;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style="font-family:Arial,Helvetica,sans-serif;"&gt;Bivolt Automático (AC ~100-240V, 50/ 60 Hz)&lt;/span&gt;&lt;/span&gt;&lt;/span&gt;&lt;/p&gt;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style="font-family:Arial,Helvetica,sans-serif;"&gt;Consumo de energia (max): 120W&lt;/span&gt;&lt;/span&gt;&lt;/span&gt;&lt;/p&gt;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style="font-family:Arial,Helvetica,sans-serif;"&gt;Dimensões (LxPxA): 300 x 300 x 342 mm&lt;/span&gt;&lt;/span&gt;&lt;/span&gt;&lt;/p&gt;
&lt;p style="margin: 0px 0px 10px; padding: 0px; color: rgb(102, 102, 102); font-family: Montserrat;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style="font-family:Arial,Helvetica,sans-serif;"&gt;Peso 7.9 Kg&lt;/span&gt;&lt;/span&gt;&lt;/span&gt;&lt;/p&gt;
</t>
  </si>
  <si>
    <t>https://cdn.awsli.com.br/948/948321/produto/257657248/sub8-7d5zosdp17.jpeg</t>
  </si>
  <si>
    <t>https://cdn.awsli.com.br/948/948321/produto/257657248/sub81-mxz4ivcq3a.png</t>
  </si>
  <si>
    <t>https://cdn.awsli.com.br/948/948321/produto/257657248/sem-t-tulo-zz9265u8x3.jpg</t>
  </si>
  <si>
    <t>DMM55YWDT</t>
  </si>
  <si>
    <t>DMM55YWDT-branco</t>
  </si>
  <si>
    <t>Branco</t>
  </si>
  <si>
    <t>DMM55YWDT-preto</t>
  </si>
  <si>
    <t>Preto</t>
  </si>
  <si>
    <t>882B3YGFW</t>
  </si>
  <si>
    <t>882B3YGFW-bivolt</t>
  </si>
  <si>
    <t>Bivolt</t>
  </si>
  <si>
    <t>Receiver JBL MA510 5.2ch 8k Wifi Dolby Digital e DTS</t>
  </si>
  <si>
    <t>SL6AA8PBT</t>
  </si>
  <si>
    <t xml:space="preserve">&lt;p&gt;&lt;span style="font-size:12pt; font-variant:normal; white-space:pre-wrap"&gt;&lt;span style="font-family:Roboto,sans-serif"&gt;&lt;span style="color:#252525"&gt;&lt;span style="background-color:#ffffff"&gt;&lt;span style="font-weight:400"&gt;&lt;span style="font-style:normal"&gt;&lt;span style="text-decoration:none"&gt;O JBL MA510 é um receiver A/V que oferece um realismo espetacular com especificações HDMI 8K para uma super experiência de cinema em casa. Integre perfeitamente sua smart TV ou projetor com 4 entradas HDMI e 1 saída, além de suporte para eARC. Com decodificação nativa de 5 canais dos formatos Dolby e DTS, o MA510 pode proporcionar experiências de cinema incríveis. Ele é projetado com paixão para música e filmes, dando vida a ambos com verdadeira alta fidelidade. Conteúdo de música adicional pode ser acessado via Bluetooth e streaming de rede. O MA510 possui cinco canais de amplificação Classe D de baixo ruído para fornecer potência real a todos os canais.&lt;/span&gt;&lt;/span&gt;&lt;/span&gt;&lt;/span&gt;&lt;/span&gt;&lt;/span&gt;&lt;/span&gt;&lt;br /&gt;
 &lt;/p&gt;
&lt;ul&gt;
	&lt;li aria-level="1" style="list-style-type:disc"&gt; &lt;/li&gt;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style="text-decoration:none"&gt;HDMI eARC: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style="text-decoration:none"&gt;Canal de retorno de áudio HDMI: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style="text-decoration:none"&gt;Conectores de entrada HDMI 8K (HDMI 2.1, HDCP 2.3 até 8K /60 Hz, 4K /120 Hz): 4&lt;/span&gt;&lt;/span&gt;&lt;/span&gt;&lt;/span&gt;&lt;/span&gt;&lt;/span&gt;&lt;/span&gt;&lt;/li&gt;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style="text-decoration:none"&gt;Recursos aprimorados de jogos HDMI 2.1: Games-VRR, ALLM, QFT, HFR (4K a 120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style="text-decoration:none"&gt;HDR 10+, Dolby Vision: Sim ,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style="text-decoration:none"&gt;Formato do arquivo: MP3 / MPEG-4 AAC&lt;/span&gt;&lt;/span&gt;&lt;/span&gt;&lt;/span&gt;&lt;/span&gt;&lt;/span&gt;&lt;/span&gt;&lt;/li&gt;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style="text-decoration:none"&gt;Pure Direct: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style="text-decoration:none"&gt;EZ Set EQ: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style="text-decoration:none"&gt;Processamento de sinal digital: até 24 bits/192 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style="text-decoration:none"&gt;Canais: 5.2&lt;/span&gt;&lt;/span&gt;&lt;/span&gt;&lt;/span&gt;&lt;/span&gt;&lt;/span&gt;&lt;/span&gt;&lt;/li&gt;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nominal a 8Ω (20 Hz a 20 kHz, 2 canais acionados, máx. 0,5% de THD): 75 W RMS&lt;/span&gt;&lt;/span&gt;&lt;/span&gt;&lt;/span&gt;&lt;/span&gt;&lt;/span&gt;&lt;/span&gt;&lt;/li&gt;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nominal a 4Ω (20 Hz a 20 kHz, 2 canais acionados, máx. 0,5% de THD): 100 W RMS&lt;/span&gt;&lt;/span&gt;&lt;/span&gt;&lt;/span&gt;&lt;/span&gt;&lt;/span&gt;&lt;/span&gt;&lt;/li&gt;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incluindo pés e terminais das caixas acústicas (A x L x P): 109,2 mm x 432,0 mm x 347,6 mm (4,3 pol. x 17,0 pol. x 13,7 pol.)&lt;/span&gt;&lt;/span&gt;&lt;/span&gt;&lt;/span&gt;&lt;/span&gt;&lt;/span&gt;&lt;/span&gt;&lt;/li&gt;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style="text-decoration:none"&gt;Peso: 5,4 kg (12 lb)&lt;/span&gt;&lt;/span&gt;&lt;/span&gt;&lt;/span&gt;&lt;/span&gt;&lt;/span&gt;&lt;/span&gt;&lt;/li&gt;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style="text-decoration:none"&gt;Entrada/saída HDMI: 4 / 1&lt;/span&gt;&lt;/span&gt;&lt;/span&gt;&lt;/span&gt;&lt;/span&gt;&lt;/span&gt;&lt;/span&gt;&lt;/li&gt;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style="text-decoration:none"&gt;Wi-Fi: Sim (2,4/5 GHz)&lt;/span&gt;&lt;/span&gt;&lt;/span&gt;&lt;/span&gt;&lt;/span&gt;&lt;/span&gt;&lt;/span&gt;&lt;/li&gt;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style="text-decoration:none"&gt;Recebimento Bluetooth: Sim (v4.1, Baixa energia)&lt;/span&gt;&lt;/span&gt;&lt;/span&gt;&lt;/span&gt;&lt;/span&gt;&lt;/span&gt;&lt;/span&gt;&lt;/li&gt;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style="text-decoration:none"&gt;Entradas de áudio digital: 1 coaxial, 1 óptico, 1 USB&lt;/span&gt;&lt;/span&gt;&lt;/span&gt;&lt;/span&gt;&lt;/span&gt;&lt;/span&gt;&lt;/span&gt;&lt;/li&gt;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 analógica estéreo: 2 RCA de terminação simples&lt;/span&gt;&lt;/span&gt;&lt;/span&gt;&lt;/span&gt;&lt;/span&gt;&lt;/span&gt;&lt;/span&gt;&lt;/li&gt;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style="text-decoration:none"&gt;Saída Pré (RCA de extremidade única): Subwoofer 1, Subwoofer 2&lt;/span&gt;&lt;/span&gt;&lt;/span&gt;&lt;/span&gt;&lt;/span&gt;&lt;/span&gt;&lt;/span&gt;&lt;/li&gt;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style="text-decoration:none"&gt;Ethernet: RJ45 Gigabit, WiFi integrado&lt;/span&gt;&lt;/span&gt;&lt;/span&gt;&lt;/span&gt;&lt;/span&gt;&lt;/span&gt;&lt;/span&gt;&lt;/li&gt;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style="text-decoration:none"&gt;Tensão da rede: 110 a 240 V, 50 a 60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style="text-decoration:none"&gt;Consumo máximo de energia: 300W&lt;/span&gt;&lt;/span&gt;&lt;/span&gt;&lt;/span&gt;&lt;/span&gt;&lt;/span&gt;&lt;/span&gt;&lt;/li&gt;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style="text-decoration:none"&gt;Consumo de energia em standby: &lt;0,5 W&lt;/span&gt;&lt;/span&gt;&lt;/span&gt;&lt;/span&gt;&lt;/span&gt;&lt;/span&gt;&lt;/span&gt;&lt;/li&gt;
&lt;/ul&gt;
&lt;p&gt; &lt;/p&gt;
</t>
  </si>
  <si>
    <t>https://cdn.awsli.com.br/948/948321/produto/326613652/ls_jbl_ma510_receivers_right_facing_2_blk_d3-vnpg5qhze2.PNG</t>
  </si>
  <si>
    <t>https://cdn.awsli.com.br/948/948321/produto/326613652/ls_jbl_ma510_receivers_left_facing_1_blk_hero-c5pom084ic.PNG</t>
  </si>
  <si>
    <t>https://cdn.awsli.com.br/948/948321/produto/326613652/ls_jbl_ma510_receivers_front_1_blk_d1-zcbiw0orkz.PNG</t>
  </si>
  <si>
    <t>https://cdn.awsli.com.br/948/948321/produto/326613652/ls_jbl_ma510_receivers_back_2_blk_d4-biin35fhh7.PNG</t>
  </si>
  <si>
    <t>https://cdn.awsli.com.br/948/948321/produto/326613652/ls_jbl_ma510_receivers_back_detail_1_blk_d7-xe32n3d2eq.PNG</t>
  </si>
  <si>
    <t>GPUMXWQBA</t>
  </si>
  <si>
    <t>GPUMXWQBA-branco-preto</t>
  </si>
  <si>
    <t>Branco/Branco</t>
  </si>
  <si>
    <t>DMM55YWDT-ZCHYS5P41</t>
  </si>
  <si>
    <t>DMM55YWDT-preto-L03TFCDXS</t>
  </si>
  <si>
    <t>DMM55YWDT-branco-T7UNRELRQ</t>
  </si>
  <si>
    <t>GPUMXWQBA-PRETO</t>
  </si>
  <si>
    <t>Preto/Preto</t>
  </si>
  <si>
    <t>RECEIVER DENON AVR-S950H 7.2 canais (USADO)</t>
  </si>
  <si>
    <t>RKTNQ33F5</t>
  </si>
  <si>
    <t>&lt;p&gt;&lt;span style="font-size:16px;"&gt;&lt;strong&gt;&lt;span style="color:#000000;"&gt;SOBRE O EQUIPAMENTO:&lt;/span&gt;&lt;/strong&gt;&lt;/span&gt;&lt;/p&gt;
&lt;p&gt;&lt;span style="font-size:16px;"&gt;&lt;span style="color:#000000;"&gt;Trata-se de um equipamento &lt;strong&gt;USADO &lt;/strong&gt;e sem &lt;strong&gt;GARANTIA, &lt;/strong&gt;porém o comprador terá a garantia que receberá um produto exatamente como anunciado, condições técnicas e visuais em perfeito estado, se achar que não está de acordo poderá devolver o mesmo com &lt;strong&gt;o FRETE POR SUA CONTA.&lt;/strong&gt;&lt;/span&gt;&lt;/span&gt;&lt;/p&gt;
&lt;p&gt;&lt;span style="font-size:16px;"&gt;&lt;span style="color:#000000;"&gt;Esse receiver foi retirado de um cliente onde fizemos um Upgrade por um modelo superior, se encontra em pleno funcionamento de todas as entradas Digitais e analógicas assim como sua estética preservada.&lt;/span&gt;&lt;/span&gt;&lt;/p&gt;
&lt;p&gt;&lt;span style="font-size:16px;"&gt;&lt;span style="color:#e74c3c;"&gt;&lt;strong&gt;Produto acompanha 01 Controle remoto original em bom estado, 01 Microfone de calibração.&lt;/strong&gt;&lt;/span&gt;&lt;/span&gt;&lt;/p&gt;
&lt;p&gt; &lt;/p&gt;
&lt;p&gt; &lt;/p&gt;
&lt;p&gt;&lt;span style="font-size:16px;"&gt;&lt;span style="color:#000000;"&gt;&lt;span style="font-family: &amp;quot;Circular Book&amp;quot;, Arial, Helvetica, sans-serif;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float: none; display: inline !important;"&gt;O AVR-S950H suporta upscaling de vídeo 4K e eARC, além de oito entradas HDMI e duas saídas com suporte total a HDCP 2.3 em todas as portas, garantindo compatibilidade com as mais recentes TVs HD e Ultra HD, leitores de Blu-ray e consolas de jogos. O USB do painel frontal oferece reprodução de áudio conveniente de formatos de áudio MP3 e de alta resolução (arquivos WAV, FLAC, ALAC e DSD 2.8 / 5.6MHz).&lt;/span&gt;&lt;/span&gt;&lt;/span&gt;&lt;/p&gt;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style="color:#000000;"&gt;&lt;strong&gt;CARACTERÍSTICAS – AVR-S950H&lt;/strong&gt;&lt;/span&gt;&lt;/span&gt;&lt;/p&gt;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style="color:#000000;"&gt;7,2ch. Receptor AV 4K de alta potência com Dolby Atmos e Voice Control&lt;/span&gt;&lt;/span&gt;&lt;/p&gt;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style="color:#000000;"&gt;visão global&lt;/span&gt;&lt;/span&gt;&lt;/p&gt;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style="color:#000000;"&gt;Atualize seu home theater com o novo Denon AVR-S950H (modelo 2019). Com 185W por canal, o amplificador Denon com desempenho ajustado proporciona uma incrível experiência de áudio 3D (suporta Dolby Atmos®, Dolby Atmos Altura Virtualization Technology). Além disso, o suporte para as mais recentes tecnologias de vídeo 4K, incluindo Dolby Vision ™, HDR10 e HLG, garante que sua TV ou projetor ofereça a melhor imagem possível.&lt;/span&gt;&lt;/span&gt;&lt;/p&gt;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style="color:#000000;"&gt;O AVR-S950H suporta upscaling de vídeo 4K e eARC, além de oito entradas HDMI e duas saídas com suporte total a HDCP 2.3 em todas as portas, garantindo compatibilidade com as mais recentes TVs HD e Ultra HD, leitores de Blu-ray e consolas de jogos. O USB do painel frontal oferece reprodução de áudio conveniente de formatos de áudio MP3 e de alta resolução (arquivos WAV, FLAC, ALAC e DSD 2.8 / 5.6MHz). Transmita sem fios serviços de música populares como Spotify®, Pandora®, Tidal e muito mais via Bluetooth, Apple AirPlay 2 e Wi-Fi com o sistema HEOS integrado. Funciona com o Amazon Alexa e o Google Assistant para controle de voz sem esforço.&lt;/span&gt;&lt;/span&gt;&lt;/p&gt;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style="color:#000000;"&gt;Orientando-o visualmente em cada etapa do processo de configuração, o premiado Denon Setup Assistant garante uma integração rápida e simples. Como a acústica de cada home theater é diferente, o AVR-S950H possui a tecnologia de calibração de sala premium da Audyssey para medir e otimizar automaticamente o desempenho do seu receptor AV, proporcionando uma experiência de áudio 3D realmente imersiva.&lt;/span&gt;&lt;/span&gt;&lt;/p&gt;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style="color:#000000;"&gt;Características&lt;/span&gt;&lt;/span&gt;&lt;/p&gt;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style="color:#000000;"&gt;Amplificador de 7 canais discreto de alto desempenho: Proporciona desempenho máximo e 185 watts de potência por canal&lt;/span&gt;&lt;/span&gt;&lt;/p&gt;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style="color:#000000;"&gt;Dolby Atmos, DTS: X, Dolby Atmos Altura Virtualização e DTS Virtual: X: Desfrute de uma experiência de áudio imersiva e tridimensional&lt;/span&gt;&lt;/span&gt;&lt;/p&gt;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style="color:#000000;"&gt;8 entradas HDMI com suporte completo ao HDCP 2.3, 2 saídas: Ligue até oito dos seus dispositivos multimédia favoritos com suporte 4K total, resolução a cores 4: 4: 4 e BT.2020&lt;/span&gt;&lt;/span&gt;&lt;/p&gt;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style="color:#000000;"&gt;A mais recente tecnologia de imagem / vídeo disponível: passagem de taxa total 4K Ultra HD / 60 Hz, compatibilidade HDR10, Dolby Vision e HLG (Hybrid Log-Gamma)&lt;/span&gt;&lt;/span&gt;&lt;/p&gt;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style="color:#000000;"&gt;Premiado Denon Setup Assistant: interface gráfica do usuário para uma experiência de configuração fácil e intuitiva&lt;/span&gt;&lt;/span&gt;&lt;/p&gt;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style="color:#000000;"&gt;Compatibilidade com os principais agentes de voz:Funciona com o Amazon Alexa, o Google Assistant ou o Apple Siri para controle de mãos livres do AVR-S950H e serviços de música sem fio.&lt;/span&gt;&lt;/span&gt;&lt;/p&gt;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style="color:#000000;"&gt;Inclui built-in HEOS: streaming de música Wi-Fi e tecnologia de áudio multi-sala com componentes compatíveis&lt;/span&gt;&lt;/span&gt;&lt;/p&gt;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style="color:#000000;"&gt;Compatibilidade com Smart TV: controle facilmente o AVR-S950H com a maioria dos controles remotos de TV via HDMI-CEC&lt;/span&gt;&lt;/span&gt;&lt;/p&gt;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style="color:#000000;"&gt;Novo suporte a eARC (Enhanced Audio Return Channel): Permite a transmissão de áudio 3D diretamente da TV para o receptor AV através do cabo HDMI conectado&lt;/span&gt;&lt;/span&gt;&lt;/p&gt;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style="color:#000000;"&gt;Transmita os serviços de música mais populares:Spotify, Pandora, TuneIn, Deezer e muitos outros – via Bluetooth, AirPlay 2 ou o aplicativo HEOS&lt;/span&gt;&lt;/span&gt;&lt;/p&gt;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style="color:#000000;"&gt;Entrada USB no painel frontal: Reprodução de áudio conveniente de arquivos MP3, WAV, FLAC, ALAC e DSD (2,8 / 5,6 MHz)&lt;/span&gt;&lt;/span&gt;&lt;/p&gt;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style="color:#000000;"&gt;Design de som atualizado com AKM DAC de 32 bits:Permite decodificação de áudio de alta resolução com vários tipos de arquivos sem perdas&lt;/span&gt;&lt;/span&gt;&lt;/p&gt;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style="color:#000000;"&gt;Powered Zone 2: Desfrute do seu programa favorito na sua sala principal e outro dispositivo em outra sala&lt;/span&gt;&lt;/span&gt;&lt;/p&gt;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style="color:#000000;"&gt;Quatro botões de seleção rápida: em destaque no painel frontal, armazene suas configurações de áudio preferidas para cada fonte&lt;/span&gt;&lt;/span&gt;&lt;/p&gt;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style="color:#000000;"&gt;Audyssey MultEQ e Dynamic EQ / Volume: Otimize a acústica de seu ambiente com o software Audyssey e inclua microfone e suporte&lt;/span&gt;&lt;/span&gt;&lt;/p&gt;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style="color:#000000;"&gt;All Zone TV Audio: reproduz o áudio da sua TV para todas as zonas&lt;/span&gt;&lt;/span&gt;&lt;/p&gt;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style="color:#000000;"&gt;Suporte para fone de ouvido Bluetooth: Ouça seu conteúdo favorito com dispositivos inteligentes&lt;/span&gt;&lt;/span&gt;&lt;/p&gt;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 &lt;/p&gt;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style="color:#000000;"&gt;&lt;strong&gt;ESPECIFICAÇÃO TÉCNICA:&lt;/strong&gt;&lt;/span&gt;&lt;/span&gt;&lt;/p&gt;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style="color:#000000;"&gt;Canais 7.2&lt;/span&gt;&lt;/span&gt;&lt;/p&gt;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style="color:#000000;"&gt;Potência 90 W @ 8 Ohms, 20 Hz a 20 kHz, 0,08% THD por canal, 2 canais acionados&lt;/span&gt;&lt;/span&gt;&lt;/p&gt;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style="color:#000000;"&gt;125 W @ 6 Ohms, 1 kHz, 0,7% THD por canal, 2 canais acionados&lt;/span&gt;&lt;/span&gt;&lt;/p&gt;
&lt;p style="box-sizing: border-box; margin-top: 0px; margin-right: 0px; margin-bottom: var(--wd-tags-mb); margin-left: 0px; padding: 0px; border: 0px; vertical-align: baseline; font-style: normal; font-variant-ligatures: normal; font-variant-caps: normal; font-variant-numeric: inherit; font-variant-east-asian: inherit; font-weight: 400; font-stretch: inherit; line-height: inherit; font-family: &amp;quot;Circular Book&amp;quot;, Arial, Helvetica, sans-serif; font-size: 14px; color: rgb(119, 119, 119);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style="font-size:16px;"&gt;&lt;span style="color:#000000;"&gt;185 W @ 6 Ohm</t>
  </si>
  <si>
    <t>https://cdn.awsli.com.br/948/948321/produto/159544235/aae52db4e7.jpg</t>
  </si>
  <si>
    <t>https://cdn.awsli.com.br/948/948321/produto/159544235/3a79e8f6cc.jpg</t>
  </si>
  <si>
    <t>https://cdn.awsli.com.br/948/948321/produto/159544235/0cdb303edd.jpg</t>
  </si>
  <si>
    <t>https://cdn.awsli.com.br/948/948321/produto/159544235/395458e6f5.jpg</t>
  </si>
  <si>
    <t>https://cdn.awsli.com.br/948/948321/produto/159544235/f0996d51c8.jpg</t>
  </si>
  <si>
    <t>Antenna protect DZ9101  - Protetor para utilização em cabos coaxiais (antenas parabólicas e DTH)</t>
  </si>
  <si>
    <t>5 dias</t>
  </si>
  <si>
    <t>015-001</t>
  </si>
  <si>
    <t xml:space="preserve">&lt;p&gt;&lt;span style="font-family:verdana,geneva,sans-serif;"&gt;&lt;span style="font-size:16px;"&gt;&lt;strong&gt;Aplicação:&lt;/strong&gt; Proteção contra surtos de tensão (sobretensão, descargas atmosféricas) e diferença de potencial de aterramento (isolação de terras) que incidem sobre os equipamentos que estão conectados a cabos coaxiais das operadoras de tv a cabo.&lt;/span&gt;&lt;/span&gt;&lt;/p&gt;
&lt;p&gt;&lt;span style="font-family:verdana,geneva,sans-serif;"&gt;&lt;span style="font-size:16px;"&gt;&lt;strong&gt;Instalação:&lt;/strong&gt; Em série com o cabo, entre o cabo da operadora e o equipamento do assinante&lt;/span&gt;&lt;/span&gt;&lt;/p&gt;
&lt;p&gt;&lt;span style="font-family:verdana,geneva,sans-serif;"&gt;&lt;span style="font-size:16px;"&gt;&lt;strong&gt;Como instalar o Cable Protect    &lt;/strong&gt;&lt;/span&gt;&lt;/span&gt;&lt;/p&gt;
&lt;p&gt;&lt;span style="font-family:verdana,geneva,sans-serif;"&gt;&lt;span style="font-size:16px;"&gt;Entrada cabo  =&gt;  Cable Protect  =&gt;  TV&lt;/span&gt;&lt;/span&gt;&lt;/p&gt;
</t>
  </si>
  <si>
    <t>Engeblu</t>
  </si>
  <si>
    <t>Acessórios</t>
  </si>
  <si>
    <t>https://cdn.awsli.com.br/948/948321/produto/35762524/d4f0d0d394.jpg</t>
  </si>
  <si>
    <t>https://cdn.awsli.com.br/948/948321/produto/35762524/dca3e45659.jpg</t>
  </si>
  <si>
    <t>Cable protect CL0302 - Protetor para utilização em cabos coaxiais isolado</t>
  </si>
  <si>
    <t>015-002</t>
  </si>
  <si>
    <t xml:space="preserve">&lt;p&gt;&lt;span style="font-size:16px;"&gt;&lt;span style="font-family:verdana,geneva,sans-serif;"&gt;&lt;strong&gt;Aplicação: &lt;/strong&gt;Proteção contra surtos de tensão (sobretensão, descargas atmosféricas) e diferença de potencial de aterramento (isolação de terras) que incidem sobre os equipamentos que estão conectados a cabos coaxiais das operadoras de tv a cabo.&lt;/span&gt;&lt;/span&gt;&lt;/p&gt;
&lt;p&gt;&lt;span style="font-size:16px;"&gt;&lt;span style="font-family:verdana,geneva,sans-serif;"&gt;&lt;strong&gt;Instalação:&lt;/strong&gt; Em série com o cabo, entre o cabo da operadora e o equipamento do assinante.&lt;/span&gt;&lt;/span&gt;&lt;/p&gt;
&lt;p&gt;&lt;span style="font-size:16px;"&gt;&lt;span style="font-family:verdana,geneva,sans-serif;"&gt;&lt;strong&gt;Como instalar o Cable Protect:&lt;/strong&gt;&lt;/span&gt;&lt;/span&gt;&lt;/p&gt;
&lt;p&gt;&lt;span style="font-size:16px;"&gt;&lt;span style="font-family:verdana,geneva,sans-serif;"&gt;Entrada cabo =&gt; Cable Protect =&gt; TV&lt;/span&gt;&lt;/span&gt;&lt;/p&gt;
</t>
  </si>
  <si>
    <t>https://cdn.awsli.com.br/948/948321/produto/35762820/957f58b7fc.jpg</t>
  </si>
  <si>
    <t>https://cdn.awsli.com.br/948/948321/produto/35762820/bf93931443.jpg</t>
  </si>
  <si>
    <t>Condicionador de energia Engeblu Full Protect FPT 1000-ATX</t>
  </si>
  <si>
    <t>015-010</t>
  </si>
  <si>
    <t>Condicionador de energia para home theater com auto transformador toroidal e proteção contra sub, sobre e surto de tensão. Proteção para cabo coaxial (tv à cabo e/ou antena). Entrada 220V e 7 tomadas com saídas em 120V com total de 1000VA</t>
  </si>
  <si>
    <t xml:space="preserve">&lt;p&gt;&lt;span style="color:#000000;"&gt;&lt;span style="font-size:12pt"&gt;&lt;span style="vertical-align:baseline"&gt;&lt;span style="font-family:&amp;quot;Times New Roman&amp;quot;,serif"&gt;&lt;span style="border:none windowtext 1.0pt; font-family:&amp;quot;Verdana&amp;quot;,sans-serif; padding:0cm"&gt;Condicionador de energia para home theater com auto transformador toroidal e proteção contra sub, sobre e surto de tensão. Proteção para cabo coaxial (tv à cabo e/ou antena). Entrada 220V e 7 tomadas com saídas em 120V com total de 1000VA&lt;/span&gt;&lt;/span&gt;&lt;/span&gt;&lt;/span&gt;&lt;/span&gt;&lt;/p&gt;
&lt;p style="margin-bottom:16px"&gt;&lt;span style="color:#000000;"&gt;&lt;span style="font-size:12pt"&gt;&lt;span style="vertical-align:baseline"&gt;&lt;span style="font-family:&amp;quot;Times New Roman&amp;quot;,serif"&gt;&lt;strong&gt;&lt;span style="font-family:&amp;quot;Verdana&amp;quot;,sans-serif"&gt;Detalhes técnicos:&lt;/span&gt;&lt;/strong&gt;&lt;/span&gt;&lt;/span&gt;&lt;/span&gt;&lt;/span&gt;&lt;/p&gt;
&lt;p&gt;&lt;span style="color:#000000;"&gt;&lt;span style="font-size:12pt"&gt;&lt;span style="vertical-align:baseline"&gt;&lt;span style="outline:0px"&gt;&lt;span style="font-variant-numeric:normal"&gt;&lt;span style="font-variant-east-asian:normal"&gt;&lt;span style="font-stretch:normal"&gt;&lt;span style="pointer-events:auto"&gt;&lt;span style="background-position-x:0px"&gt;&lt;span style="background-position-y:0px"&gt;&lt;span style="font-family:&amp;quot;Times New Roman&amp;quot;,serif"&gt;&lt;span style="font-family:&amp;quot;Verdana&amp;quot;,sans-serif"&gt;- Potência: 1000VA&lt;br /&gt;
- Transformador Toroidal: 1000W&lt;br /&gt;
- Tomadas: 01 tomada frontal e 06 traseiras 120V&lt;br /&gt;
- Faixa de variação de proteção: 175V a 235V&lt;br /&gt;
- Tensão de alimentação: 220V&lt;br /&gt;
- Frequência de trabalho: 50 - 60Hz&lt;br /&gt;
- Proteção CaTv/TvSat - aplicação: Proteção contra surtos de tensão (sobretensão, descargas atmosféricas) que incidem sobre os equipamentos que estão conectados aos cabos coaxiais da Operadora de Tv à cabo ou Antena&lt;span style="border:none windowtext 1.0pt; font-family:&amp;quot;Arial&amp;quot;,sans-serif; padding:0cm"&gt;​&lt;/span&gt;&lt;/span&gt;&lt;/span&gt;&lt;/span&gt;&lt;/span&gt;&lt;/span&gt;&lt;/span&gt;&lt;/span&gt;&lt;/span&gt;&lt;/span&gt;&lt;/span&gt;&lt;/span&gt;&lt;/span&gt;&lt;/p&gt;
&lt;p&gt;&lt;span style="color:#000000;"&gt;&lt;span style="font-size:12pt"&gt;&lt;span style="vertical-align:baseline"&gt;&lt;span style="outline:0px"&gt;&lt;span style="font-variant-numeric:normal"&gt;&lt;span style="font-variant-east-asian:normal"&gt;&lt;span style="font-stretch:normal"&gt;&lt;span style="pointer-events:auto"&gt;&lt;span style="background-position-x:0px"&gt;&lt;span style="background-position-y:0px"&gt;&lt;span style="font-family:&amp;quot;Times New Roman&amp;quot;,serif"&gt;&lt;span style="outline:0px"&gt;&lt;span style="background-position-x:0px"&gt;&lt;span style="background-position-y:0px"&gt;&lt;span style="border:none windowtext 1.0pt; font-family:&amp;quot;Verdana&amp;quot;,sans-serif; padding:0cm"&gt;&lt;span style="outline:0px"&gt;&lt;span style="background-position-x:0px"&gt;&lt;span style="background-position-y:0px"&gt;- Dimensões &lt;/span&gt;&lt;/span&gt;&lt;/span&gt;(L x A x P): 50 x 300 x 220 mm&lt;/span&gt;&lt;/span&gt;&lt;/span&gt;&lt;/span&gt;&lt;/span&gt;&lt;/span&gt;&lt;/span&gt;&lt;/span&gt;&lt;/span&gt;&lt;/span&gt;&lt;/span&gt;&lt;/span&gt;&lt;/span&gt;&lt;/span&gt;&lt;/span&gt;&lt;/p&gt;
&lt;p&gt;&lt;span style="color:#000000;"&gt;&lt;span style="font-size:12pt"&gt;&lt;span style="vertical-align:baseline"&gt;&lt;span style="outline:0px"&gt;&lt;span style="font-variant-numeric:normal"&gt;&lt;span style="font-variant-east-asian:normal"&gt;&lt;span style="font-stretch:normal"&gt;&lt;span style="pointer-events:auto"&gt;&lt;span style="background-position-x:0px"&gt;&lt;span style="background-position-y:0px"&gt;&lt;span style="font-family:&amp;quot;Times New Roman&amp;quot;,serif"&gt;&lt;span style="outline:0px"&gt;&lt;span style="background-position-x:0px"&gt;&lt;span style="background-position-y:0px"&gt;&lt;span style="border:none windowtext 1.0pt; font-family:&amp;quot;Verdana&amp;quot;,sans-serif; padding:0cm"&gt;- &lt;/span&gt;&lt;/span&gt;&lt;/span&gt;&lt;/span&gt;&lt;/span&gt;&lt;/span&gt;&lt;/span&gt;&lt;/span&gt;&lt;/span&gt;&lt;/span&gt;&lt;/span&gt;&lt;/span&gt;&lt;/span&gt;&lt;/span&gt;&lt;/span&gt;&lt;a href="https://www.engeblu.com.br/_files/ugd/e9ba2a_e8c08fb3993f48dfb1e2e9368ba45f9c.pdf"&gt;&lt;span style="color:#e74c3c;"&gt;&lt;span style="font-size:12pt"&gt;&lt;span style="vertical-align:baseline"&gt;&lt;span style="outline:0px"&gt;&lt;span style="font-variant-numeric:normal"&gt;&lt;span style="font-variant-east-asian:normal"&gt;&lt;span style="font-stretch:normal"&gt;&lt;span style="pointer-events:auto"&gt;&lt;span style="background-position-x:0px"&gt;&lt;span style="background-position-y:0px"&gt;&lt;span style="font-family:&amp;quot;Times New Roman&amp;quot;,serif"&gt;&lt;span style="outline:0px"&gt;&lt;span style="background-position-x:0px"&gt;&lt;span style="background-position-y:0px"&gt;&lt;span style="border:none windowtext 1.0pt; font-family:&amp;quot;Verdana&amp;quot;,sans-serif; padding:0cm"&gt;&lt;strong&gt;DOWNLOAD MANUAL&lt;/strong&gt;&lt;/span&gt;&lt;/span&gt;&lt;/span&gt;&lt;/span&gt;&lt;/span&gt;&lt;/span&gt;&lt;/span&gt;&lt;/span&gt;&lt;/span&gt;&lt;/span&gt;&lt;/span&gt;&lt;/span&gt;&lt;/span&gt;&lt;/span&gt;&lt;/span&gt;&lt;/a&gt;&lt;/p&gt;
</t>
  </si>
  <si>
    <t>https://www.youtube.com/watch?v=Xo4R-4bGtOY</t>
  </si>
  <si>
    <t>Condicionador de Energia</t>
  </si>
  <si>
    <t>https://cdn.awsli.com.br/948/948321/produto/54771610/fpt1000-cw05qvg8c2.jpg</t>
  </si>
  <si>
    <t>https://cdn.awsli.com.br/948/948321/produto/54771610/fpt10010-9485arnqb9.jpg</t>
  </si>
  <si>
    <t>https://cdn.awsli.com.br/948/948321/produto/54771610/fpt100130-prxacmoig8.jpg</t>
  </si>
  <si>
    <t>https://cdn.awsli.com.br/948/948321/produto/54771610/fpt1001330-n4ig0zcj27.jpg</t>
  </si>
  <si>
    <t>https://cdn.awsli.com.br/948/948321/produto/54771610/fpt10013230-6zcvph35xj.jpg</t>
  </si>
  <si>
    <t>Cabo Rca Fish - 2 + 2 Rca 1.5m - Injetado Gold</t>
  </si>
  <si>
    <t>SGRDVH3RV</t>
  </si>
  <si>
    <t xml:space="preserve">&lt;p&gt;&lt;span style="font-size:16px;"&gt;&lt;span style="font-family:trebuchet ms,helvetica,sans-serif;"&gt;&lt;span style="color: rgb(102, 102, 102);"&gt;Ideal para conexões entre dispositivo de áudio (mono) e vídeo ou somente linha de áudio stereo.&lt;/span&gt;&lt;br style="box-sizing: border-box; color: rgb(102, 102, 102); font-family: &amp;quot;Proxima Nova&amp;quot;, -apple-system, &amp;quot;Helvetica Neue&amp;quot;, Helvetica, Roboto, Arial, sans-serif; font-size: 20px;" /&gt;
&lt;span style="color: rgb(102, 102, 102);"&gt;Conectores com revestimento em níquel - aumenta qualidade de sinal e minimiza ruídos.&lt;/span&gt;&lt;br style="box-sizing: border-box; color: rgb(102, 102, 102); font-family: &amp;quot;Proxima Nova&amp;quot;, -apple-system, &amp;quot;Helvetica Neue&amp;quot;, Helvetica, Roboto, Arial, sans-serif; font-size: 20px;" /&gt;
&lt;br style="box-sizing: border-box; color: rgb(102, 102, 102); font-family: &amp;quot;Proxima Nova&amp;quot;, -apple-system, &amp;quot;Helvetica Neue&amp;quot;, Helvetica, Roboto, Arial, sans-serif; font-size: 20px;" /&gt;
&lt;span style="color: rgb(102, 102, 102);"&gt;INFORMAÇÕES ADICIONAIS&lt;/span&gt;&lt;br style="box-sizing: border-box; color: rgb(102, 102, 102); font-family: &amp;quot;Proxima Nova&amp;quot;, -apple-system, &amp;quot;Helvetica Neue&amp;quot;, Helvetica, Roboto, Arial, sans-serif; font-size: 20px;" /&gt;
&lt;span style="color: rgb(102, 102, 102);"&gt;Conexão 2 RCA + RCA.&lt;/span&gt;&lt;br style="box-sizing: border-box; color: rgb(102, 102, 102); font-family: &amp;quot;Proxima Nova&amp;quot;, -apple-system, &amp;quot;Helvetica Neue&amp;quot;, Helvetica, Roboto, Arial, sans-serif; font-size: 20px;" /&gt;
&lt;span style="color: rgb(102, 102, 102);"&gt;Comprimento do cabo: 1,50 Metro&lt;/span&gt;&lt;br style="box-sizing: border-box; color: rgb(102, 102, 102); font-family: &amp;quot;Proxima Nova&amp;quot;, -apple-system, &amp;quot;Helvetica Neue&amp;quot;, Helvetica, Roboto, Arial, sans-serif; font-size: 20px;" /&gt;
&lt;span style="color: rgb(102, 102, 102);"&gt;Embalagem: Polybag&lt;/span&gt;&lt;br style="box-sizing: border-box; color: rgb(102, 102, 102); font-family: &amp;quot;Proxima Nova&amp;quot;, -apple-system, &amp;quot;Helvetica Neue&amp;quot;, Helvetica, Roboto, Arial, sans-serif; font-size: 20px;" /&gt;
&lt;span style="color: rgb(102, 102, 102);"&gt;Plug: Fish&lt;/span&gt;&lt;br style="box-sizing: border-box; color: rgb(102, 102, 102); font-family: &amp;quot;Proxima Nova&amp;quot;, -apple-system, &amp;quot;Helvetica Neue&amp;quot;, Helvetica, Roboto, Arial, sans-serif; font-size: 20px;" /&gt;
&lt;span style="color: rgb(102, 102, 102);"&gt;Ponta: Gold&lt;/span&gt;&lt;br style="box-sizing: border-box; color: rgb(102, 102, 102); font-family: &amp;quot;Proxima Nova&amp;quot;, -apple-system, &amp;quot;Helvetica Neue&amp;quot;, Helvetica, Roboto, Arial, sans-serif; font-size: 20px;" /&gt;
&lt;span style="color: rgb(102, 102, 102);"&gt;Série: Padrão&lt;/span&gt;&lt;/span&gt;&lt;/span&gt;&lt;/p&gt;
</t>
  </si>
  <si>
    <t>Fish</t>
  </si>
  <si>
    <t>https://cdn.awsli.com.br/948/948321/produto/72457198/747d406c67.jpg</t>
  </si>
  <si>
    <t>CAIXA DE SOM JBL CI6S PLUS ARANDELA QUADRADA - 160W RMS</t>
  </si>
  <si>
    <t>NWQDMV8J2</t>
  </si>
  <si>
    <t xml:space="preserve">&lt;p style="margin: 0px 0px 10px; padding: 0px; color: rgb(102, 102, 102); font-family: Roboto, sans-serif; font-size: 12px;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style="font-size:16px;"&gt;&lt;span style="margin: 0px; padding: 0px;"&gt;&lt;span style="margin: 0px; padding: 0px; font-family: verdana, geneva, sans-serif;"&gt;&lt;span style="margin: 0px; padding: 0px;"&gt;Descrição do Produto:&lt;/span&gt;&lt;/span&gt;&lt;br /&gt;
&lt;br /&gt;
&lt;span style="font-weight: 400; -webkit-text-stroke-width: 0px; font-family: Roboto, sans-serif; font-style: normal; font-variant-caps: normal; font-variant-ligatures: normal; letter-spacing: normal; margin: 0px 0px 10px; orphans: 2; text-align: start; text-decoration-color: initial; text-decoration-style: initial; text-decoration-thickness: initial; text-indent: 0px; text-transform: none; white-space: normal; widows: 2; word-spacing: 0px;"&gt;A nova linha Ci Plus, foi desenhada para atender o mercado especializado de home theater e o mercado de instalação de som ambiente, com formatos quadrados e retangulares, gabinetes angulados ou regulares, borda ultra fina e telas magnéticas de alumínio à prova de oxidações, para atender a demanda dos arquitetos.&lt;/span&gt;&lt;/span&gt;&lt;br /&gt;
&lt;button aria-controls="radix-:r5:" aria-expanded="true" class="sc-75806410-0 fPPRHK" data-radix-collection-item="" data-state="open" id="radix-:r4:" style="font-weight: 400; margin: 0px; padding: 0px; border: none; list-style: none; box-sizing: border-box; font-size: 16px; cursor: pointer; width: 1408.8px; background: transparent; display: flex; -webkit-box-pack: justify; justify-content: space-between; -webkit-box-align: center; align-items: center; orphans: 2; widows: 2; -webkit-text-stroke-width: 0px; white-space: normal; text-decoration-thickness: initial; text-decoration-style: initial; text-decoration-color: initial; font-family: Poppins, sans-serif !important;" type="button"&gt;&lt;/button&gt;&lt;/span&gt;&lt;/p&gt;
&lt;p style="margin: 0px 0px 10px; padding: 0px; color: rgb(102, 102, 102);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style="font-size:16px;"&gt;&lt;span style="margin: 0px; padding: 0px; border: none; list-style: none; box-sizing: border-box; line-height: 1.125rem; font-weight: 700; font-family: Poppins, sans-serif !important;"&gt;Informações Técnicas:&lt;br /&gt;
&lt;br /&gt;
Características:&lt;/span&gt;&lt;/span&gt;&lt;/p&gt;
&lt;p style="margin: 0px 0px 10px; padding: 0px;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style="margin: 0px; padding: 0px; border: none; list-style: none; box-sizing: border-box; font-size: 16px; font-family: Poppins, sans-serif !important;" /&gt;
&lt;span style="color: rgb(102, 102, 102); font-family: Roboto, sans-serif; font-size: 16px; background-color: rgb(255, 255, 255);"&gt;- Marca: JBL&lt;br style="margin: 0px; padding: 0px; border: none; list-style: none; box-sizing: border-box; font-size: 16px; font-family: Poppins, sans-serif !important;" /&gt;
- Modelo: CI6S PLUS&lt;br style="margin: 0px; padding: 0px; border: none; list-style: none; box-sizing: border-box; font-size: 16px; font-family: Poppins, sans-serif !important;" /&gt;
&lt;br style="margin: 0px; padding: 0px; border: none; list-style: none; box-sizing: border-box; font-size: 16px; font-family: Poppins, sans-serif !important;" /&gt;
&lt;strong style="margin: 0px; padding: 0px; border: none; list-style: none; box-sizing: border-box; font-size: 0.875rem; font-family: Poppins, sans-serif !important; line-height: 1.125rem; font-weight: 700;"&gt;Especificações Técnicas:&lt;/strong&gt;&lt;br style="margin: 0px; padding: 0px; border: none; list-style: none; box-sizing: border-box; font-size: 16px; font-family: Poppins, sans-serif !important;" /&gt;
&lt;br style="margin: 0px; padding: 0px; border: none; list-style: none; box-sizing: border-box; font-size: 16px; font-family: Poppins, sans-serif !important;" /&gt;
- Tipo de caixa: Embutir no Gesso&lt;br style="margin: 0px; padding: 0px; border: none; list-style: none; box-sizing: border-box; font-size: 16px; font-family: Poppins, sans-serif !important;" /&gt;
- Formato: Quadrado&lt;br style="margin: 0px; padding: 0px; border: none; list-style: none; box-sizing: border-box; font-size: 16px; font-family: Poppins, sans-serif !important;" /&gt;
- Sensibilidade: 90dB (@1W/m)&lt;br style="margin: 0px; padding: 0px; border: none; list-style: none; box-sizing: border-box; font-size: 16px; font-family: Poppins, sans-serif !important;" /&gt;
- Woofer: Um woofer de 6"&lt;br style="margin: 0px; padding: 0px; border: none; list-style: none; box-sizing: border-box; font-size: 16px; font-family: Poppins, sans-serif !important;" /&gt;
- Potência: 160&lt;/span&gt;&lt;span style="color: rgb(102, 102, 102); font-family: Roboto, sans-serif; font-size: 16px; background-color: rgb(255, 255, 255);"&gt;W RMS&lt;br style="margin: 0px; padding: 0px; border: none; list-style: none; box-sizing: border-box; font-size: 16px; font-family: Poppins, sans-serif !important;" /&gt;
- Impedância: 8 Ohms&lt;br style="margin: 0px; padding: 0px; border: none; list-style: none; box-sizing: border-box; font-size: 16px; font-family: Poppins, sans-serif !important;" /&gt;
- Resposta de Frequência: 53Hz - 20KHz&lt;br style="margin: 0px; padding: 0px; border: none; list-style: none; box-sizing: border-box; font-size: 16px; font-family: Poppins, sans-serif !important;" /&gt;
- Altura (cm): 23&lt;br style="margin: 0px; padding: 0px; border: none; list-style: none; box-sizing: border-box; font-size: 16px; font-family: Poppins, sans-serif !important;" /&gt;
- Espessura (cm): 8.4&lt;br style="margin: 0px; padding: 0px; border: none; list-style: none; box-sizing: border-box; font-size: 16px; font-family: Poppins, sans-serif !important;" /&gt;
- Largura (cm): 23&lt;br style="margin: 0px; padding: 0px; border: none; list-style: none; box-sizing: border-box; font-size: 16px; font-family: Poppins, sans-serif !important;" /&gt;
- Peso (kg): 1.70&lt;br style="margin: 0px; padding: 0px; border: none; list-style: none; box-sizing: border-box; font-size: 16px; font-family: Poppins, sans-serif !important;" /&gt;
&lt;br style="margin: 0px; padding: 0px; border: none; list-style: none; box-sizing: border-box; font-size: 16px; font-family: Poppins, sans-serif !important;" /&gt;
&lt;strong style="margin: 0px; padding: 0px; border: none; list-style: none; box-sizing: border-box; font-size: 0.875rem; font-family: Poppins, sans-serif !important; line-height: 1.125rem; font-weight: 700;"&gt;Conteúdo da Embalagem:&lt;/strong&gt;&lt;br style="margin: 0px; padding: 0px; border: none; list-style: none; box-sizing: border-box; font-size: 16px; font-family: Poppins, sans-serif !important;" /&gt;
&lt;br style="margin: 0px; padding: 0px; border: none; list-style: none; box-sizing: border-box; font-size: 16px; font-family: Poppins, sans-serif !important;" /&gt;
- Caixa de Embutir Quadrada CI6S PLUS JBL 160W RMS&lt;br style="margin: 0px; padding: 0px; border: none; list-style: none; box-sizing: border-box; font-size: 16px; font-family: Poppins, sans-serif !important;" /&gt;
- Manual de Instalação&lt;br style="margin: 0px; padding: 0px; border: none; list-style: none; box-sizing: border-box; font-size: 16px; font-family: Poppins, sans-serif !important;" /&gt;
- Folheto de Segurança&lt;/span&gt;&lt;/p&gt;
&lt;p style="margin: 0px; padding: 0px; border: none; list-style: none; box-sizing: border-box; font-size: 0.875rem; font-family: Poppins, sans-serif !important; line-height: 1.125rem; font-weight: 400;"&gt; &lt;/p&gt;
&lt;p style="margin: 0px; padding: 0px; border: none; list-style: none; box-sizing: border-box; font-size: 0.875rem; font-family: Poppins, sans-serif !important; line-height: 1.125rem; font-weight: 400;"&gt;&lt;span style="font-size:16px;"&gt;&lt;strong style="margin: 0px; padding: 0px; border: none; list-style: none; box-sizing: border-box; font-size: 0.875rem; font-family: Poppins, sans-serif !important; line-height: 1.125rem; font-weight: 700;"&gt;Garantia do Fornecedor&lt;/strong&gt;&lt;/span&gt;&lt;/p&gt;
&lt;p style="margin: 0px; padding: 0px; border: none; list-style: none; box-sizing: border-box; font-size: 0.875rem; font-family: Poppins, sans-serif !important; line-height: 1.125rem; font-weight: 400;"&gt;&lt;span style="font-size:16px;"&gt;12 meses&lt;/span&gt;&lt;/p&gt;
&lt;p style="margin: 0px; padding: 0px; border: none; list-style: none; box-sizing: border-box; font-size: 0.875rem; font-family: Poppins, sans-serif !important; line-height: 1.125rem; font-weight: 400;"&gt; &lt;/p&gt;
&lt;p style="margin: 0px; padding: 0px; border: none; list-style: none; box-sizing: border-box; font-size: 0.875rem; font-family: Poppins, sans-serif !important; line-height: 1.125rem; font-weight: 400;"&gt;&lt;span style="font-size:16px;"&gt;&lt;strong style="margin: 0px; padding: 0px; border: none; list-style: none; box-sizing: border-box; font-size: 0.875rem; font-family: Poppins, sans-serif !important; line-height: 1.125rem; font-weight: 700;"&gt;Fabricante&lt;/strong&gt;&lt;/span&gt;&lt;/p&gt;
&lt;p style="margin: 0px; padding: 0px; border: none; list-style: none; box-sizing: border-box; font-size: 0.875rem; font-family: Poppins, sans-serif !important; line-height: 1.125rem; font-weight: 400;"&gt;&lt;span style="font-size:16px;"&gt;JBL&lt;/span&gt;&lt;/p&gt;
&lt;p style="margin: 0px; padding: 0px; border: none; list-style: none; box-sizing: border-box; font-size: 0.875rem; font-family: Poppins, sans-serif !important; line-height: 1.125rem; font-weight: 400;"&gt; &lt;/p&gt;
&lt;p style="margin: 0px; padding: 0px; border: none; list-style: none; box-sizing: border-box; font-size: 0.875rem; font-family: Poppins, sans-serif !important; line-height: 1.125rem; font-weight: 400;"&gt;&lt;span style="font-size:16px;"&gt;&lt;strong style="margin: 0px; padding: 0px; border: none; list-style: none; box-sizing: border-box; font-size: 0.875rem; font-family: Poppins, sans-serif !important; line-height: 1.125rem; font-weight: 700;"&gt;Modelo&lt;/strong&gt;&lt;/span&gt;&lt;/p&gt;
&lt;p style="margin: 0px; padding: 0px; border: none; list-style: none; box-sizing: border-box; font-size: 0.875rem; font-family: Poppins, sans-serif !important; line-height: 1.125rem; font-weight: 400;"&gt;&lt;span style="font-size:16px;"&gt;Caixa de Som de Embutir Arandela JBL CI6S PLUS Quadrada 160W Rms&lt;/span&gt;&lt;/p&gt;
</t>
  </si>
  <si>
    <t>https://cdn.awsli.com.br/948/948321/produto/262791900/1-h3y9icoyu6.PNG</t>
  </si>
  <si>
    <t>https://cdn.awsli.com.br/948/948321/produto/262791900/4-rbvq5cplfq.PNG</t>
  </si>
  <si>
    <t>https://cdn.awsli.com.br/948/948321/produto/262791900/5-pb5zf37t0q.PNG</t>
  </si>
  <si>
    <t>https://cdn.awsli.com.br/948/948321/produto/262791900/2-sbsowb9kd0.PNG</t>
  </si>
  <si>
    <t>https://cdn.awsli.com.br/948/948321/produto/262791900/3-f7i2l8df7q.PNG</t>
  </si>
  <si>
    <t>CAIXA ACÚSTICA CENTRAL - JBL STAGE 245C</t>
  </si>
  <si>
    <t>5BG2JM8V4</t>
  </si>
  <si>
    <t>Projetado em nosso mundialmente famoso Centro de Excelência em Engenharia Acústica em Northridge, Califórnia, o Stage 245C é um canal central e foi ajustado para se integrar perfeitamente com as caixas de som da Série Stage 2, sejam elas torres, de b</t>
  </si>
  <si>
    <t xml:space="preserve">&lt;p style="box-sizing: border-box; border-color: rgb(234, 236, 240); margin: 0px 0px 1.2em;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initial;"&gt;Projetado em nosso mundialmente famoso Centro de Excelência em Engenharia Acústica em Northridge, Califórnia, o Stage 245C é um canal central e foi ajustado para se integrar perfeitamente com as caixas de som da Série Stage 2, sejam elas torres, de bookshelf ou até caixas de embutir. Esta caixa torre apresenta um design de 2,5 vias, com geometria de guia de ondas HDI™ patenteada da nova geração, tweeter de cúpula de alumínio de 25mm (1 pol.) e woofers cônicos duplos de policelulose de 114mm (4,5 pol.) que fornecem graves profundos e exclusivos da JBL.&lt;/p&gt;
&lt;p style="box-sizing: border-box; border-color: rgb(234, 236, 240); margin: 0px 0px 1.2em;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initial;"&gt;Woofers de cone canelado de policelulose quádrupla de 114 mm (4,5 pol.)&lt;br style="box-sizing: border-box; border-color: rgb(234, 236, 240);" /&gt;
Cada caixa da série Stage 2 apresenta woofers de cone canelados de policelulose. Este cone de polpa pura tem uma mistura exclusiva de outros materiais adicionados para melhorar sua rigidez e os frisos lembram os lendários designs da JBL. Esses woofers produzem graves profundos, precisos e que preenchem a sala.&lt;/p&gt;
&lt;p style="box-sizing: border-box; border-color: rgb(234, 236, 240); margin: 0px 0px 1.2em;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initial;"&gt;Stage 245C Tweeter de alumínio anodizado de 25mm (1pol.) em uma guia de ondas HDI™ de última geração – Image&lt;br style="box-sizing: border-box; border-color: rgb(234, 236, 240);" /&gt;
Tweeter de alumínio anodizado de 25mm (1pol.) em uma guia de ondas HDI™ de última geração&lt;br style="box-sizing: border-box; border-color: rgb(234, 236, 240);" /&gt;
Por meio de intensa pesquisa de designs de guias de ondas anteriores, a JBL desenvolveu uma nova geometria complexa que melhora a diretividade, a difração reduzida e uma resposta geral de frequência neutra dentro e fora do eixo. A corneta HDI da Stage 2 é acoplada a um tweeter em cúpula de alumínio anodizado para aumentar a eficiência e a dinâmica. Este novo projeto oferece uma resposta de frequência neutra tanto no eixo quanto fora dele.&lt;/p&gt;
&lt;p style="box-sizing: border-box; border-color: rgb(234, 236, 240); margin: 0px;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initial;"&gt;Stage 245C Crossover preciso de 2,5 vias – Image&lt;br style="box-sizing: border-box; border-color: rgb(234, 236, 240);" /&gt;
Crossover preciso de 2,5 vias&lt;br style="box-sizing: border-box; border-color: rgb(234, 236, 240);" /&gt;
O modelo de canal central 245C apresenta um design com crossover exclusivo de duas vias e meia. Esse design exclusivo faz o corte do woofer superior logo abaixo da saída do tweeter, enquanto o outro woofer é cortado em uma frequência menor. Isso cria uma faixa média dinâmica, mas ambos os woofers ainda se estendem o mais profundo possível para graves potentes. Isso produz uma reprodução equilibrada e coesa com uma extremidade baixa robusta que pode ser ouvida e sentida. Componentes premium são usados para construir os crossovers ajustados à linha Stage 2. A seção de alta frequência apresenta indutores de núcleo de ar e capacitores mylar que reduzem a distorção e melhoram o desempenho sônico. A seção de baixa frequência inclui indutores de núcleo laminado e capacitores eletrolíticos. Esses materiais premium podem lidar com mais potência e transmitir energia com maior desempenho e velocidade.&lt;/p&gt;
&lt;p style="box-sizing: border-box; border-color: rgb(234, 236, 240); margin: 0px;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&lt;/p&gt;
&lt;p style="box-sizing: border-box; border-color: rgb(234, 236, 240); margin: 0px;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initial;"&gt;ESPECIFICAÇÃO TÉCNICA:&lt;/p&gt;
&lt;p style="box-sizing: border-box; border-color: rgb(234, 236, 240); margin: 0px;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&lt;/p&gt;
&lt;p style="box-sizing: border-box; border-color: rgb(234, 236, 240); margin: 0px 0px 1.2em;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initial;"&gt;Tipo&lt;br style="box-sizing: border-box; border-color: rgb(234, 236, 240);" /&gt;
Sistema de canal central&lt;br style="box-sizing: border-box; border-color: rgb(234, 236, 240);" /&gt;
Driver de baixa frequência&lt;br style="box-sizing: border-box; border-color: rgb(234, 236, 240);" /&gt;
Cone canelado quádruplo de policelulose de 114 mm (4,5 pol.)&lt;br style="box-sizing: border-box; border-color: rgb(234, 236, 240);" /&gt;
Driver de alta frequência&lt;br style="box-sizing: border-box; border-color: rgb(234, 236, 240);" /&gt;
alumínio anodizado de 25mm (1 pol.)&lt;br style="box-sizing: border-box; border-color: rgb(234, 236, 240);" /&gt;
Guia de ondas&lt;br style="box-sizing: border-box; border-color: rgb(234, 236, 240);" /&gt;
Nova geração de HDI™&lt;br style="box-sizing: border-box; border-color: rgb(234, 236, 240);" /&gt;
Potência recomendada do amplificador 20 a 150 W&lt;br style="box-sizing: border-box; border-color: rgb(234, 236, 240);" /&gt;
Resposta de frequência ± 6dB 55 Hz a 25 kHz&lt;br style="box-sizing: border-box; border-color: rgb(234, 236, 240);" /&gt;
Sensibilidade de 1 M, 2,83 V 91 dB&lt;br style="box-sizing: border-box; border-color: rgb(234, 236, 240);" /&gt;
Impedância nominal 6 Ohms&lt;br style="box-sizing: border-box; border-color: rgb(234, 236, 240);" /&gt;
Frequências de crossover 1,3 kHz/2,0 kHz&lt;br style="box-sizing: border-box; border-color: rgb(234, 236, 240);" /&gt;
Afinamento do gabinete Bass-Reflex via duplo duto traseiro sintonizado&lt;br style="box-sizing: border-box; border-color: rgb(234, 236, 240);" /&gt;
Acabamento Espresso ou latte&lt;/p&gt;
&lt;p style="box-sizing: border-box; border-color: rgb(234, 236, 240); margin: 0px 0px 1.2em;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initial;"&gt;Dimensões&lt;br style="box-sizing: border-box; border-color: rgb(234, 236, 240);" /&gt;
Dimensões (AxLxP): 272 mm x 175 mm x 217 mm (10,7 pol. x 6,9 pol. x 8,5 pol.)&lt;/p&gt;
&lt;p style="box-sizing: border-box; border-color: rgb(234, 236, 240); margin: 0px 0px 1.2em;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initial;"&gt;Peso do produto&lt;br style="box-sizing: border-box; border-color: rgb(234, 236, 240);" /&gt;
12,0 kg (26,4 lb)&lt;br style="box-sizing: border-box; border-color: rgb(234, 236, 240);" /&gt;
Peso de envio: 14,7 kg (32,4 lb)&lt;/p&gt;
&lt;p style="box-sizing: border-box; border-color: rgb(234, 236, 240); margin: 0px;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initial;"&gt;Unidades de medida de envio: Cada&lt;/p&gt;
</t>
  </si>
  <si>
    <t>https://cdn.awsli.com.br/948/948321/produto/269551128/13-yw5agvxskv.jpg</t>
  </si>
  <si>
    <t>https://cdn.awsli.com.br/948/948321/produto/269551128/12-1v77vuvqkq.jpg</t>
  </si>
  <si>
    <t>https://cdn.awsli.com.br/948/948321/produto/269551128/11-y7ishz4uv7.jpg</t>
  </si>
  <si>
    <t>BAMJNWL3K</t>
  </si>
  <si>
    <t>BAMJNWL3K-bivolt</t>
  </si>
  <si>
    <t>QQMMB4RQ3</t>
  </si>
  <si>
    <t>QQMMB4RQ3-bivolt</t>
  </si>
  <si>
    <t>Kit Home Theater 5.0 Caixas monitor Áudio Silver 6</t>
  </si>
  <si>
    <t>T8BH3FZ6W</t>
  </si>
  <si>
    <t>Kit 5.0 Home Theater Monitor Áudio Silver 6 Black Piano</t>
  </si>
  <si>
    <t>Caixas Monitor Áudio linha Silver 6 Black Piano para montar um sistema 5.0 ou Set Estéreo, caixas com extrema qualidade sonora.</t>
  </si>
  <si>
    <t xml:space="preserve">&lt;p&gt;Estamos vendendo esse excelente Kit de caixas da renomada marca Britânica Monitor Áudio, linha Silver 6 Black Piano.&lt;/p&gt;
&lt;p&gt;Com essas caixas você poderá estar montando seu sistema de home theater 5.0 e também usufruir de audio Stéreo com extrema qualidade.&lt;/p&gt;
&lt;p&gt;O Kit é composto pelos seguintes itens;&lt;/p&gt;
&lt;p&gt;02 Torres Monitor Áudio Silver 6 Black Piano &lt;strong&gt;(Estado de conservação 07 de 10)&lt;/strong&gt;&lt;/p&gt;
&lt;p&gt;01 Caixa central Monitor Áudio Silver 6 Black Piano &lt;strong&gt;(Estado de conservação 06 de 10)&lt;/strong&gt;&lt;/p&gt;
&lt;p&gt;02 Caixas surround Monitor Áudio WT180 &lt;strong&gt;(Estado de conservação 06 de 10)&lt;/strong&gt;&lt;/p&gt;
&lt;p&gt;&lt;strong&gt;&lt;span style="color:#c0392b;"&gt;A nota se refere ao estádo físico das caixas (SERIGRAFIA) pois as mesmas tem marcas do tempo, As torres tem alguns riscos superficiais na laca e marcas da fixação da telinha, já na central além de riscos superficiais tem uma pequeno machucado na laca e nas surrounds a telinha necessita de uma re pintura, pois estão amareladas devido ao tempo de uso.&lt;/span&gt;&lt;/strong&gt;&lt;/p&gt;
&lt;p&gt;&lt;strong&gt;&lt;span style="color:#c0392b;"&gt;A nota de referente ao áudio é 10/10, pois está tudo 100% Funcionando e com extrema qualidade sonora.&lt;/span&gt;&lt;/strong&gt;&lt;/p&gt;
&lt;p&gt;&lt;strong&gt;O produto poderá ser retirado em nossa loja ou podemos despachar para qualquer lugar, por se tratar de algo usado o mesmo não possui NF e também a garantia é de 07 dias para arrependimentos conforme o CODIGO DE DEFESA DO CONSUMIDOR, caso ocorra a desistencia por parte do comprador nesse período o FRETE de retorno será por conta do mesmo.&lt;/strong&gt;&lt;/p&gt;
&lt;p&gt; &lt;/p&gt;
&lt;p&gt;&lt;strong&gt;QUALQUER DUVIDA NOS CHAME NO WHATS.&lt;/strong&gt;&lt;/p&gt;
</t>
  </si>
  <si>
    <t>https://cdn.awsli.com.br/948/948321/produto/328916571/471891052_2026966141157068_5068194163402719073_n-21eg6rj03g.jpg</t>
  </si>
  <si>
    <t>https://cdn.awsli.com.br/948/948321/produto/328916571/471531599_980386794135854_2681173134150846259_n-5lsmpb2rxq.jpg</t>
  </si>
  <si>
    <t>https://cdn.awsli.com.br/948/948321/produto/328916571/471728057_1146626190359463_7784595315186069188_n-2veyuskwv0.jpg</t>
  </si>
  <si>
    <t>https://cdn.awsli.com.br/948/948321/produto/328916571/471473206_481315451667109_2112287167663446620_n-e9nqaxj6cn.jpg</t>
  </si>
  <si>
    <t>https://cdn.awsli.com.br/948/948321/produto/328916571/471722299_3918795985075300_7474640725590790830_n-3d2bed5nz4.jpg</t>
  </si>
  <si>
    <t>Amplificador Marantz MM7055 e Processador Marantz AV7701</t>
  </si>
  <si>
    <t>42K3GW9HG</t>
  </si>
  <si>
    <t>Amplificador Marantz MM7055 e Processador Marantz AV 7701</t>
  </si>
  <si>
    <t>Excelente Kit de pré e power Marantz qualidade sonora espetacular, produtos em excelente estado de conservação e funcionamento, ideal para sistema de home theater ou Estéreo.
Amplificador Marantz MM7055
Processador Marantz AV7701</t>
  </si>
  <si>
    <t xml:space="preserve">&lt;h3&gt;Excelente sistema de som da renomada marca Marantz, ideal para quem seja montar um sistema de Home Theater ou Estéreo com alto desepenho sonoro.&lt;/h3&gt;
&lt;h3&gt;Os equipamentos estão em perfeito estado de conservação e funcionamento, seu estado de conservação é 9,5 de 10.&lt;/h3&gt;
&lt;p&gt;&lt;strong&gt;DESCRIÇÃO:&lt;/strong&gt;&lt;/p&gt;
&lt;p&gt;MARANTZ MM7055&lt;/p&gt;
&lt;p style="box-sizing: border-box; border-color: rgb(234, 236, 240); margin: 0px 0px 1.2em;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initial;"&gt;Mesmo com o advento de 7,2 e 9,2-canal de sistemas de som surround, os amantes de teatro mais em casa ainda optar por tentou-e-verdadeiro som de 5.1 canais. Reconhecendo esta realidade, Marantz construída essa usina de 5 canais como o companheiro primário para sua AV7005 preamp / processador. Você não terá que comprar mais canais ampères do que você precisa, mas você pode facilmente adicionar uma ou mais MM7025 2 x 140 watts de amplificadores para a sua configuração para os canais surround ou mais multi-sala de áudio.&lt;/p&gt;
&lt;p style="box-sizing: border-box; border-color: rgb(234, 236, 240); margin: 0px 0px 1.2em;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initial;"&gt;Atrás do MM7055 da fachada elegante encontra-se um muscular, projeto do amplificador, mas requintado comentário corrente que destaca em reproduzir ambos os detalhes finos musical e de arrepiar os cabelos picos transitórios.&lt;/p&gt;
&lt;p style="box-sizing: border-box; border-color: rgb(234, 236, 240); margin: 0px;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initial;"&gt;O MM7055 é confortável condução de alta performance alto-falantes. Se o seu pré-amplificador ou A / V processador tem saídas XLR, você pode conectar-se a entradas deste amplificador XLR e desfrutar da qualidade de som superior que oferecem.&lt;/p&gt;
&lt;p style="box-sizing: border-box; border-color: rgb(234, 236, 240); margin: 0px;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&lt;/p&gt;
&lt;p style="box-sizing: border-box; border-color: rgb(234, 236, 240); margin: 0px;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initial;"&gt;&lt;strong&gt;ESPECIFICAÇÃO TÉCNICA:&lt;/strong&gt;&lt;/p&gt;
&lt;p style="box-sizing: border-box; border-color: rgb(234, 236, 240); margin: 0px;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&lt;/p&gt;
&lt;p style="box-sizing: border-box; border-color: rgb(234, 236, 240); margin: 0px 0px 1.2em;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initial;"&gt;5-canal amplificador de potência&lt;br style="box-sizing: border-box; border-color: rgb(234, 236, 240);" /&gt;
140 watts por canal em 8 ohms (20-20 kHz a THD 0,08%)&lt;br style="box-sizing: border-box; border-color: rgb(234, 236, 240);" /&gt;
resposta de freqüência: 8-100,000 Hz (± 3 dB)&lt;br style="box-sizing: border-box; border-color: rgb(234, 236, 240);" /&gt;
sinal-para-ruído: 105 dB&lt;br style="box-sizing: border-box; border-color: rgb(234, 236, 240);" /&gt;
uma RCA e uma entrada XLR para cada canal&lt;br style="box-sizing: border-box; border-color: rgb(234, 236, 240);" /&gt;
Circuito de retorno discreto de corrente para um som preciso e natural em todos os níveis de volume&lt;br style="box-sizing: border-box; border-color: rgb(234, 236, 240);" /&gt;
DC gatilho entrada / saída&lt;br style="box-sizing: border-box; border-color: rgb(234, 236, 240);" /&gt;
IR entrada do pisca-pisca&lt;br style="box-sizing: border-box; border-color: rgb(234, 236, 240);" /&gt;
transformador toroidal para poder enorme ruído atual e baixo elevado&lt;br style="box-sizing: border-box; border-color: rgb(234, 236, 240);" /&gt;
banhados a ouro de terminais de coluna vinculativos pósdestacável cabo de alimentação&lt;br style="box-sizing: border-box; border-color: rgb(234, 236, 240);" /&gt;
Peso: 34,6 kg.&lt;br style="box-sizing: border-box; border-color: rgb(234, 236, 240);" /&gt;
Dimensões: 17-3/8 W x 7-1/4 H x 16-1/4 D&lt;/p&gt;
&lt;p style="box-sizing: border-box; border-color: rgb(234, 236, 240); margin: 0px 0px 1.2em; color: rgb(71, 84, 103); font-family: Roboto; font-size: 15px;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initial;"&gt;DESCRIÇÃO:&lt;/p&gt;
&lt;p style="box-sizing: border-box; color: rgb(72, 72, 72); font-family: &amp;quot;Open Sans&amp;quot;,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style="box-sizing: border-box; font-size: 12pt;"&gt;&lt;strong _msthash="185" _msttexthash="597740" style="box-sizing: border-box; font-weight: bold;"&gt;Introdução ao Marantz AV7701&lt;/strong&gt;&lt;/span&gt;&lt;/p&gt;
&lt;p _msthash="186" _msttexthash="137958054" style="box-sizing: border-box; color: rgb(72, 72, 72); font-family: &amp;quot;Open Sans&amp;quot;,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initial;"&gt;O mercado de pré-amplificadores e processadores para home theater costumava ser mais vibrante do que é agora. Havia uma variedade maior de produtos para escolher e mais de fabricantes de butiques também. A mudança para HDMI para tudo levou a uma redução aqui, pois os problemas que surgem com o uso de HDMI tornam mais difícil fazer um novo processador do zero. Com essa limitação, torna o mercado para estes, infelizmente, maduro para os fornecedores cobrarem um prêmio devido ao menor número de opções disponíveis.&lt;/p&gt;
&lt;p _msthash="187" _msttexthash="196813669" style="box-sizing: border-box; color: rgb(72, 72, 72); font-family: &amp;quot;Open Sans&amp;quot;,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initial;"&gt;Felizmente, a Marantz lançou seu processador AV7005 há alguns anos, que contém quase todo o processamento e recursos de ponta que as pessoas queriam, mas a um preço mais baixo do que quase qualquer processador por aí. Agora a Marantz tem alguns de volta com o AV7701, um substituto para o AV7005 que o atualiza com as funções modernas de streaming dos receptores e processadores atuais e adiciona alguns outros toques agradáveis, mantendo esse preço agressivo. Esta atualização permitiu que a Marantz mantivesse esse pequeno nicho para si novamente? Troquei o AV7701 pelo meu AV7005 para ver se conseguia distinguir entre os dois.&lt;/p&gt;
&lt;p _msthash="187" _msttexthash="196813669" style="box-sizing: border-box; color: rgb(72, 72, 72); font-family: &amp;quot;Open Sans&amp;quot;,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initial;"&gt;&lt;strong&gt;ESPECIFICAÇÃO TÉCNICA:&lt;/strong&gt;&lt;/p&gt;
&lt;p _msthash="187" _msttexthash="196813669" style="box-sizing: border-box; color: rgb(72, 72, 72); font-family: &amp;quot;Open Sans&amp;quot;,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&lt;/p&gt;
&lt;ul style="box-sizing: border-box; padding: 0px; list-style-type: circle; margin: 15px 0px; list-style-position: inside; color: rgb(72, 72, 72); font-family: &amp;quot;Open Sans&amp;quot;,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&lt;li _msthash="189" _msttexthash="1432119" style="box-sizing: border-box;"&gt;Design: 7.2 A/V Pré-amplificador/Processador&lt;/li&gt;
	&lt;li _msthash="190" _msttexthash="3692052" style="box-sizing: border-box;"&gt;Codecs: Todos, incluindo Audyssey MultEQXT, DSX, EQ dinâmico, Volume dinâmico&lt;/li&gt;
	&lt;li _msthash="191" _msttexthash="101634" style="box-sizing: border-box;"&gt;DACs: 24/192&lt;/li&gt;
	&lt;li _msthash="192" _msttexthash="523614" style="box-sizing: border-box;"&gt;DSP: Analog Devices ADSP21487&lt;/li&gt;
	&lt;li _msthash="193" _msttexthash="12882272" style="box-sizing: border-box;"&gt;Conexões de vídeo: HDMI 1.4a (6 entradas traseiras, 1 entrada frontal, 3 saídas), componente (3 entradas, 1 saída), composto (4 entradas, 2 saídas), sem S-Video&lt;/li&gt;
	&lt;li _msthash="194" _msttexthash="19937710" style="box-sizing: border-box;"&gt;Conexões de áudio: RCA estéreo (6 entradas, 1 saída), óptico (2 entradas, digital coaxial (2 entradas, 7.1 multicanal (1 entrada, 1 pré-saída não balanceada, 1 pré-saída balanceada), USB (1 frontal)&lt;/li&gt;
	&lt;li _msthash="195" _msttexthash="29077659" style="box-sizing: border-box;"&gt;Outras conexões: Ethernet (rádio na Internet, DLNA, streaming e firmware), gatilhos de 12 V (2), RS-232, IR (1 entrada), 2ª zona (HDMI, vídeo composto, vídeo componente, áudio estéreo), 3ª zona (áudio estéreo), fone de ouvido (6,3 mm), AirPlay&lt;/li&gt;
	&lt;li _msthash="196" _msttexthash="504660" style="box-sizing: border-box;"&gt;Dimensões: 7,4" A x 17,3" L x 16" P&lt;/li&gt;
&lt;/ul&gt;
</t>
  </si>
  <si>
    <t>marantz</t>
  </si>
  <si>
    <t>https://cdn.awsli.com.br/948/948321/produto/329610327/466764671_425619077152676_140976936296651509_n-i0e36qbhnc.jpg</t>
  </si>
  <si>
    <t>https://cdn.awsli.com.br/948/948321/produto/329610327/462584312_1137000534504047_453824770238965845_n-aq9oh1t5ww.jpg</t>
  </si>
  <si>
    <t>https://cdn.awsli.com.br/948/948321/produto/329610327/465070473_1986305255182040_3379930057522782785_n-fmny198d14.jpg</t>
  </si>
  <si>
    <t>https://cdn.awsli.com.br/948/948321/produto/329610327/462578061_1101599171017242_6035061717962422083_n-msi17awbpg.jpg</t>
  </si>
  <si>
    <t>https://cdn.awsli.com.br/948/948321/produto/329610327/462581863_3849043095425018_4523710047986331443_n-kb0jidwsvz.jpg</t>
  </si>
  <si>
    <t>CABO HDMI 2.0 PIX 4k 19 PINOS 5m</t>
  </si>
  <si>
    <t>HDMI5MFILTRO</t>
  </si>
  <si>
    <t xml:space="preserve">&lt;p&gt;&lt;span style="font-size:16px;"&gt;&lt;span style="font-family:verdana,geneva,sans-serif;"&gt;&lt;strong&gt;Especificações:&lt;/strong&gt;&lt;br /&gt;
- Os cabos PIX estão em total conformidade com o padrão HDMI 2.0&lt;br /&gt;
- Oferecem todos os recursos do padrão 1.4&lt;br /&gt;
- Atingem 18Gbps de largura de banda&lt;br /&gt;
- Permitem a resolução de 4K em 3D com até 60 quadros por segundo&lt;br /&gt;
- 32 canais de som&lt;br /&gt;
- Proporção de imagem de cinema (21:9) para a melhor experiência em filmes e games&lt;br /&gt;
- Classificação Fiscal (NCM): 85444200&lt;/span&gt;&lt;/span&gt;&lt;/p&gt;
&lt;p&gt;&lt;span style="font-size:16px;"&gt;&lt;span style="font-family:verdana,geneva,sans-serif;"&gt;&lt;strong&gt;Informações adicionais:&lt;/strong&gt;&lt;br /&gt;
- sRGB&lt;br /&gt;
- YCbCr - 4:2:2/4:4:4&lt;br /&gt;
- Áudio 24bit, 192Khz, 8 canais LPCM&lt;br /&gt;
- Blu-Ray e HD DVD com resulução máxima&lt;br /&gt;
- CEC - Controle de outros dispositivos&lt;br /&gt;
- DVD Áudio&lt;br /&gt;
- Super Áudio&lt;br /&gt;
- Deep Color até 48bit&lt;br /&gt;
- xvYYC&lt;br /&gt;
- Auto Lip-Sync&lt;br /&gt;
- Dolby True HD (Áudio 7.1)&lt;br /&gt;
- DTS - HD Master ( Áudio 7.1)&lt;br /&gt;
- CEC Extendido&lt;br /&gt;
- 3D&lt;br /&gt;
- Canal Ethernet&lt;br /&gt;
- Canal de retorno de áudio&lt;br /&gt;
- 4K@30Hz&lt;br /&gt;
- 4k@60Hz&lt;br /&gt;
- Suporte à espaço de cor Rec.2020&lt;br /&gt;
- Suporte à YCbCr 4:2:0&lt;br /&gt;
- 32 canais de áudio&lt;br /&gt;
- Àudio a 1536 Khz&lt;br /&gt;
- 4 canais de vídeo simultâneos&lt;br /&gt;
- 2 canais de vídeo simultâneos (Dual View)&lt;/span&gt;&lt;/span&gt;&lt;/p&gt;
&lt;p&gt;&lt;span style="font-size:16px;"&gt;&lt;span style="font-family:verdana,geneva,sans-serif;"&gt;&lt;strong&gt;Conteúdo da embalagem:&lt;/strong&gt;&lt;br /&gt;
- 01 Cabo HDMI PIX 5m&lt;/span&gt;&lt;/span&gt;&lt;/p&gt;
</t>
  </si>
  <si>
    <t>https://cdn.awsli.com.br/948/948321/produto/59424894/a0997c4fd1.jpg</t>
  </si>
  <si>
    <t>CABO RCA ÁUDIO E VÍDEO DMD 3m</t>
  </si>
  <si>
    <t>GS30533M</t>
  </si>
  <si>
    <t xml:space="preserve">&lt;p&gt;&lt;strong&gt;&lt;span style="font-family:verdana,geneva,sans-serif;"&gt;&lt;span style="font-size:16px;"&gt;Especificações Técnicas&lt;/span&gt;&lt;/span&gt;&lt;/strong&gt;&lt;/p&gt;
&lt;p&gt;&lt;span style="font-family:verdana,geneva,sans-serif;"&gt;&lt;span style="font-size:16px;"&gt;- Suporta sinal de vídeo analógico (resolção até 480i) e audio analógico estéreo (2 canais)&lt;br /&gt;
- Condutor de puro cobre livre de oxigênio - OFC&lt;br /&gt;
- Blindagem dupla para máxima isolação a interferências externas&lt;br /&gt;
- Capa externa em PVC de alta qualidade&lt;br /&gt;
- Conectores banhados a Ouro 24K&lt;br /&gt;
- Reprodução sem perda de sinal&lt;br /&gt;
- Insuladores de Polietileno (FPE) blindados por fita alumínio&lt;br /&gt;
- Cabo com impedância real de 75ohms&lt;/span&gt;&lt;/span&gt;&lt;/p&gt;
&lt;p&gt;&lt;strong&gt;&lt;span style="font-size:16px;"&gt;&lt;span style="font-family:verdana,geneva,sans-serif;"&gt;Aplicações:&lt;/span&gt;&lt;/span&gt;&lt;/strong&gt;&lt;/p&gt;
&lt;p&gt;&lt;span style="font-size:16px;"&gt;&lt;span style="font-family:verdana,geneva,sans-serif;"&gt;- Blu Ray, Receptores de Imagem Digital (Set Top Box), Game, Receivers, Projector, TV&lt;/span&gt;&lt;/span&gt;&lt;/p&gt;
&lt;p&gt;&lt;strong&gt;&lt;span style="font-size:16px;"&gt;&lt;span style="font-family:verdana,geneva,sans-serif;"&gt;Comprimento:&lt;/span&gt;&lt;/span&gt;&lt;/strong&gt;&lt;/p&gt;
&lt;p&gt;&lt;span style="font-size:16px;"&gt;&lt;span style="font-family:verdana,geneva,sans-serif;"&gt;3 metros&lt;/span&gt;&lt;/span&gt;&lt;/p&gt;
</t>
  </si>
  <si>
    <t>https://cdn.awsli.com.br/948/948321/produto/59426174/d011d6ca38.jpg</t>
  </si>
  <si>
    <t>CABO DE FIBRA ÓPTICA DMD  1,5M</t>
  </si>
  <si>
    <t>GS30501-5M</t>
  </si>
  <si>
    <t xml:space="preserve">&lt;p&gt;&lt;strong&gt;&lt;span style="font-size: 16px;"&gt;&lt;span style="font-family: verdana, geneva, sans-serif;"&gt;Especificações Técnicas&lt;/span&gt;&lt;/span&gt;&lt;/strong&gt;&lt;/p&gt;
&lt;p&gt;&lt;span style="font-size: 16px;"&gt;&lt;span style="font-family: verdana, geneva, sans-serif;"&gt;Suporte a audio digital multicanal (até 7.1 canais) Dolby True HD/DTS-HD&lt;br /&gt;
Fibra óptica polimérica com alta taxa de transmissão&lt;br /&gt;
Fibra óptica com perda inferior a -0.17db/metro&lt;br /&gt;
Capa externa dupla em PVC para máxima durabilidade&lt;br /&gt;
Conectores banhados a Ouro 24k&lt;/span&gt;&lt;/span&gt;&lt;/p&gt;
&lt;p&gt;&lt;strong&gt;&lt;span style="font-size: 16px;"&gt;&lt;span style="font-family: verdana, geneva, sans-serif;"&gt;Aplicações&lt;/span&gt;&lt;/span&gt;&lt;/strong&gt;&lt;/p&gt;
&lt;p&gt;&lt;span style="font-size: 16px;"&gt;&lt;span style="font-family: verdana, geneva, sans-serif;"&gt;Blu Ray, Receptores de Imagens digitais , Video Games, Receivers, DVD e TVs&lt;/span&gt;&lt;/span&gt;&lt;/p&gt;
&lt;p&gt;&lt;strong&gt;&lt;span style="font-size: 16px;"&gt;&lt;span style="font-family: verdana, geneva, sans-serif;"&gt;Tamanho&lt;/span&gt;&lt;/span&gt;&lt;/strong&gt;&lt;/p&gt;
&lt;p&gt;&lt;span style="font-size: 16px;"&gt;&lt;span style="font-family: verdana, geneva, sans-serif;"&gt;1,5m&lt;/span&gt;&lt;/span&gt;&lt;/p&gt;
</t>
  </si>
  <si>
    <t>DMD</t>
  </si>
  <si>
    <t>https://cdn.awsli.com.br/948/948321/produto/59428485/43585d0084.jpg</t>
  </si>
  <si>
    <t>CABO HDMI 2.0 DMD 3d 4k HDR 1,8m</t>
  </si>
  <si>
    <t>GS30201-8M</t>
  </si>
  <si>
    <t xml:space="preserve">&lt;p&gt;&lt;strong&gt;&lt;span style="font-size:16px;"&gt;&lt;span style="font-family:verdana,geneva,sans-serif;"&gt;Especificações Técnicas&lt;/span&gt;&lt;/span&gt;&lt;/strong&gt;&lt;/p&gt;
&lt;p&gt;&lt;span style="font-size:16px;"&gt;&lt;span style="font-family:verdana,geneva,sans-serif;"&gt;- HDMI High Speed 2.0 transmissão em alta faixa dinâmica (High Dynamic Range&lt;br /&gt;
HDR)de vídeo largura de banda até 18Gbps 4K @ 50/60 (2160p)3D Ready&lt;br /&gt;
- Suporte a Imagens 3D em telas wide (16:9) e super wide (21:9)&lt;br /&gt;
- Suporte a aplicações IP (Ethernet) com transferência acima de 100Mbps via HDMI&lt;br /&gt;
- ARC ( Áudio Return Channel ) Retorno de Áudio via HDMI&lt;br /&gt;
- Suporte para resolução de vídeo 4K - 1920x1080P Ultra HD 4096x2160 e áudio até 32 canais&lt;br /&gt;
- Transmissão de áudio multi-dimensional à 1536 kHz.&lt;br /&gt;
- Condutores de cobre puro livre de oxigênio (OFC Copper) de 26AWG à 24AWG&lt;br /&gt;
- Blindagem dupla para máxima isolação a interferências externas &lt;br /&gt;
- Capa externa em PVC de alta qualidade&lt;br /&gt;
- Conectores 24K Gold PlatedInsuladores de polietileno (FPE) blindados por fita Mylar.&lt;/span&gt;&lt;/span&gt;&lt;/p&gt;
&lt;p&gt;&lt;span style="font-size:16px;"&gt;&lt;span style="font-family:verdana,geneva,sans-serif;"&gt;&lt;strong&gt;Aplicações:&lt;/strong&gt;&lt;br /&gt;
Blu Ray, Receptor de TV Digital (Setup Box), Game, Receiver, Projetor, TV&lt;/span&gt;&lt;/span&gt;&lt;/p&gt;
&lt;p&gt;&lt;strong&gt;&lt;font face="verdana, geneva, sans-serif"&gt;&lt;span style="font-size: 16px;"&gt;Tamanho:&lt;/span&gt;&lt;/font&gt;&lt;/strong&gt;&lt;/p&gt;
&lt;p&gt;&lt;font face="verdana, geneva, sans-serif"&gt;&lt;span style="font-size: 16px;"&gt;1,8m&lt;/span&gt;&lt;/font&gt;&lt;/p&gt;
</t>
  </si>
  <si>
    <t>https://cdn.awsli.com.br/948/948321/produto/59429463/b3745a6e97.jpg</t>
  </si>
  <si>
    <t xml:space="preserve">Par de Caixas Acústicas Outdoor Pure Acoustics Px255 </t>
  </si>
  <si>
    <t>Multimport-009</t>
  </si>
  <si>
    <t xml:space="preserve">&lt;p&gt;&lt;span style="font-size:16px;"&gt;&lt;span style="font-family:verdana,geneva,sans-serif;"&gt;&lt;strong&gt;Alto-falantes de parede para qualquer clima&lt;/strong&gt;&lt;br /&gt;
- Torne-se um com os elementos&lt;br /&gt;
- Alto-falantes externos profissionais para todos os climas&lt;br /&gt;
- Possui grade de alumínio à prova de ferrugem e gabinete de plástico com certificação IP65 para todos os climas&lt;br /&gt;
- Alto-falantes passivos de 2 vias fornecem agudos cristalinos e graves excepcionais&lt;br /&gt;
- O tweeter de cúpula de titânio produz agudos precisos semelhantes à vida real&lt;br /&gt;
- Potente potência de saída de 100 W para áudio robusto e controlado&lt;br /&gt;
- O pacote Bluetooth opcional oferece todos os mesmos excelentes recursos sem fio&lt;/span&gt;&lt;/span&gt;&lt;/p&gt;
&lt;div&gt;&lt;span style="font-size:16px;"&gt;&lt;span style="font-family:verdana,geneva,sans-serif;"&gt;&lt;strong&gt;Potência da saída:&lt;/strong&gt;&lt;span style="white-space:pre"&gt; &lt;/span&gt;120 watts&lt;/span&gt;&lt;/span&gt;&lt;/div&gt;
&lt;div&gt;&lt;span style="font-size:16px;"&gt;&lt;span style="font-family:verdana,geneva,sans-serif;"&gt;&lt;strong&gt;Resposta de frequência:&lt;/strong&gt;&lt;span style="white-space:pre"&gt; &lt;/span&gt;50-22.000 Hz&lt;/span&gt;&lt;/span&gt;&lt;/div&gt;
&lt;div&gt;&lt;span style="font-size:16px;"&gt;&lt;span style="font-family:verdana,geneva,sans-serif;"&gt;&lt;strong&gt;Sensibilidade:&lt;span style="white-space:pre"&gt; &lt;/span&gt;&lt;/strong&gt;90db&lt;/span&gt;&lt;/span&gt;&lt;/div&gt;
&lt;div&gt;&lt;span style="font-size:16px;"&gt;&lt;span style="font-family:verdana,geneva,sans-serif;"&gt;&lt;strong&gt;Impedância:&lt;/strong&gt;&lt;span style="white-space:pre"&gt; &lt;/span&gt;8 ohm&lt;/span&gt;&lt;/span&gt;&lt;/div&gt;
&lt;div&gt;&lt;span style="font-size:16px;"&gt;&lt;span style="font-family:verdana,geneva,sans-serif;"&gt;&lt;strong&gt;Woofer:&lt;/strong&gt;&lt;span style="white-space:pre"&gt; &lt;/span&gt;Woofer de 5,25 "&lt;/span&gt;&lt;/span&gt;&lt;/div&gt;
&lt;div&gt;&lt;span style="font-size:16px;"&gt;&lt;span style="font-family:verdana,geneva,sans-serif;"&gt;&lt;strong&gt;Tweeter:&lt;/strong&gt;&lt;span style="white-space:pre"&gt; &lt;/span&gt;3/4 "&lt;/span&gt;&lt;/span&gt;&lt;/div&gt;
&lt;div&gt;&lt;span style="font-size:16px;"&gt;&lt;span style="font-family:verdana,geneva,sans-serif;"&gt;&lt;strong&gt;Dimensões do produto:&lt;/strong&gt;&lt;span style="white-space:pre"&gt; &lt;/span&gt;240 x 160 x 165 mm&lt;/span&gt;&lt;/span&gt;&lt;/div&gt;
</t>
  </si>
  <si>
    <t>https://cdn.awsli.com.br/948/948321/produto/61713332/8eccb4b1a5.jpg</t>
  </si>
  <si>
    <t>Cabo Rca Automotivo Y 1 Fêmea + 2 Machos 90 Graus 20cm</t>
  </si>
  <si>
    <t>6BLD6BLS8</t>
  </si>
  <si>
    <t xml:space="preserve">&lt;p&gt;&lt;span style="font-size:16px;"&gt;&lt;span style="font-family:trebuchet ms,helvetica,sans-serif;"&gt;&lt;span style="color: rgb(102, 102, 102);"&gt;Utilizado nas ligações de equipamentos auxiliar de Áudio.&lt;/span&gt;&lt;br style="box-sizing: border-box; color: rgb(102, 102, 102); font-family: &amp;quot;Proxima Nova&amp;quot;, -apple-system, &amp;quot;Helvetica Neue&amp;quot;, Helvetica, Roboto, Arial, sans-serif; font-size: 20px;" /&gt;
&lt;span style="color: rgb(102, 102, 102);"&gt;Específico para som automotivo, simplesmente plugue em cada extremidade.&lt;/span&gt;&lt;br style="box-sizing: border-box; color: rgb(102, 102, 102); font-family: &amp;quot;Proxima Nova&amp;quot;, -apple-system, &amp;quot;Helvetica Neue&amp;quot;, Helvetica, Roboto, Arial, sans-serif; font-size: 20px;" /&gt;
&lt;br style="box-sizing: border-box; color: rgb(102, 102, 102); font-family: &amp;quot;Proxima Nova&amp;quot;, -apple-system, &amp;quot;Helvetica Neue&amp;quot;, Helvetica, Roboto, Arial, sans-serif; font-size: 20px;" /&gt;
&lt;span style="color: rgb(102, 102, 102);"&gt;INFORMAÇÕES ADICIONAIS&lt;/span&gt;&lt;br style="box-sizing: border-box; color: rgb(102, 102, 102); font-family: &amp;quot;Proxima Nova&amp;quot;, -apple-system, &amp;quot;Helvetica Neue&amp;quot;, Helvetica, Roboto, Arial, sans-serif; font-size: 20px;" /&gt;
&lt;span style="color: rgb(102, 102, 102);"&gt;Conexão: 1 RCA Fêmea + 2 RCA Macho 90º Graus.&lt;/span&gt;&lt;br style="box-sizing: border-box; color: rgb(102, 102, 102); font-family: &amp;quot;Proxima Nova&amp;quot;, -apple-system, &amp;quot;Helvetica Neue&amp;quot;, Helvetica, Roboto, Arial, sans-serif; font-size: 20px;" /&gt;
&lt;span style="color: rgb(102, 102, 102);"&gt;Cabo: 4mm.&lt;/span&gt;&lt;br style="box-sizing: border-box; color: rgb(102, 102, 102); font-family: &amp;quot;Proxima Nova&amp;quot;, -apple-system, &amp;quot;Helvetica Neue&amp;quot;, Helvetica, Roboto, Arial, sans-serif; font-size: 20px;" /&gt;
&lt;span style="color: rgb(102, 102, 102);"&gt;Comprimento: 0,20cm.&lt;/span&gt;&lt;br style="box-sizing: border-box; color: rgb(102, 102, 102); font-family: &amp;quot;Proxima Nova&amp;quot;, -apple-system, &amp;quot;Helvetica Neue&amp;quot;, Helvetica, Roboto, Arial, sans-serif; font-size: 20px;" /&gt;
&lt;span style="color: rgb(102, 102, 102);"&gt;Cor: Preto.&lt;/span&gt;&lt;br style="box-sizing: border-box; color: rgb(102, 102, 102); font-family: &amp;quot;Proxima Nova&amp;quot;, -apple-system, &amp;quot;Helvetica Neue&amp;quot;, Helvetica, Roboto, Arial, sans-serif; font-size: 20px;" /&gt;
&lt;span style="color: rgb(102, 102, 102);"&gt;Comprimento do cabo: 0,20 Metro&lt;/span&gt;&lt;br style="box-sizing: border-box; color: rgb(102, 102, 102); font-family: &amp;quot;Proxima Nova&amp;quot;, -apple-system, &amp;quot;Helvetica Neue&amp;quot;, Helvetica, Roboto, Arial, sans-serif; font-size: 20px;" /&gt;
&lt;span style="color: rgb(102, 102, 102);"&gt;Conexão: Y 90 Graus&lt;/span&gt;&lt;br style="box-sizing: border-box; color: rgb(102, 102, 102); font-family: &amp;quot;Proxima Nova&amp;quot;, -apple-system, &amp;quot;Helvetica Neue&amp;quot;, Helvetica, Roboto, Arial, sans-serif; font-size: 20px;" /&gt;
&lt;span style="color: rgb(102, 102, 102);"&gt;Cor: Preto&lt;/span&gt;&lt;br style="box-sizing: border-box; color: rgb(102, 102, 102); font-family: &amp;quot;Proxima Nova&amp;quot;, -apple-system, &amp;quot;Helvetica Neue&amp;quot;, Helvetica, Roboto, Arial, sans-serif; font-size: 20px;" /&gt;
&lt;span style="color: rgb(102, 102, 102);"&gt;Embalagem: Polybag&lt;/span&gt;&lt;br style="box-sizing: border-box; color: rgb(102, 102, 102); font-family: &amp;quot;Proxima Nova&amp;quot;, -apple-system, &amp;quot;Helvetica Neue&amp;quot;, Helvetica, Roboto, Arial, sans-serif; font-size: 20px;" /&gt;
&lt;span style="color: rgb(102, 102, 102);"&gt;MM: 4mm&lt;/span&gt;&lt;br style="box-sizing: border-box; color: rgb(102, 102, 102); font-family: &amp;quot;Proxima Nova&amp;quot;, -apple-system, &amp;quot;Helvetica Neue&amp;quot;, Helvetica, Roboto, Arial, sans-serif; font-size: 20px;" /&gt;
&lt;span style="color: rgb(102, 102, 102);"&gt;Ponta: Gold&lt;/span&gt;&lt;br style="box-sizing: border-box; color: rgb(102, 102, 102); font-family: &amp;quot;Proxima Nova&amp;quot;, -apple-system, &amp;quot;Helvetica Neue&amp;quot;, Helvetica, Roboto, Arial, sans-serif; font-size: 20px;" /&gt;
&lt;span style="color: rgb(102, 102, 102);"&gt;Série: Automotivo&lt;/span&gt;&lt;/span&gt;&lt;/span&gt;&lt;/p&gt;
</t>
  </si>
  <si>
    <t>https://cdn.awsli.com.br/948/948321/produto/72428556/a031baa9ca.jpg</t>
  </si>
  <si>
    <t>CABO HDMI 2.0 PIX 4k HDR 19 PINOS 10m</t>
  </si>
  <si>
    <t>JMQZZ9U7Y</t>
  </si>
  <si>
    <t xml:space="preserve">&lt;p&gt;&lt;span style="font-size:16px;"&gt;&lt;span style="font-family:trebuchet ms,helvetica,sans-serif;"&gt;&lt;strong&gt;&lt;span style="color: rgb(102, 102, 102);"&gt;Especificações:&lt;/span&gt;&lt;/strong&gt;&lt;br style="box-sizing: border-box; color: rgb(102, 102, 102); font-family: &amp;quot;Proxima Nova&amp;quot;, -apple-system, &amp;quot;Helvetica Neue&amp;quot;, Helvetica, Roboto, Arial, sans-serif; font-size: 20px;" /&gt;
&lt;br style="box-sizing: border-box; color: rgb(102, 102, 102); font-family: &amp;quot;Proxima Nova&amp;quot;, -apple-system, &amp;quot;Helvetica Neue&amp;quot;, Helvetica, Roboto, Arial, sans-serif; font-size: 20px;" /&gt;
&lt;strong&gt;&lt;span style="color: rgb(102, 102, 102);"&gt;Canal de retorno de áudio:&lt;/span&gt;&lt;/strong&gt;&lt;br style="box-sizing: border-box; color: rgb(102, 102, 102); font-family: &amp;quot;Proxima Nova&amp;quot;, -apple-system, &amp;quot;Helvetica Neue&amp;quot;, Helvetica, Roboto, Arial, sans-serif; font-size: 20px;" /&gt;
&lt;span style="color: rgb(102, 102, 102);"&gt;- 4K@30Hz&lt;/span&gt;&lt;br style="box-sizing: border-box; color: rgb(102, 102, 102); font-family: &amp;quot;Proxima Nova&amp;quot;, -apple-system, &amp;quot;Helvetica Neue&amp;quot;, Helvetica, Roboto, Arial, sans-serif; font-size: 20px;" /&gt;
&lt;span style="color: rgb(102, 102, 102);"&gt;- 4K@60Hz&lt;/span&gt;&lt;br style="box-sizing: border-box; color: rgb(102, 102, 102); font-family: &amp;quot;Proxima Nova&amp;quot;, -apple-system, &amp;quot;Helvetica Neue&amp;quot;, Helvetica, Roboto, Arial, sans-serif; font-size: 20px;" /&gt;
&lt;strong&gt;&lt;span style="color: rgb(102, 102, 102);"&gt;Áudio:&lt;/span&gt;&lt;/strong&gt;&lt;br style="box-sizing: border-box; color: rgb(102, 102, 102); font-family: &amp;quot;Proxima Nova&amp;quot;, -apple-system, &amp;quot;Helvetica Neue&amp;quot;, Helvetica, Roboto, Arial, sans-serif; font-size: 20px;" /&gt;
&lt;span style="color: rgb(102, 102, 102);"&gt;- 32 canais&lt;/span&gt;&lt;br style="box-sizing: border-box; color: rgb(102, 102, 102); font-family: &amp;quot;Proxima Nova&amp;quot;, -apple-system, &amp;quot;Helvetica Neue&amp;quot;, Helvetica, Roboto, Arial, sans-serif; font-size: 20px;" /&gt;
&lt;span style="color: rgb(102, 102, 102);"&gt;- 24bit, 192Khz, 8 canais LPCM&lt;/span&gt;&lt;br style="box-sizing: border-box; color: rgb(102, 102, 102); font-family: &amp;quot;Proxima Nova&amp;quot;, -apple-system, &amp;quot;Helvetica Neue&amp;quot;, Helvetica, Roboto, Arial, sans-serif; font-size: 20px;" /&gt;
&lt;span style="color: rgb(102, 102, 102);"&gt;- Áudio a 1536 Khz&lt;/span&gt;&lt;br style="box-sizing: border-box; color: rgb(102, 102, 102); font-family: &amp;quot;Proxima Nova&amp;quot;, -apple-system, &amp;quot;Helvetica Neue&amp;quot;, Helvetica, Roboto, Arial, sans-serif; font-size: 20px;" /&gt;
&lt;span style="color: rgb(102, 102, 102);"&gt;- 4 canais simultâneos&lt;/span&gt;&lt;br style="box-sizing: border-box; color: rgb(102, 102, 102); font-family: &amp;quot;Proxima Nova&amp;quot;, -apple-system, &amp;quot;Helvetica Neue&amp;quot;, Helvetica, Roboto, Arial, sans-serif; font-size: 20px;" /&gt;
&lt;span style="color: rgb(102, 102, 102);"&gt;- Super Áudio CD&lt;/span&gt;&lt;br style="box-sizing: border-box; color: rgb(102, 102, 102); font-family: &amp;quot;Proxima Nova&amp;quot;, -apple-system, &amp;quot;Helvetica Neue&amp;quot;, Helvetica, Roboto, Arial, sans-serif; font-size: 20px;" /&gt;
&lt;strong&gt;&lt;span style="color: rgb(102, 102, 102);"&gt;Vídeo:&lt;/span&gt;&lt;/strong&gt;&lt;br style="box-sizing: border-box; color: rgb(102, 102, 102); font-family: &amp;quot;Proxima Nova&amp;quot;, -apple-system, &amp;quot;Helvetica Neue&amp;quot;, Helvetica, Roboto, Arial, sans-serif; font-size: 20px;" /&gt;
&lt;span style="color: rgb(102, 102, 102);"&gt;- 2 canais de vídeo simultâneos (Dual View)&lt;/span&gt;&lt;br style="box-sizing: border-box; color: rgb(102, 102, 102); font-family: &amp;quot;Proxima Nova&amp;quot;, -apple-system, &amp;quot;Helvetica Neue&amp;quot;, Helvetica, Roboto, Arial, sans-serif; font-size: 20px;" /&gt;
&lt;span style="color: rgb(102, 102, 102);"&gt;- Proporção 21:9&lt;/span&gt;&lt;br style="box-sizing: border-box; color: rgb(102, 102, 102); font-family: &amp;quot;Proxima Nova&amp;quot;, -apple-system, &amp;quot;Helvetica Neue&amp;quot;, Helvetica, Roboto, Arial, sans-serif; font-size: 20px;" /&gt;
&lt;span style="color: rgb(102, 102, 102);"&gt;- DVD Áudio&lt;/span&gt;&lt;br style="box-sizing: border-box; color: rgb(102, 102, 102); font-family: &amp;quot;Proxima Nova&amp;quot;, -apple-system, &amp;quot;Helvetica Neue&amp;quot;, Helvetica, Roboto, Arial, sans-serif; font-size: 20px;" /&gt;
&lt;strong&gt;&lt;span style="color: rgb(102, 102, 102);"&gt;Recursos:&lt;/span&gt;&lt;/strong&gt;&lt;br style="box-sizing: border-box; color: rgb(102, 102, 102); font-family: &amp;quot;Proxima Nova&amp;quot;, -apple-system, &amp;quot;Helvetica Neue&amp;quot;, Helvetica, Roboto, Arial, sans-serif; font-size: 20px;" /&gt;
&lt;span style="color: rgb(102, 102, 102);"&gt;- sRGB&lt;/span&gt;&lt;br style="box-sizing: border-box; color: rgb(102, 102, 102); font-family: &amp;quot;Proxima Nova&amp;quot;, -apple-system, &amp;quot;Helvetica Neue&amp;quot;, Helvetica, Roboto, Arial, sans-serif; font-size: 20px;" /&gt;
&lt;span style="color: rgb(102, 102, 102);"&gt;- YCbCr - 4:2/4:4:4&lt;/span&gt;&lt;br style="box-sizing: border-box; color: rgb(102, 102, 102); font-family: &amp;quot;Proxima Nova&amp;quot;, -apple-system, &amp;quot;Helvetica Neue&amp;quot;, Helvetica, Roboto, Arial, sans-serif; font-size: 20px;" /&gt;
&lt;span style="color: rgb(102, 102, 102);"&gt;- Blu-Ray e HD DVD com resolução máxima&lt;/span&gt;&lt;br style="box-sizing: border-box; color: rgb(102, 102, 102); font-family: &amp;quot;Proxima Nova&amp;quot;, -apple-system, &amp;quot;Helvetica Neue&amp;quot;, Helvetica, Roboto, Arial, sans-serif; font-size: 20px;" /&gt;
&lt;span style="color: rgb(102, 102, 102);"&gt;- CEC - Controle de outros dispositivos&lt;/span&gt;&lt;br style="box-sizing: border-box; color: rgb(102, 102, 102); font-family: &amp;quot;Proxima Nova&amp;quot;, -apple-system, &amp;quot;Helvetica Neue&amp;quot;, Helvetica, Roboto, Arial, sans-serif; font-size: 20px;" /&gt;
&lt;span style="color: rgb(102, 102, 102);"&gt;- Deep Color até 48bit&lt;/span&gt;&lt;br style="box-sizing: border-box; color: rgb(102, 102, 102); font-family: &amp;quot;Proxima Nova&amp;quot;, -apple-system, &amp;quot;Helvetica Neue&amp;quot;, Helvetica, Roboto, Arial, sans-serif; font-size: 20px;" /&gt;
&lt;span style="color: rgb(102, 102, 102);"&gt;- xvYCC&lt;/span&gt;&lt;br style="box-sizing: border-box; color: rgb(102, 102, 102); font-family: &amp;quot;Proxima Nova&amp;quot;, -apple-system, &amp;quot;Helvetica Neue&amp;quot;, Helvetica, Roboto, Arial, sans-serif; font-size: 20px;" /&gt;
&lt;span style="color: rgb(102, 102, 102);"&gt;- Auto Lip-Sync&lt;/span&gt;&lt;br style="box-sizing: border-box; color: rgb(102, 102, 102); font-family: &amp;quot;Proxima Nova&amp;quot;, -apple-system, &amp;quot;Helvetica Neue&amp;quot;, Helvetica, Roboto, Arial, sans-serif; font-size: 20px;" /&gt;
&lt;span style="color: rgb(102, 102, 102);"&gt;- Dolby True HD (Áudio 7.1)&lt;/span&gt;&lt;br style="box-sizing: border-box; color: rgb(102, 102, 102); font-family: &amp;quot;Proxima Nova&amp;quot;, -apple-system, &amp;quot;Helvetica Neue&amp;quot;, Helvetica, Roboto, Arial, sans-serif; font-size: 20px;" /&gt;
&lt;span style="color: rgb(102, 102, 102);"&gt;- DTS-HD Master (Áudio 7.1)&lt;/span&gt;&lt;br style="box-sizing: border-box; color: rgb(102, 102, 102); font-family: &amp;quot;Proxima Nova&amp;quot;, -apple-system, &amp;quot;Helvetica Neue&amp;quot;, Helvetica, Roboto, Arial, sans-serif; font-size: 20px;" /&gt;
&lt;span style="color: rgb(102, 102, 102);"&gt;- CEC Extendido&lt;/span&gt;&lt;br style="box-sizing: border-box; color: rgb(102, 102, 102); font-family: &amp;quot;Proxima Nova&amp;quot;, -apple-system, &amp;quot;Helvetica Neue&amp;quot;, Helvetica, Roboto, Arial, sans-serif; font-size: 20px;" /&gt;
&lt;span style="color: rgb(102, 102, 102);"&gt;- 3D&lt;/span&gt;&lt;br style="box-sizing: border-box; color: rgb(102, 102, 102); font-family: &amp;quot;Proxima Nova&amp;quot;, -apple-system, &amp;quot;Helvetica Neue&amp;quot;, Helvetica, Roboto, Arial, sans-serif; font-size: 20px;" /&gt;
&lt;span style="color: rgb(102, 102, 102);"&gt;- Canal Ethernet&lt;/span&gt;&lt;br style="box-sizing: border-box; color: rgb(102, 102, 102); font-family: &amp;quot;Proxima Nova&amp;quot;, -apple-system, &amp;quot;Helvetica Neue&amp;quot;, Helvetica, Roboto, Arial, sans-serif; font-size: 20px;" /&gt;
&lt;span style="color: rgb(102, 102, 102);"&gt;- Suporte à espaço de cor Rec.2020&lt;/span&gt;&lt;br style="box-sizing: border-box; color: rgb(102, 102, 102); font-family: &amp;quot;Proxima Nova&amp;quot;, -apple-system, &amp;quot;Helvetica Neue&amp;quot;, Helvetica, Roboto, Arial, sans-serif; font-size: 20px;" /&gt;
&lt;span style="color: rgb(102, 102, 102);"&gt;- Suporte à YCbCr 4:2:0&lt;/span&gt;&lt;br style="box-sizing: border-box; color: rgb(102, 102, 102); font-family: &amp;quot;Proxima Nova&amp;quot;, -apple-system, &amp;quot;Helvetica Neue&amp;quot;, Helvetica, Roboto, Arial, sans-serif; font-size: 20px;" /&gt;
&lt;strong&gt;&lt;span style="color: rgb(102, 102, 102);"&gt;Informações adicionais:&lt;/span&gt;&lt;/strong&gt;&lt;br style="box-sizing: border-box; color: rgb(102, 102, 102); font-family: &amp;quot;Proxima Nova&amp;quot;, -apple-system, &amp;quot;Helvetica Neue&amp;quot;, Helvetica, Roboto, Arial, sans-serif; font-size: 20px;" /&gt;
&lt;span style="color: rgb(102, 102, 102);"&gt;- Nova versão 2.0-Atinge até 60 quadros por segundo (60Hz).&lt;/span&gt;&lt;br style="box-sizing: border-box; color: rgb(102, 102, 102); font-family: &amp;quot;Proxima Nova&amp;quot;, -apple-system, &amp;quot;Helvetica Neue&amp;quot;, Helvetica, Roboto, Arial, sans-serif; font-size: 20px;" /&gt;
&lt;span style="color: rgb(102, 102, 102);"&gt;- Resolução de 4K, proporciona uma melhor experiência em jogos e filmes.&lt;/span&gt;&lt;br style="box-sizing: border-box; color: rgb(102, 102, 102); font-family: &amp;quot;Proxima Nova&amp;quot;, -apple-system, &amp;quot;Helvetica Neue&amp;quot;, Helvetica, Roboto, Arial, sans-serif; font-size: 20px;" /&gt;
&lt;span style="color: rgb(102, 102, 102);"&gt;- 32 canais de áudio.&lt;/span&gt;&lt;br style="box-sizing: border-box; color: rgb(102, 102, 102); font-family: &amp;quot;Proxima Nova&amp;quot;, -apple-system, &amp;quot;Helvetica Neue&amp;quot;, Helvetica, Roboto, Arial, sans-serif; font-size: 20px;" /&gt;
&lt;span style="color: rgb(102, 102, 102);"&gt;- Fidelidade de áudio com frequência da amostragem de até 1536kHz&lt;/span&gt;&lt;br style="box-sizing: border-box; color: rgb(102, 102, 102); font-family: &amp;quot;Proxima Nova&amp;quot;, -apple-system, &amp;quot;Helvetica Neue&amp;quot;, Helvetica, Roboto, Arial, sans-serif; font-size: 20px;" /&gt;
&lt;span style="color: rgb(102, 102, 102);"&gt;- Suporta proporção Superwide (cinema) 21:9 com resolução de 4K a 50/60Hz.&lt;/span&gt;&lt;br style="box-sizing: border-box; color: rgb(102, 102, 102); font-family: &amp;quot;Proxima Nova&amp;quot;, -apple-system, &amp;quot;Helvetica Neue&amp;quot;, Helvetica, Roboto, Arial, sans-serif; font-size: 20px;" /&gt;
&lt;span style="color: rgb(102, 102, 102);"&gt;- Largura de banda de 18Gbits por segundo, permite maiores frequências nas resoluções mais altas.&lt;/span&gt;&lt;br style="box-sizing: border-box; color: rgb(102, 102, 102); font-family: &amp;quot;Proxima Nova&amp;quot;, -apple-system, &amp;quot;Helvetica Neue&amp;quot;, Helvetica, Roboto, Arial, sans-serif; font-size: 20px;" /&gt;
&lt;strong&gt;&lt;span style="color: rgb(102, 102, 102);"&gt;Conteúdo da embalagem:&lt;/span&gt;&lt;/strong&gt;&lt;br style="box-sizing: border-box; color: rgb(102, 102, 102); font-family: &amp;quot;Proxima Nova&amp;quot;, -apple-system, &amp;quot;Helvetica Neue&amp;quot;, Helvetica, Roboto, Arial, sans-serif; font-size: 20px;" /&gt;
&lt;span style="color: rgb(102, 102, 102);"&gt;- Cabo HDMI PIX&lt;/span&gt;&lt;/span&gt;&lt;/span&gt;&lt;/p&gt;
</t>
  </si>
  <si>
    <t>https://cdn.awsli.com.br/948/948321/produto/72461366/af7ab2af85.jpg</t>
  </si>
  <si>
    <t>Conjunto De Caixas Acústicas - Pure Acoustics Proxima 5.0</t>
  </si>
  <si>
    <t>3 dias</t>
  </si>
  <si>
    <t>N3JFBARBG</t>
  </si>
  <si>
    <t>As caixas acústicas para Home Theater Pure Acoustics - PROXIMA garantem uma qualidade inigualável de som, tanto para ver filmes em sistema de som surround ou ouvir gravações de música estéreo. O som é rico, dinâmico e livre de distorções.</t>
  </si>
  <si>
    <t>&lt;p&gt;&lt;span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none;"&gt;As caixas acústicas para Home Theater Pure Acoustics - PROXIMA garantem uma qualidade inigualável de som, tanto para ver filmes em sistema de som surround ou ouvir gravações de música estéreo. O som é rico, dinâmico e livre de distorções. Os três alto-falantes de 6.5" das torres em conjunto com a central e surround entregam uma reprodução de som excepcional, com o mínimo de distorção. O acabamento único acrescenta um toque moderno ao ambiente da casa.&lt;/span&gt;&lt;br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none;"&gt;Especificações técnicas - Caixas Torre (cada):&lt;/span&gt;&lt;br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none;"&gt;Potência (RMS): 250 Watts&lt;/span&gt;&lt;br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none;"&gt;Frequência de Resposta: 39Hz - 20Khz&lt;/span&gt;&lt;br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none;"&gt;Sensibilidade (+/- 3dB): 91dB&lt;/span&gt;&lt;br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none;"&gt;Impedância Nominal: 8 Ohms&lt;/span&gt;&lt;br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none;"&gt;Montagem: 3 vias&lt;/span&gt;&lt;br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none;"&gt;Woofer: 3 - 6,5"&lt;/span&gt;&lt;br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none;"&gt;Tweeter: 1 - 1"&lt;/span&gt;&lt;br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none;"&gt;Frequência do Crossover: 1000 - 3500 Hz&lt;/span&gt;&lt;br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none;"&gt;Dimensões (AxLxP): 114 x 21 x 30 cm&lt;/span&gt;&lt;br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none;"&gt;Acompanha tela frontal&lt;/span&gt;&lt;br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none;"&gt;Cor/Acabamento: Preto&lt;/span&gt;&lt;br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none;"&gt;Garantia: 1 ano&lt;/span&gt;&lt;br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none;"&gt;Especificações técnicas - Caixa Central:&lt;/span&gt;&lt;br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none;"&gt;Potência (RMS): 150 Watts&lt;/span&gt;&lt;br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none;"&gt;Frequência de Resposta: 65Hz - 20Khz&lt;/span&gt;&lt;br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none;"&gt;Sensibilidade (+/- 3dB): 89dB&lt;/span&gt;&lt;br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none;"&gt;Impedância Nominal: 8 Ohms&lt;/span&gt;&lt;br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none;"&gt;Montagem: 2 vias&lt;/span&gt;&lt;br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none;"&gt;Woofer: 2 - 5"&lt;/span&gt;&lt;br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none;"&gt;Tweeter: 1 - 1"&lt;/span&gt;&lt;br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none;"&gt;Dimensôes (AxLxP): 18 x 55 x 17 cm&lt;/span&gt;&lt;br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none;"&gt;Acompanha tela frontal&lt;/span&gt;&lt;br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t>
  </si>
  <si>
    <t>Kits</t>
  </si>
  <si>
    <t>https://cdn.awsli.com.br/948/948321/produto/110702508/63c358072b.jpg</t>
  </si>
  <si>
    <t>https://cdn.awsli.com.br/948/948321/produto/110702508/63dd2a888e.jpg</t>
  </si>
  <si>
    <t>https://cdn.awsli.com.br/948/948321/produto/110702508/d95aa6918d.jpg</t>
  </si>
  <si>
    <t>https://cdn.awsli.com.br/948/948321/produto/110702508/44635a4401.jpg</t>
  </si>
  <si>
    <t>Conjunto De Caixas Acústicas - Pure Acoustics Proxima 5.1</t>
  </si>
  <si>
    <t>N3JFBARBG-K9SY4YN8J</t>
  </si>
  <si>
    <t>https://cdn.awsli.com.br/948/948321/produto/110702759/36c0ceab77.jpg</t>
  </si>
  <si>
    <t>https://cdn.awsli.com.br/948/948321/produto/110702759/06c2b18349.jpg</t>
  </si>
  <si>
    <t>https://cdn.awsli.com.br/948/948321/produto/110702759/78d1f61b5b.jpg</t>
  </si>
  <si>
    <t>https://cdn.awsli.com.br/948/948321/produto/110702759/e484b72f64.jpg</t>
  </si>
  <si>
    <t>https://cdn.awsli.com.br/948/948321/produto/110702759/46f600a8d1.jpg</t>
  </si>
  <si>
    <t>Par de caixas torre Pure Acoustics PRÓXIMA</t>
  </si>
  <si>
    <t>J57MGHSNE</t>
  </si>
  <si>
    <t xml:space="preserve">&lt;p&gt;&lt;span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none;"&gt;As caixas acústicas para Home Theater Pure Acoustics - PROXIMA garantem uma qualidade inigualável de som, tanto para ver filmes em sistema de som surround ou ouvir gravações de música estéreo. O som é rico, dinâmico e livre de distorções. Os três alto-falantes de 6.5" das torres em conjunto com a central e surround entregam uma reprodução de som excepcional, com o mínimo de distorção. O acabamento único acrescenta um toque moderno ao ambiente da casa.&lt;/span&gt;&lt;br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none;"&gt;Especificações técnicas - Caixas Torre (cada):&lt;/span&gt;&lt;br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none;"&gt;Potência (RMS): 250 Watts&lt;/span&gt;&lt;br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none;"&gt;Frequência de Resposta: 39Hz - 20Khz&lt;/span&gt;&lt;br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none;"&gt;Sensibilidade (+/- 3dB): 91dB&lt;/span&gt;&lt;br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none;"&gt;Impedância Nominal: 8 Ohms&lt;/span&gt;&lt;br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none;"&gt;Montagem: 3 vias&lt;/span&gt;&lt;br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none;"&gt;Woofer: 3 - 6,5"&lt;/span&gt;&lt;br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none;"&gt;Tweeter: 1 - 1"&lt;/span&gt;&lt;br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none;"&gt;Frequência do Crossover: 1000 - 3500 Hz&lt;/span&gt;&lt;br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none;"&gt;Dimensões (AxLxP): 114 x 21 x 30 cm&lt;/span&gt;&lt;br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none;"&gt;Acompanha tela frontal&lt;/span&gt;&lt;br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none;"&gt;Cor/Acabamento: Preto&lt;/span&gt;&lt;br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none;"&gt;Garantia: 1 ano&lt;/span&gt;&lt;/p&gt;
</t>
  </si>
  <si>
    <t>https://cdn.awsli.com.br/948/948321/produto/110703617/19a727f83a.jpg</t>
  </si>
  <si>
    <t>Par de Caixa Acústica com Trafo 70V(25W) Ambience Line MSB406W  HAYONIK</t>
  </si>
  <si>
    <t>UA6HCU6TL</t>
  </si>
  <si>
    <t xml:space="preserve">&lt;div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style="font-size:16px;"&gt;A linha de Caixas Ambience Line da HAYONIK pertencem a um sistema de caixas acústicas para instalação na maioria dos ambientes. Conta com um sistema em 2 Vias, onde dispõe de woofer de 4" para uma grande faixa de frequências, um tweeter de 0,5" onde a resposta em frequências altas é bem mais eficaz. Dispõe também de um sistema com alto-falantes de cone com suspensão, onde o local quer mais atenção em frequências baixas, além de já vir com o trafo de 70V instalado internamente.&lt;br style="box-sizing: border-box; font-family: proxima-nova, Arial, Helvetica, sans-serif;" /&gt;
&lt;br style="box-sizing: border-box; font-family: proxima-nova, Arial, Helvetica, sans-serif;" /&gt;
Esta Caixa Ambience Line MSB406N da HAYONIK possibilita um perfeito sistema para sonorização de ambiente pequeno, médio a grande porte. Seu sistema é altamente versátil e com uma excelente relação custo-benefício.&lt;/span&gt;&lt;/p&gt;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&lt;h3 style="box-sizing: border-box; margin-top: 15px; margin-bottom: 15px; font-weight: 700; line-height: 1.2; font-size: 20px; font-family: proxima-nova, Arial, Helvetica, sans-serif; color: rgb(49, 49, 49);"&gt;&lt;span style="font-size:16px;"&gt;Características&lt;/span&gt;&lt;/h3&gt;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style="font-size:16px;"&gt;Alto Falantes: Woofer de 4" e 1 Tweeter de 0,5"&lt;/span&gt;&lt;/p&gt;
&lt;p style="box-sizing: border-box; margin-top: 0px; margin-bottom: 5px; font-family: proxima-nova, Arial, Helvetica, sans-serif; font-size: 14px; color: rgb(49, 49, 49);"&gt;&lt;span style="font-size:16px;"&gt;Potência: 25W RMS&lt;/span&gt;&lt;/p&gt;
&lt;p style="box-sizing: border-box; margin-top: 0px; margin-bottom: 5px; font-family: proxima-nova, Arial, Helvetica, sans-serif; font-size: 14px; color: rgb(49, 49, 49);"&gt;&lt;span style="font-size:16px;"&gt;Impedância: 70V&lt;/span&gt;&lt;/p&gt;
&lt;p style="box-sizing: border-box; margin-top: 0px; margin-bottom: 5px; font-family: proxima-nova, Arial, Helvetica, sans-serif; font-size: 14px; color: rgb(49, 49, 49);"&gt;&lt;span style="font-size:16px;"&gt;Resposta Frequência: 100Hz~20kHz&lt;/span&gt;&lt;/p&gt;
&lt;p style="box-sizing: border-box; margin-top: 0px; margin-bottom: 5px; font-family: proxima-nova, Arial, Helvetica, sans-serif; font-size: 14px; color: rgb(49, 49, 49);"&gt;&lt;span style="font-size:16px;"&gt;Dimensões: 140x205x125mm&lt;/span&gt;&lt;/p&gt;
&lt;p style="box-sizing: border-box; margin-top: 0px; margin-bottom: 5px; font-family: proxima-nova, Arial, Helvetica, sans-serif; font-size: 14px; color: rgb(49, 49, 49);"&gt;&lt;span style="font-size:16px;"&gt;Cor: Branca&lt;/span&gt;&lt;/p&gt;
&lt;/div&gt;
</t>
  </si>
  <si>
    <t>HAYONIK</t>
  </si>
  <si>
    <t>https://cdn.awsli.com.br/948/948321/produto/111262879/c1a80547d3.jpg</t>
  </si>
  <si>
    <t>https://cdn.awsli.com.br/948/948321/produto/111262879/a4fec021be.jpg</t>
  </si>
  <si>
    <t>https://cdn.awsli.com.br/948/948321/produto/111262879/5ea3982c9c.jpg</t>
  </si>
  <si>
    <t>https://cdn.awsli.com.br/948/948321/produto/111262879/279dbc017a.jpg</t>
  </si>
  <si>
    <t>https://cdn.awsli.com.br/948/948321/produto/111262879/51cee78587.jpg</t>
  </si>
  <si>
    <t>manter disponibilidade</t>
  </si>
  <si>
    <t>produto-rascunho-2021-07-22-15-38-34</t>
  </si>
  <si>
    <t>https://cdn.awsli.com.br/948/948321/produto/111851516/5a596f5bfe.jpg</t>
  </si>
  <si>
    <t>https://cdn.awsli.com.br/948/948321/produto/111851516/ba33703a30.jpg</t>
  </si>
  <si>
    <t>https://cdn.awsli.com.br/948/948321/produto/111851516/1d12b8d5fe.jpg</t>
  </si>
  <si>
    <t>https://cdn.awsli.com.br/948/948321/produto/111851516/c192a62534.jpg</t>
  </si>
  <si>
    <t>https://cdn.awsli.com.br/948/948321/produto/111851516/c33de28c73.jpg</t>
  </si>
  <si>
    <t>Kit Sonorização Hayonik</t>
  </si>
  <si>
    <t>NLRU84LAE</t>
  </si>
  <si>
    <t xml:space="preserve">&lt;p style="margin: 0px 0px 10px; padding: 0px; color: rgb(102, 102, 102); font-family: Roboto, sans-serif; font-size: 12px;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initial;"&gt;O Kit de sonorização Hionik é composto por um amplificador 4ch 04 caixas de embutir no forro e 06 caixas de sobrepor.&lt;/p&gt;
&lt;p style="margin: 0px 0px 10px; padding: 0px; color: rgb(102, 102, 102); font-family: Roboto, sans-serif; font-size: 12px;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 &lt;/p&gt;
&lt;p style="margin: 0px 0px 10px; padding: 0px; color: rgb(102, 102, 102); font-family: Roboto, sans-serif; font-size: 12px;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initial;"&gt;KIT PERSONALIZADO MONTADO PARA O SRº ÉDSON.&lt;/p&gt;
</t>
  </si>
  <si>
    <t>https://cdn.awsli.com.br/948/948321/produto/114585057/eee6073c32.jpg</t>
  </si>
  <si>
    <t>Toca Disco Vintage Akai Ap- A2 (único Dono)</t>
  </si>
  <si>
    <t>7K4HZYW63</t>
  </si>
  <si>
    <t xml:space="preserve">&lt;p&gt;&lt;span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none;"&gt;toca discos akai ap-a2c direct drive em perfeito estado, muito bem conservado, único dono nunca foi feito reparo ou consertos só manutenção preventiva.&lt;/span&gt;&lt;br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none;"&gt;Capsula e Agulha em perfeito estado.&lt;/span&gt;&lt;br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none;"&gt;serigrafia perfeita&lt;/span&gt;&lt;br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none;"&gt;conectores rca Originais&lt;/span&gt;&lt;br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none;"&gt;todos os recursos funcionando:&lt;/span&gt;&lt;br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lift (levantamento do braço)&lt;/span&gt;&lt;br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none;"&gt;- 33 e 45 rpm&lt;/span&gt;&lt;br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botão de retorno automático do braço&lt;/span&gt;&lt;br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retorna e desliga automaticamente ao final do disco&lt;/span&gt;&lt;br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none;"&gt;características técnicas:&lt;/span&gt;&lt;br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none;"&gt;tipo: direct-drive&lt;/span&gt;&lt;br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none;"&gt;motor: servo-motor cc&lt;/span&gt;&lt;br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none;"&gt;velocidades: 33/45 (rpm)&lt;/span&gt;&lt;br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none;"&gt;wow &amp; flutter: 0,03% (wrms)&lt;/span&gt;&lt;br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none;"&gt;relação sinal/ruído: 73db (din b)&lt;/span&gt;&lt;br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none;"&gt;cápsula: pc-35 (mm)&lt;/span&gt;&lt;br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none;"&gt;tensão de saída: 2,5mv&lt;/span&gt;&lt;br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none;"&gt;separação entre canais: 20db&lt;/span&gt;&lt;br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none;"&gt;tracking force: 1,25 g&lt;/span&gt;&lt;br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none;"&gt;alimentação: 110-120/220-240v (60hz)&lt;/span&gt;&lt;br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none;"&gt;dimensões: 440 x 95 x 346 mm (lxaxp) c/ tampa&lt;/span&gt;&lt;br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none;"&gt;peso: 3,8 kg&lt;/span&gt;&lt;/p&gt;
</t>
  </si>
  <si>
    <t>https://cdn.awsli.com.br/948/948321/produto/163749283/2e59574421.jpg</t>
  </si>
  <si>
    <t>https://cdn.awsli.com.br/948/948321/produto/163749283/17d843eca1.jpg</t>
  </si>
  <si>
    <t>https://cdn.awsli.com.br/948/948321/produto/163749283/362db5da68.jpg</t>
  </si>
  <si>
    <t>https://cdn.awsli.com.br/948/948321/produto/163749283/89d557f68d.jpg</t>
  </si>
  <si>
    <t>https://cdn.awsli.com.br/948/948321/produto/163749283/8126acc593.jpg</t>
  </si>
  <si>
    <t>Condicionador de energia FullProtect FPI3300</t>
  </si>
  <si>
    <t>6 dias</t>
  </si>
  <si>
    <t>R7EL6KYML</t>
  </si>
  <si>
    <t>Proteção total para seus equipamentos, contra descarga atmosféricas, surtos elétricos e variação de tensão, além disso ainda faz a atenuação da rede para que o som fique mais limpo e cristalino.</t>
  </si>
  <si>
    <t xml:space="preserve">&lt;div class="KcpHeO tz5f0K comp-jyexh4do wixui-rich-text" data-angle="0" data-angle-style-location="style" data-screen-in-hide="done" data-testid="richTextElement" id="comp-jyexh4do" style="background: transparent; border: 0px; margin: 0px 0px 8px; outline: 0px; padding: 0px; vertical-align: baseline; pointer-events: none; direction: var(--text-direction); min-height: var(--min-height); min-width: var(--min-width); overflow-wrap: break-word; text-align: start; position: relative; left: 13px; grid-area: 2 / 1 / 3 / 2; place-self: start; width: 483px; height: auto; color: rgb(0, 0, 0); font-family: Arial, Helvetica, sans-serif; font-size: 10px;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visibility: inherit;"&gt;
&lt;h1 class="font_0 wixui-rich-text__text" style="background: transparent; border: 0px; outline: 0px; padding: 0px; vertical-align: baseline; pointer-events: auto; font-size: 29px; line-height: 1.3em; color: rgb(var(--color_19)); letter-spacing: normal; margin-block: 0px; margin: 0px;"&gt;&lt;span class="color_12 wixui-rich-text__text" style="background: transparent; border: 0px; margin: 0px; outline: 0px; padding: 0px; vertical-align: baseline; color: rgb(var(--color_12));"&gt;&lt;span class="wixui-rich-text__text" style="background: transparent; border: 0px; margin: 0px; outline: 0px; padding: 0px; vertical-align: baseline; letter-spacing: normal;"&gt;&lt;span class="wixui-rich-text__text" style="background: transparent; border: 0px; margin: 0px; outline: 0px; padding: 0px; vertical-align: baseline; font-size: 29px;"&gt;&lt;span class="wixui-rich-text__text" style="background: transparent; border: 0px; margin: 0px; outline: 0px; padding: 0px; vertical-align: baseline; font-family: avenir-lt-w01_85-heavy1475544, sans-serif;"&gt;FullProtect FPI3300&lt;/span&gt;&lt;/span&gt;&lt;/span&gt;&lt;/span&gt;&lt;/h1&gt;
&lt;/div&gt;
&lt;div class="KcpHeO tz5f0K comp-jyexh4du wixui-rich-text" data-testid="richTextElement" id="comp-jyexh4du" style="background: transparent; border: 0px; margin: 0px 0px 18px; outline: 0px; padding: 0px; vertical-align: baseline; pointer-events: none; direction: var(--text-direction); min-height: var(--min-height); min-width: var(--min-width); overflow-wrap: break-word; text-align: start; position: relative; left: 56px; grid-area: 3 / 1 / 4 / 2; place-self: start; width: 395px; height: auto; color: rgb(0, 0, 0); font-family: Arial, Helvetica, sans-serif; font-size: 10px;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initial;"&gt;
&lt;p class="font_8 wixui-rich-text__text" style="background: transparent; border: 0px; outline: 0px; padding: 0px; vertical-align: baseline; pointer-events: auto; font-size: 15px; line-height: normal; color: rgb(var(--color_13)); letter-spacing: 0em; margin-block: 0px; margin: 0px;"&gt;&lt;span class="color_13 wixui-rich-text__text" style="background: transparent; border: 0px; margin: 0px; outline: 0px; padding: 0px; vertical-align: baseline; color: rgb(var(--color_13));"&gt;&lt;span class="wixui-rich-text__text" style="background: transparent; border: 0px; margin: 0px; outline: 0px; padding: 0px; vertical-align: baseline; letter-spacing: normal;"&gt;Condicionador de energia com transformador toroidal isolado com blindagem eletrostática e proteção contra sub, sobre e surto de tensão, com indicação luminosa e voltímetro digital. Proteção para cabo coaxial (tv à cabo e/ou antena) e proteção para linha telefônica/internet. Entrada 220V e 19 tomadas isoladas em 115V com total de 3300VA&lt;/span&gt;&lt;/span&gt;&lt;/p&gt;
&lt;p class="font_8 wixui-rich-text__text" style="background: transparent; border: 0px; outline: 0px; padding: 0px; vertical-align: baseline; pointer-events: auto; font-size: 15px; line-height: normal; color: rgb(var(--color_13)); letter-spacing: 0em; margin-block: 0px; margin: 0px;"&gt;&lt;span class="color_13 wixui-rich-text__text" style="background: transparent; border: 0px; margin: 0px; outline: 0px; padding: 0px; vertical-align: baseline; color: rgb(var(--color_13));"&gt;&lt;span class="wixui-rich-text__text" style="background: transparent; border: 0px; margin: 0px; outline: 0px; padding: 0px; vertical-align: baseline; letter-spacing: normal;"&gt;&lt;span class="wixGuard wixui-rich-text__text" style="background: transparent; border: 0px; margin: 0px; outline: 0px; padding: 0px; vertical-align: baseline;"&gt;​&lt;/span&gt;&lt;/span&gt;&lt;/span&gt;&lt;/p&gt;
&lt;p class="font_8 wixui-rich-text__text" style="background: transparent; border: 0px; outline: 0px; padding: 0px; vertical-align: baseline; pointer-events: auto; font-size: 15px; line-height: normal; color: rgb(var(--color_13)); letter-spacing: 0em; margin-block: 0px; margin: 0px;"&gt;&lt;span class="color_13 wixui-rich-text__text" style="background: transparent; border: 0px; margin: 0px; outline: 0px; padding: 0px; vertical-align: baseline; color: rgb(var(--color_13));"&gt;&lt;span class="wixui-rich-text__text" style="background: transparent; border: 0px; margin: 0px; outline: 0px; padding: 0px; vertical-align: baseline; letter-spacing: normal;"&gt;&lt;span class="wixui-rich-text__text" style="background: transparent; border: 0px; margin: 0px; outline: 0px; padding: 0px; vertical-align: baseline; font-family: avenir-lt-w01_85-heavy1475544, sans-serif;"&gt;Dimensões&lt;/span&gt;&lt;span class="wixui-rich-text__text" style="background: transparent; border: 0px; margin: 0px; outline: 0px; padding: 0px; vertical-align: baseline; font-family: avenir-lt-w01_35-light1475496, sans-serif;"&gt;&lt;span&gt; &lt;/span&gt;(L x A x P): 432 x 100 x 316mm&lt;/span&gt;&lt;/span&gt;&lt;/span&gt;&lt;/p&gt;
&lt;h1 class="font_8 wixui-rich-text__text" style="background: transparent; border: 0px; outline: 0px; padding: 0px; vertical-align: baseline; pointer-events: auto; font-size: 15px; line-height: normal; color: rgb(var(--color_13)); letter-spacing: 0em; margin-block: 0px; margin: 0px;"&gt; &lt;/h1&gt;
&lt;h1 class="font_8 wixui-rich-text__text" style="background: transparent; border: 0px; outline: 0px; padding: 0px; vertical-align: baseline; pointer-events: auto; font-size: 15px; line-height: normal; color: rgb(var(--color_13)); letter-spacing: 0em; margin-block: 0px; margin: 0px;"&gt;&lt;a href="https://www.engeblu.com.br/_files/ugd/e9ba2a_263e751ddacf4f9dac000cd915adb440.pdf"&gt;&lt;span style="color:#e74c3c;"&gt;&lt;span class="color_13 wixui-rich-text__text" style="background: transparent; border: 0px; margin: 0px; outline: 0px; padding: 0px; vertical-align: baseline;"&gt;&lt;span class="wixui-rich-text__text" style="background: transparent; border: 0px; margin: 0px; outline: 0px; padding: 0px; vertical-align: baseline; letter-spacing: normal;"&gt;&lt;span class="wixui-rich-text__text" style="background: transparent; border: 0px; margin: 0px; outline: 0px; padding: 0px; vertical-align: baseline; font-family: avenir-lt-w01_35-light1475496, sans-serif;"&gt;DOWNLOAD MANUAL&lt;/span&gt;&lt;/span&gt;&lt;/span&gt;&lt;/span&gt;&lt;/a&gt;&lt;/h1&gt;
&lt;/div&gt;
</t>
  </si>
  <si>
    <t>https://cdn.awsli.com.br/948/948321/produto/257561416/fpt1000-transformed-einnolkxte.png</t>
  </si>
  <si>
    <t>https://cdn.awsli.com.br/948/948321/produto/257561416/fpt10010-transformed-7zblaobsw6.png</t>
  </si>
  <si>
    <t>https://cdn.awsli.com.br/948/948321/produto/257561416/fpt1000-0jwjof54bh.jpg</t>
  </si>
  <si>
    <t>https://cdn.awsli.com.br/948/948321/produto/257561416/fpt10010-2beezc8115.jpg</t>
  </si>
  <si>
    <t>CAIXA DE SOM ARANDELA JBL CI8S QUADRADA DE EMBUTIR BRANCA - 100 WATTS RMS</t>
  </si>
  <si>
    <t>L7L3XXXMD</t>
  </si>
  <si>
    <t>CAIXA DE SOM ARANDELA JBL CI8S QUADRADA DE EMBUTIR BRANCA - 100 WATTS</t>
  </si>
  <si>
    <t>aixa de Som JBL CI8S PLUS Arandela Quadrada 100W Rms
A nova linha Ci Plus, foi desenhada para atender o mercado especializado de home theater e o mercado de instalação de som ambiente, com formatos quadrados e retangulares, gabinetes angulados</t>
  </si>
  <si>
    <t xml:space="preserve">&lt;p&gt;&lt;button aria-controls="radix-:R32jcc6:" aria-expanded="true" class="sc-75806410-0 fPPRHK" data-radix-collection-item="" data-state="open" id="radix-:R12jcc6:" style="margin: 0px; padding: 0px; border: none; list-style: none; box-sizing: border-box; font-size: 16px; font-family: Poppins, sans-serif !important; cursor: pointer; width: 1408.8px; background: transparent; display: flex; -webkit-box-pack: justify; justify-content: space-between; -webkit-box-align: center; align-items: center; orphans: 2; widows: 2; -webkit-text-stroke-width: 0px; white-space: normal; text-decoration-thickness: initial; text-decoration-style: initial; text-decoration-color: initial;" type="button"&gt;&lt;/button&gt;&lt;/p&gt;
&lt;h2 class="sc-75806410-1 kUGNWA" style="margin: 0px; padding: 0px; border: none; list-style: none; box-sizing: border-box; font-size: 1.5rem; font-family: Poppins, sans-serif !important; display: flex; -webkit-box-align: center; align-items: center; line-height: 2.125rem; font-weight: 700; text-transform: uppercase; color: rgb(66, 70, 77);"&gt;&lt;button aria-controls="radix-:R32jcc6:" aria-expanded="true" class="sc-75806410-0 fPPRHK" data-radix-collection-item="" data-state="open" id="radix-:R12jcc6:" style="margin: 0px; padding: 0px; border: none; list-style: none; box-sizing: border-box; font-size: 16px; font-family: Poppins, sans-serif !important; cursor: pointer; width: 1408.8px; background: transparent; display: flex; -webkit-box-pack: justify; justify-content: space-between; -webkit-box-align: center; align-items: center; orphans: 2; widows: 2; -webkit-text-stroke-width: 0px; white-space: normal; text-decoration-thickness: initial; text-decoration-style: initial; text-decoration-color: initial;" type="button"&gt;DESCRIÇÃO DO PRODUTO&lt;/button&gt;&lt;/h2&gt;
&lt;div aria-labelledby="radix-:R12jcc6:" class="sc-75806410-4 gKytUC" data-state="open" id="radix-:R32jcc6:" role="region" style="margin: 0px; padding: 2rem 0px 0px; border: none; list-style: none; box-sizing: border-box; font-size: 16px; font-family: Poppins, sans-serif; width: 1408.8px; color: rgb(0, 0, 0);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--radix-accordion-content-height: var(--radix-collapsible-content-height); --radix-accordion-content-width: var(--radix-collapsible-content-width); transition-duration: 0s; animation-duration: 0s; animation-fill-mode: none; --radix-collapsible-content-height: 152px; --radix-collapsible-content-width: 1408.800048828125px;"&gt;
&lt;div class="sc-d8fe2549-0 bRHgJj" id="iframeContainer" style="margin: 0px; padding: 0px; border: none; list-style: none; box-sizing: border-box; font-size: 16px; font-family: Poppins, sans-serif !important; display: flex; -webkit-box-pack: center; justify-content: center; -webkit-box-align: center; align-items: center; width: 1408.8px; position: relative; flex-direction: column;"&gt;
&lt;div id="description" style="margin: 0px; padding: 0px; border: none; list-style: none; box-sizing: border-box; font-size: 16px; font-family: Poppins, sans-serif !important; color: rgb(86, 92, 105); position: relative;"&gt;Lançada exclusivamente para atender às necessidades do mercado de áudio no brasil, a linha ci (custom instalation) da jbl utiliza tecnologia de ponta e design projetado para suprir aos inúmeros projetos residenciais e corporativos. Para esta linha a jbl desenvolveu alto-falantes de kevlar e tweeters de seda que, aliados ao crossover proporcionam uma sonoridade dinâmica, natural e impactante. Com acabamento resistente à oxidações e pintura em branca neve, a linha ci pode ser instalada em qualquer tipo de ambiente residencial ou corporativo, sem sofrer os possíveis desgastes causados pelo tempo ou mesmo pela maresia. A linha ci também tem design com bordas ultrafinas que, quando instaladas no ambiente, ficam praticamente invisíveis aos olhos.&lt;button aria-controls="radix-:r5:" aria-expanded="true" class="sc-75806410-0 fPPRHK" data-radix-collection-item="" data-state="open" id="radix-:r4:" style="margin: 0px; padding: 0px; border: none; list-style: none; box-sizing: border-box; font-size: 16px; font-family: Poppins, sans-serif !important; cursor: pointer; width: 1408.8px; background: transparent; display: flex; -webkit-box-pack: justify; justify-content: space-between; -webkit-box-align: center; align-items: center; orphans: 2; widows: 2; -webkit-text-stroke-width: 0px; white-space: normal; text-decoration-thickness: initial; text-decoration-style: initial; text-decoration-color: initial;" type="button"&gt;&lt;/button&gt;
&lt;h2 class="sc-75806410-1 kUGNWA" style="margin: 0px; padding: 0px; border: none; list-style: none; box-sizing: border-box; font-size: 1.5rem; font-family: Poppins, sans-serif !important; display: flex; -webkit-box-align: center; align-items: center; line-height: 2.125rem; font-weight: 700; text-transform: uppercase; color: rgb(66, 70, 77);"&gt; &lt;/h2&gt;
&lt;h2 class="sc-75806410-1 kUGNWA" style="margin: 0px; padding: 0px; border: none; list-style: none; box-sizing: border-box; font-size: 1.5rem; font-family: Poppins, sans-serif !important; display: flex; -webkit-box-align: center; align-items: center; line-height: 2.125rem; font-weight: 700; text-transform: uppercase; color: rgb(66, 70, 77);"&gt;&lt;button aria-controls="radix-:r5:" aria-expanded="true" class="sc-75806410-0 fPPRHK" data-radix-collection-item="" data-state="open" id="radix-:r4:" style="margin: 0px; padding: 0px; border: none; list-style: none; box-sizing: border-box; font-size: 16px; font-family: Poppins, sans-serif !important; cursor: pointer; width: 1408.8px; background: transparent; display: flex; -webkit-box-pack: justify; justify-content: space-between; -webkit-box-align: center; align-items: center; orphans: 2; widows: 2; -webkit-text-stroke-width: 0px; white-space: normal; text-decoration-thickness: initial; text-decoration-style: initial; text-decoration-color: initial;" type="button"&gt;INFORMAÇÕES TÉCNICAS&lt;/button&gt;&lt;/h2&gt;
&lt;div aria-labelledby="radix-:r4:" class="sc-75806410-4 gKytUC" data-state="open" id="radix-:r5:" role="region" style="margin: 0px; padding: 2rem 0px 0px; border: none; list-style: none; box-sizing: border-box; font-size: 16px; font-family: Poppins, sans-serif; width: 1408.8px; color: rgb(0, 0, 0);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--radix-accordion-content-height: var(--radix-collapsible-content-height); --radix-accordion-content-width: var(--radix-collapsible-content-width); transition-duration: 0s; animation-duration: 0s; animation-fill-mode: none; --radix-collapsible-content-height: 830px; --radix-collapsible-content-width: 1408.800048828125px;"&gt;
&lt;div class="sc-7e0ca514-0 eRzxSz" style="margin: 0px; padding: 0px; border: none; list-style: none; box-sizing: border-box; font-size: 16px; font-family: Poppins, sans-serif !important; display: flex; -webkit-box-pack: start; justify-content: flex-start; align-items: flex-start; flex-direction: column; width: 1408.8px;"&gt;
&lt;div class="sc-7e0ca514-1 GiPKU" style="margin: 0px; padding: 0px; border: none; list-style: none; box-sizing: border-box; font-size: 16px; font-family: Poppins, sans-serif !important; width: 1408.8px; color: rgb(86, 92, 105);"&gt;&lt;strong style="margin: 0px; padding: 0px; border: none; list-style: none; box-sizing: border-box; font-size: 0.875rem; font-family: Poppins, sans-serif !important; line-height: 1.125rem; font-weight: 700;"&gt;Características:&lt;/strong&gt;&lt;br style="margin: 0px; padding: 0px; border: none; list-style: none; box-sizing: border-box; font-size: 16px; font-family: Poppins, sans-serif !important;" /&gt;
&lt;br style="margin: 0px; padding: 0px; border: none; list-style: none; box-sizing: border-box; font-size: 16px; font-family: Poppins, sans-serif !important;" /&gt;
- Marca: JBL&lt;br style="margin: 0px; padding: 0px; border: none; list-style: none; box-sizing: border-box; font-size: 16px; font-family: Poppins, sans-serif !important;" /&gt;
- Modelo: JBL CI8S&lt;br style="margin: 0px; padding: 0px; border: none; list-style: none; box-sizing: border-box; font-size: 16px; font-family: Poppins, sans-serif !important;" /&gt;
&lt;br style="margin: 0px; padding: 0px; border: none; list-style: none; box-sizing: border-box; font-size: 16px; font-family: Poppins, sans-serif !important;" /&gt;
&lt;strong style="margin: 0px; padding: 0px; border: none; list-style: none; box-sizing: border-box; font-size: 0.875rem; font-family: Poppins, sans-serif !important; line-height: 1.125rem; font-weight: 700;"&gt;Especificações Técnicas:&lt;/strong&gt;&lt;br style="margin: 0px; padding: 0px; border: none; list-style: none; box-sizing: border-box; font-size: 16px; font-family: Poppins, sans-serif !important;" /&gt;
&lt;br style="margin: 0px; padding: 0px; border: none; list-style: none; box-sizing: border-box; font-size: 16px; font-family: Poppins, sans-serif !important;" /&gt;
- Tipo de caixa: Embutir no Gesso&lt;br style="margin: 0px; padding: 0px; border: none; list-style: none; box-sizing: border-box; font-size: 16px; font-family: Poppins, sans-serif !important;" /&gt;
- Formato: Quadrado&lt;br style="margin: 0px; padding: 0px; border: none; list-style: none; box-sizing: border-box; font-size: 16px; font-family: Poppins, sans-serif !important;" /&gt;
- Sensibilidade: 90dB (@1W/m)&lt;br style="margin: 0px; padding: 0px; border: none; list-style: none; box-sizing: border-box; font-size: 16px; font-family: Poppins, sans-serif !important;" /&gt;
- Woofer: Um woofer de 8"&lt;br style="margin: 0px; padding: 0px; border: none; list-style: none; box-sizing: border-box; font-size: 16px; font-family: Poppins, sans-serif !important;" /&gt;
- Potência: 100Wrms&lt;br style="margin: 0px; padding: 0px; border: none; list-style: none; box-sizing: border-box; font-size: 16px; font-family: Poppins, sans-serif !important;" /&gt;
- Impedância: 8 Ohms&lt;br style="margin: 0px; padding: 0px; border: none; list-style: none; box-sizing: border-box; font-size: 16px; font-family: Poppins, sans-serif !important;" /&gt;
- Resposta de Frequência: 49Hz - 20KHz&lt;br style="margin: 0px; padding: 0px; border: none; list-style: none; box-sizing: border-box; font-size: 16px; font-family: Poppins, sans-serif !important;" /&gt;
- Altura (cm): 32.30&lt;br style="margin: 0px; padding: 0px; border: none; list-style: none; box-sizing: border-box; font-size: 16px; font-family: Poppins, sans-serif !important;" /&gt;
- Espessura (cm): 12.50&lt;br style="margin: 0px; padding: 0px; border: none; list-style: none; box-sizing: border-box; font-size: 16px; font-family: Poppins, sans-serif !important;" /&gt;
- Largura (cm): 32.30&lt;br style="margin: 0px; padding: 0px; border: none; list-style: none; box-sizing: border-box; font-size: 16px; font-family: Poppins, sans-serif !important;" /&gt;
- Peso (kg): 2.80&lt;br style="margin: 0px; padding: 0px; border: none; list-style: none; box-sizing: border-box; font-size: 16px; font-family: Poppins, sans-serif !important;" /&gt;
&lt;br style="margin: 0px; padding: 0px; border: none; list-style: none; box-sizing: border-box; font-size: 16px; font-family: Poppins, sans-serif !important;" /&gt;
&lt;strong style="margin: 0px; padding: 0px; border: none; list-style: none; box-sizing: border-box; font-size: 0.875rem; font-family: Poppins, sans-serif !important; line-height: 1.125rem; font-weight: 700;"&gt;Conteúdo da Embalagem:&lt;/strong&gt;&lt;br style="margin: 0px; padding: 0px; border: none; list-style: none; box-sizing: border-box; font-size: 16px; font-family: Poppins, sans-serif !important;" /&gt;
&lt;br style="margin: 0px; padding: 0px; border: none; list-style: none; box-sizing: border-box; font-size: 16px; font-family: Poppins, sans-serif !important;" /&gt;
- Caixa de Embutir Quadrada CI8S JBL 100W RMS&lt;br style="margin: 0px; padding: 0px; border: none; list-style: none; box-sizing: border-box; font-size: 16px; font-family: Poppins, sans-serif !important;" /&gt;
- Manual de Instalação&lt;br style="margin: 0px; padding: 0px; border: none; list-style: none; box-sizing: border-box; font-size: 16px; font-family: Poppins, sans-serif !important;" /&gt;
- Folheto de Segurança
&lt;p style="margin: 0px; padding: 0px; border: none; list-style: none; box-sizing: border-box; font-size: 0.875rem; font-family: Poppins, sans-serif !important; line-height: 1.125rem; font-weight: 400;"&gt; &lt;/p&gt;
&lt;p style="margin: 0px; padding: 0px; border: none; list-style: none; box-sizing: border-box; font-size: 0.875rem; font-family: Poppins, sans-serif !important; line-height: 1.125rem; font-weight: 400;"&gt;&lt;strong style="margin: 0px; padding: 0px; border: none; list-style: none; box-sizing: border-box; font-size: 0.875rem; font-family: Poppins, sans-serif !important; line-height: 1.125rem; font-weight: 700;"&gt;Garantia do Fornecedor&lt;/strong&gt;&lt;/p&gt;
&lt;p style="margin: 0px; padding: 0px; border: none; list-style: none; box-sizing: border-box; font-size: 0.875rem; font-family: Poppins, sans-serif !important; line-height: 1.125rem; font-weight: 400;"&gt;12 meses&lt;/p&gt;
&lt;p style="margin: 0px; padding: 0px; border: none; list-style: none; box-sizing: border-box; font-size: 0.875rem; font-family: Poppins, sans-serif !important; line-height: 1.125rem; font-weight: 400;"&gt; &lt;/p&gt;
&lt;p style="margin: 0px; padding: 0px; border: none; list-style: none; box-sizing: border-box; font-size: 0.875rem; font-family: Poppins, sans-serif !important; line-height: 1.125rem; font-weight: 400;"&gt;&lt;strong style="margin: 0px; padding: 0px; border: none; list-style: none; box-sizing: border-box; font-size: 0.875rem; font-family: Poppins, sans-serif !important; line-height: 1.125rem; font-weight: 700;"&gt;Fabricante&lt;/strong&gt;&lt;/p&gt;
&lt;p style="margin: 0px; padding: 0px; border: none; list-style: none; box-sizing: border-box; font-size: 0.875rem; font-family: Poppins, sans-serif !important; line-height: 1.125rem; font-weight: 400;"&gt;JBL&lt;/p&gt;
&lt;p style="margin: 0px; padding: 0px; border: none; list-style: none; box-sizing: border-box; font-size: 0.875rem; font-family: Poppins, sans-serif !important; line-height: 1.125rem; font-weight: 400;"&gt; &lt;/p&gt;
&lt;p style="margin: 0px; padding: 0px; border: none; list-style: none; box-sizing: border-box; font-size: 0.875rem; font-family: Poppins, sans-serif !important; line-height: 1.125rem; font-weight: 400;"&gt;&lt;strong style="margin: 0px; padding: 0px; border: none; list-style: none; box-sizing: border-box; font-size: 0.875rem; font-family: Poppins, sans-serif !important; line-height: 1.125rem; font-weight: 700;"&gt;Modelo&lt;/strong&gt;&lt;/p&gt;
&lt;p style="margin: 0px; padding: 0px; border: none; list-style: none; box-sizing: border-box; font-size: 0.875rem; font-family: Poppins, sans-serif !important; line-height: 1.125rem; font-weight: 400;"&gt;Caixa de Som de Embutir Arandela JBL CI8S Quadrada 100W Rms&lt;/p&gt;
&lt;/div&gt;
&lt;/div&gt;
&lt;/div&gt;
&lt;/div&gt;
&lt;/div&gt;
&lt;/div&gt;
</t>
  </si>
  <si>
    <t>https://cdn.awsli.com.br/948/948321/produto/257657440/1367100-m6m8xbufhy.jpg</t>
  </si>
  <si>
    <t>https://cdn.awsli.com.br/948/948321/produto/257657440/1367100_0-egllydmxbu.jpg</t>
  </si>
  <si>
    <t>https://cdn.awsli.com.br/948/948321/produto/257657440/1367100_1-97loqt0fct.jpg</t>
  </si>
  <si>
    <t>https://cdn.awsli.com.br/948/948321/produto/257657440/1367100_2-x6kctk6ljh.jpg</t>
  </si>
  <si>
    <t>https://cdn.awsli.com.br/948/948321/produto/257657440/1367100_2_1-eagcnv148j.jpg</t>
  </si>
  <si>
    <t>Caixa Acústica de Embutir JBL CI8SA Angulada 100W RMS</t>
  </si>
  <si>
    <t>F76WGF2SS</t>
  </si>
  <si>
    <t>Caixa Acústica de Embutir JBL CI8SA Angulada 100W RMS - Branco</t>
  </si>
  <si>
    <t>JBL CI8SA! Imagine uma caixa de embutir angulada de 8 polegadas com 100W de potência RMS. Alto-falantes de kevlar e modernidade e dinamismo para todos os tipos de som. Se você conhece a qualidade das caixas de som da JBL e quer todo esse som com excl</t>
  </si>
  <si>
    <t xml:space="preserve">&lt;h4 style="margin: 10px 0px; padding: 25px 0px 0px; box-sizing: border-box; font-family: &amp;quot;Open Sans&amp;quot;; font-weight: bold; line-height: 20px; color: rgb(32, 31, 31); text-rendering: optimizelegibility; font-size: 17.5px; font-style: normal; font-variant-ligatures: normal; font-variant-caps: normal; letter-spacing: normal; orphans: 2; text-align: justify; text-indent: 0px; text-transform: none; widows: 2; word-spacing: 0px; -webkit-text-stroke-width: 0px; white-space: normal; background-color: rgb(249, 249, 249); text-decoration-thickness: initial; text-decoration-style: initial; text-decoration-color: initial;"&gt;JBL CI8SA: SEU HOME THEATER AINDA MAIS POTENTE!&lt;/h4&gt;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 &lt;/p&gt;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initial;"&gt;Diretamente da linha CI (Custom Instalation) da JBL, a CI8SA oferece um som de alta qualidade pra você montar seu próprio cinema em casa! Atendendo às necessidades do mercado de áudio brasileiro, ela conta com potências de som incríveis e um design minimalista que combina perfeitamente com a sua residência!&lt;/p&gt;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 &lt;/p&gt;
&lt;h4 style="margin: 10px 0px; padding: 25px 0px 0px; box-sizing: border-box; font-family: &amp;quot;Open Sans&amp;quot;; font-weight: bold; line-height: 20px; color: rgb(32, 31, 31); text-rendering: optimizelegibility; font-size: 17.5px; font-style: normal; font-variant-ligatures: normal; font-variant-caps: normal; letter-spacing: normal; orphans: 2; text-align: justify; text-indent: 0px; text-transform: none; widows: 2; word-spacing: 0px; -webkit-text-stroke-width: 0px; white-space: normal; background-color: rgb(249, 249, 249); text-decoration-thickness: initial; text-decoration-style: initial; text-decoration-color: initial;"&gt;O DESIGN&lt;/h4&gt;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 &lt;/p&gt;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initial;"&gt;O design da JBL CI8SA foi projetado para oferecer um som potente e de forma discreta. Seus acabamentos, como a tela em alumínio e os parafusos em aço inox, são resistentes a oxidações, e sua pintura é em cor branco neve, resultando em uma peça com design delicado e sofisticado, combinando perfeitamente com seu local ideal de instalação, o gesso.&lt;/p&gt;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initial;"&gt;Com suas medidas de 28cm de altura x 28cm de largura x 14cm de espessura, e pesando apenas 2.90kg, a CI8SA pode ser caracterizada também como arandela. Com ela, o ambiente em que estará instalada ficará com um aspecto mais clean, pois esse modelo é embutido, com bordas ultra finas e angulado, direcionando o som no ângulo certo para melhor recepção, se tornando uma ótima opção para tetos com forro.&lt;/p&gt;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initial;"&gt;Você pode instalar a sua JBL CI8SA em qualquer tipo de ambiente, seja ele residencial ou corporativo, e ela não sofrerá os possíveis desgastes naturais causados pelo tempo ou até mesmo pela maresia. Além disso, ela interfere de forma mínima na decoração do local em que está instalada, evitando mais objetos no cômodo através da sua discrição embutida. Sensacional!&lt;/p&gt;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initial;"&gt;Para ter acesso aos parafusos de fixação, que ficam localizados na parte interior da caixa, a CI8SA conta com um gancho específico para a retirada da tela de alumínio sem prejudicar seu encaixe e seu aspecto físico aparente. Tudo pensado nos mínimos detalhes e proporcionando ainda mais praticidade no momento da instalação!&lt;/p&gt;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 &lt;/p&gt;
&lt;h4 style="margin: 10px 0px; padding: 25px 0px 0px; box-sizing: border-box; font-family: &amp;quot;Open Sans&amp;quot;; font-weight: bold; line-height: 20px; color: rgb(32, 31, 31); text-rendering: optimizelegibility; font-size: 17.5px; font-style: normal; font-variant-ligatures: normal; font-variant-caps: normal; letter-spacing: normal; orphans: 2; text-align: justify; text-indent: 0px; text-transform: none; widows: 2; word-spacing: 0px; -webkit-text-stroke-width: 0px; white-space: normal; background-color: rgb(249, 249, 249); text-decoration-thickness: initial; text-decoration-style: initial; text-decoration-color: initial;"&gt;QUALIDADE DE ÁUDIO&lt;/h4&gt;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 &lt;/p&gt;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initial;"&gt;Além do seu design sofisticado, a JBL CI8SA também te entrega um som natural e uma pressão sonora de arrepiar! Seu alto-falante de 8” possui um cone de Kevlar que proporciona essa experiência incrível! Ele nada mais é do que um material super resistente e leve, e quando é utilizado em alto-falantes oferece um resultado final excelente e digno de cinema!&lt;/p&gt;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initial;"&gt;Para incrementar ainda mais na qualidade sonora da CI8SA, a JBL aplicou um Tweeter pivotante de 1” com domo de seda para oferecer agudos precisos, limpos e suaves dos seus áudios favoritos! Ah, e não para por aí! Essas duas características do alto-falante desse modelo aliadas ao crossover resultam em uma sonoridade dinâmica totalmente natural e de impactar qualquer um!&lt;/p&gt;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initial;"&gt;Se você deseja obter bastante pressão sonora ao ouvir o seu som favorito ou mesmo ao dar play naquele filme de ação radical, a JBL CI8SA é perfeita para te entregar um áudio frontal e central super bacana no seu home theater. Ela também é ideal para um ambiente ou cômodo de acima de 16m², garantindo a sonorização de todo o local e resultando em uma experiência única e potente.&lt;/p&gt;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 &lt;/p&gt;
&lt;h4 style="margin: 10px 0px; padding: 25px 0px 0px; box-sizing: border-box; font-family: &amp;quot;Open Sans&amp;quot;; font-weight: bold; line-height: 20px; color: rgb(32, 31, 31); text-rendering: optimizelegibility; font-size: 17.5px; font-style: normal; font-variant-ligatures: normal; font-variant-caps: normal; letter-spacing: normal; orphans: 2; text-align: justify; text-indent: 0px; text-transform: none; widows: 2; word-spacing: 0px; -webkit-text-stroke-width: 0px; white-space: normal; background-color: rgb(249, 249, 249); text-decoration-thickness: initial; text-decoration-style: initial; text-decoration-color: initial;"&gt;POTÊNCIAS&lt;/h4&gt;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 &lt;/p&gt;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initial;"&gt;Além de todas essas qualidades de áudio que o Woofer de Kevlar e o Tweeter proporcionam, a JBL CI8SA ainda oferece 100 Watts de potência RMS com uma resposta de frequência de 49Hz a 20kHz. Já a sensibilidade de som proporcionada é de 90dB (@1W/m) e a impedância é de 8 Ohms.&lt;/p&gt;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 &lt;/p&gt;
&lt;h4 style="margin: 10px 0px; padding: 25px 0px 0px; box-sizing: border-box; font-family: &amp;quot;Open Sans&amp;quot;; font-weight: bold; line-height: 20px; color: rgb(32, 31, 31); text-rendering: optimizelegibility; font-size: 17.5px; font-style: normal; font-variant-ligatures: normal; font-variant-caps: normal; letter-spacing: normal; orphans: 2; text-align: justify; text-indent: 0px; text-transform: none; widows: 2; word-spacing: 0px; -webkit-text-stroke-width: 0px; white-space: normal; background-color: rgb(249, 249, 249); text-decoration-thickness: initial; text-decoration-style: initial; text-decoration-color: initial;"&gt;POR QUE A INCLINAÇÃO DA CI8SA É TÃO IMPORTANTE?&lt;/h4&gt;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 &lt;/p&gt;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initial;"&gt;Ao contrário das caixas de som surround do home theater, a JBL já oferece a CI8SA em formato interno mais inclinado, isso faz com que o áudio não perca qualidade e seja redirecionado até o sofá de forma limpa e precisa ao ouvinte, fazendo com que ele receba todo o efeito com mais clareza, principalmente os agudos.&lt;/p&gt;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initial;"&gt;Sendo assim, a CI8SA da JBL leva, além das iniciais da linha CI (Custom Instalation) - que significa Instalação Customizada, ou personalizada -, o SA, em que o S remete à palavra “square”, que significa “quadrado” e faz referência ao formato da caixa, e o A, que traz a posição do alto-falante, sendo ele angular.&lt;/p&gt;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 &lt;/p&gt;
&lt;h4 style="margin: 10px 0px; padding: 25px 0px 0px; box-sizing: border-box; font-family: &amp;quot;Open Sans&amp;quot;; font-weight: bold; line-height: 20px; color: rgb(32, 31, 31); text-rendering: optimizelegibility; font-size: 17.5px; font-style: normal; font-variant-ligatures: normal; font-variant-caps: normal; letter-spacing: normal; orphans: 2; text-align: justify; text-indent: 0px; text-transform: none; widows: 2; word-spacing: 0px; -webkit-text-stroke-width: 0px; white-space: normal; background-color: rgb(249, 249, 249); text-decoration-thickness: initial; text-decoration-style: initial; text-decoration-color: initial;"&gt;A JBL CI8SA ESTÁ PREPARADA! E VOCÊ?&lt;/h4&gt;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 &lt;/p&gt;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initial;"&gt;Com um custo-benefício fantástico, aqui na So Fast você também adquire a sua JBL CI8SA com um ano de garantia! Está preparado para garantir a sua? Então fale com a nossa equipe pelo WhatsApp e prepare-se para desfrutar de um som incrível dentro de casa!&lt;/p&gt;
&lt;p style="margin: 0px 0px 10px; padding: 0px; box-sizing: border-box; color: rgb(32, 31, 31); font-family: &amp;quot;Open Sans&amp;quot;; font-size: 15px; font-style: normal; font-variant-ligatures: normal; font-variant-caps: normal; font-weight: 400; letter-spacing: normal; orphans: 2; text-align: justify; text-indent: 0px; text-transform: none; widows: 2; word-spacing: 0px; -webkit-text-stroke-width: 0px; white-space: normal; background-color: rgb(249, 249, 249); text-decoration-thickness: initial; text-decoration-style: initial; text-decoration-color: initial;"&gt;&lt;br style="margin: 0px; padding: 0px; box-sizing: border-box;" /&gt;
 &lt;/p&gt;
&lt;div class="titulo-categoria" style="margin-top: 0px !important; margin-right: 0px; margin-bottom: 20px !important; margin-left: 0px; padding: 0px !important; box-sizing: border-box; justify-content: center; position: relative; background-image: none !important; background-position: initial !important; background-size: initial !important; background-repeat: initial !important; background-attachment: initial !important; background-origin: initial !important; background-clip: initial !important; background-color: rgb(249, 249, 249); display: flex !important; font-size: initial !important; color: rgb(32, 31, 31); font-family: &amp;quot;Open Sans&amp;quot;; font-style: normal; font-variant-ligatures: normal; font-variant-caps: normal; font-weight: 400; letter-spacing: normal; orphans: 2; text-align: justify; text-indent: 0px; text-transform: none; widows: 2; word-spacing: 0px; -webkit-text-stroke-width: 0px; white-space: normal; text-decoration-thickness: initial; text-decoration-style: initial; text-decoration-color: initial;"&gt;&lt;strong style="margin: 0px; padding: 0px 20px; box-sizing: border-box; font-weight: 700; font-size: 28px; z-index: 1; line-height: 22px; display: flex; align-items: center; justify-content: center; background-color: rgb(249, 249, 249);"&gt;Características&lt;/strong&gt;&lt;/div&gt;
&lt;table style="margin: 0px; padding: 0px; box-sizing: border-box; max-width: 100%; background-color: rgb(249, 249, 249); border-collapse: collapse; border-spacing: 0px; width: 1220px; color: rgb(32, 31, 31); font-family: &amp;quot;Open Sans&amp;quot;; font-size: 15px; font-style: normal; font-variant-ligatures: normal; font-variant-caps: normal; font-weight: 400; letter-spacing: normal; orphans: 2; text-align: justify; text-transform: none; widows: 2; word-spacing: 0px; -webkit-text-stroke-width: 0px; white-space: normal; text-decoration-thickness: initial; text-decoration-style: initial; text-decoration-color: initial;"&gt;
	&lt;tbody style="margin: 0px; padding: 0px; box-sizing: border-box;"&gt;
		&lt;tr class="title-grupo-caracteristica" style="margin: 0px; padding: 8px; box-sizing: border-box; border: none;"&gt;
			&lt;td colspan="2" style="margin: 0px; padding: 8px; box-sizing: border-box; border: none;"&gt;
			&lt;h4 style="margin: 10px 0px; padding: 0px; box-sizing: border-box; font-family: inherit; font-weight: bold; line-height: 20px; color: inherit; text-rendering: optimizelegibility; font-size: 17.5px;"&gt; &lt;/h4&gt;
			&lt;/td&gt;
		&lt;/tr&gt;
		&lt;tr style="margin: 0px; padding: 8px; box-sizing: border-box; border: 1px solid rgb(230, 230, 230);"&gt;
			&lt;td class="title-caracteristica" style="margin: 0px; padding: 8px; box-sizing: border-box; border: 1px solid rgb(230, 230, 230); font-weight: bold; width: 25vw;"&gt;Espessura (cm)&lt;/td&gt;
			&lt;td class="value-caracteristica" style="margin: 0px; padding: 8px; box-sizing: border-box; border: 1px solid rgb(230, 230, 230);"&gt;14.0000&lt;/td&gt;
		&lt;/tr&gt;
		&lt;tr style="margin: 0px; padding: 8px; box-sizing: border-box; border: 1px solid rgb(230, 230, 230);"&gt;
			&lt;td class="title-caracteristica" style="margin: 0px; padding: 8px; box-sizing: border-box; border: 1px solid rgb(230, 230, 230); font-weight: bold; width: 25vw;"&gt;Largura (cm)&lt;/td&gt;
			&lt;td class="value-caracteristica" style="margin: 0px; padding: 8px; box-sizing: border-box; border: 1px solid rgb(230, 230, 230);"&gt;28.0000&lt;/td&gt;
		&lt;/tr&gt;
		&lt;tr style="margin: 0px; padding: 8px; box-sizing: border-box; border: 1px solid rgb(230, 230, 230);"&gt;
			&lt;td class="title-caracteristica" style="margin: 0px; padding: 8px; box-sizing: border-box; border: 1px solid rgb(230, 230, 230); font-weight: bold; width: 25vw;"&gt;Peso (kg)&lt;/td&gt;
			&lt;td class="value-caracteristica" style="margin: 0px; padding: 8px; box-sizing: border-box; border: 1px solid rgb(230, 230, 230);"&gt;2.9000&lt;/td&gt;
		&lt;/tr&gt;
		&lt;tr style="margin: 0px; padding: 8px; box-sizing: border-box; border: 1px solid rgb(230, 230, 230);"&gt;
			&lt;td class="title-caracteristica" style="margin: 0px; padding: 8px; box-sizing: border-box; border: 1px solid rgb(230, 230, 230); font-weight: bold; width: 25vw;"&gt;Tempo de Garantia&lt;/td&gt;
			&lt;td class="value-caracteristica" style="margin: 0px; padding: 8px; box-sizing: border-box; border: 1px solid rgb(230, 230, 230);"&gt;1 Ano&lt;/td&gt;
		&lt;/tr&gt;
		&lt;tr style="margin: 0px; padding: 8px; box-sizing: border-box; border: 1px solid rgb(230, 230, 230);"&gt;
			&lt;td class="title-caracteristica" style="margin: 0px; padding: 8px; box-sizing: border-box; border: 1px solid rgb(230, 230, 230); font-weight: bold; width: 25vw;"&gt;Resposta de Frequência&lt;/td&gt;
			&lt;td class="value-caracteristica" style="margin: 0px; padding: 8px; box-sizing: border-box; border: 1px solid rgb(230, 230, 230);"&gt;49Hz - 20KHz&lt;/td&gt;
		&lt;/tr&gt;
		&lt;tr style="margin: 0px; padding: 8px; box-sizing: border-box; border: 1px solid rgb(230, 230, 230);"&gt;
			&lt;td class="title-caracteristica" style="margin: 0px; padding: 8px; box-sizing: border-box; border: 1px solid rgb(230, 230, 230); font-weight: bold; width: 25vw;"&gt;Altura (cm)&lt;/td&gt;
			&lt;td class="value-caracteristica" style="margin: 0px; padding: 8px; box-sizing: border-box; border: 1px solid rgb(230, 230, 230);"&gt;28.0000&lt;/td&gt;
		&lt;/tr&gt;
		&lt;tr style="margin: 0px; padding: 8px; box-sizing: border-box; border: 1px solid rgb(230, 230, 230);"&gt;
			&lt;td class="title-caracteristica" style="margin: 0px; padding: 8px; box-sizing: border-box; border: 1px solid rgb(230, 230, 230); font-weight: bold; width: 25vw;"&gt;Potência&lt;/td&gt;
			&lt;td class="value-caracteristica" style="margin: 0px; padding: 8px; box-sizing: border-box; border: 1px solid rgb(230, 230, 230);"&gt;100W RMS&lt;/td&gt;
		&lt;/tr&gt;
		&lt;tr style="margin: 0px; padding: 8px; box-sizing: border-box; border: 1px solid rgb(230, 230, 230);"&gt;
			&lt;td class="title-caracteristica" style="margin: 0px; padding: 8px; box-sizing: border-box; border: 1px solid rgb(230, 230, 230); font-weight: bold; width: 25vw;"&gt;Woofer&lt;/td&gt;
			&lt;td class="value-caracteristica" style="margin: 0px; padding: 8px; box-sizing: border-box; border: 1px solid rgb(230, 230, 230);"&gt;Um woofer de 8\"&lt;/td&gt;
		&lt;/tr&gt;
		&lt;tr style="margin: 0px; padding: 8px; box-sizing: border-box; border: 1px solid rgb(230, 230, 230);"&gt;
			&lt;td class="title-caracteristica" style="margin: 0px; padding: 8px; box-sizing: border-box; border: 1px solid rgb(230, 230, 230); font-weight: bold; width: 25vw;"&gt;Sensibilidade&lt;/td&gt;
			&lt;td class="value-caracteristica" style="margin: 0px; padding: 8px; box-sizing: border-box; border: 1px solid rgb(230, 230, 230);"&gt;90dB (@1W/m)&lt;/td&gt;
		&lt;/tr&gt;
		&lt;tr style="margin: 0px; padding: 8px; box-sizing: border-box; border: 1px solid rgb(230, 230, 230);"&gt;
			&lt;td class="title-caracteristica" style="margin: 0px; padding: 8px; box-sizing: border-box; border: 1px solid rgb(230, 230, 230); font-weight: bold; width: 25vw;"&gt;Formato&lt;/td&gt;
			&lt;td class="value-caracteristica" style="margin: 0px; padding: 8px; box-sizing: border-box; border: 1px solid rgb(230, 230, 230);"&gt;Quadrado com Angulação&lt;/td&gt;
		&lt;/tr&gt;
		&lt;tr style="margin: 0px; padding: 8px; box-sizing: border-box; border: 1px solid rgb(230, 230, 230);"&gt;
			&lt;td class="title-caracteristica" style="margin: 0px; padding: 8px; box-sizing: border-box; border: 1px solid rgb(230, 230, 230); font-weight: bold; width: 25vw;"&gt;Tipo de caixa&lt;/td&gt;
			&lt;td class="value-caracteristica" style="margin: 0px; padding: 8px; box-sizing: border-box; border: 1px solid rgb(230, 230, 230);"&gt;Embutir no Gesso&lt;/td&gt;
		&lt;/tr&gt;
	&lt;/tbody&gt;
&lt;/table&gt;
</t>
  </si>
  <si>
    <t>https://cdn.awsli.com.br/948/948321/produto/257657614/8-o9hjqivo6y.jpg</t>
  </si>
  <si>
    <t>https://cdn.awsli.com.br/948/948321/produto/257657614/81-8mznab8b96.jpg</t>
  </si>
  <si>
    <t>https://cdn.awsli.com.br/948/948321/produto/257657614/821-435mdws0zh.jpg</t>
  </si>
  <si>
    <t>FILTRO PARA ASPIRAÇÃO CENTRAL - AERTECNICA</t>
  </si>
  <si>
    <t>3MJV7A5ZL</t>
  </si>
  <si>
    <t>FILTRO PARA CENTRA DE ASPIRAÇÃO TS1 - AERTECNICA</t>
  </si>
  <si>
    <t xml:space="preserve">&lt;p&gt;&lt;span style="font-size:16px;"&gt;&lt;strong&gt;DESCRIÇÃO &lt;/strong&gt;&lt;br /&gt;
&lt;br /&gt;
Filtro lavalvel para centra de aspiração TS1.&lt;/span&gt;&lt;/p&gt;
</t>
  </si>
  <si>
    <t>https://cdn.awsli.com.br/948/948321/produto/265348677/filtro_lavavel_precision_para_tx2a-_tp2-_tp2a_e_tc2-_cm982_aertecnica-7rddlb8cic.PNG</t>
  </si>
  <si>
    <t>3MJV7A5ZL-2GKVHXR2V</t>
  </si>
  <si>
    <t>FILTRO PARA CENTRAL DE ASPIRAÇÃO TS2 E TS4 - AERTECNICA</t>
  </si>
  <si>
    <t xml:space="preserve">&lt;p&gt;&lt;span style="font-size:16px;"&gt;&lt;strong&gt;DESCRIÇÃO &lt;/strong&gt;&lt;br /&gt;
&lt;br /&gt;
Filtro lavalvel para centra de aspiração TS2 e TS4.&lt;/span&gt;&lt;/p&gt;
</t>
  </si>
  <si>
    <t>https://cdn.awsli.com.br/948/948321/produto/265349728/filtro_lavavel_precision_para_tx2a-_tp2-_tp2a_e_tc2-_cm982_aertecnica-yuv9wb67er.PNG</t>
  </si>
  <si>
    <t>XD4KHDSK2</t>
  </si>
  <si>
    <t>XD4KHDSK2-preto</t>
  </si>
  <si>
    <t>Condicionador de energia Engeblu Full Protect FPC1500</t>
  </si>
  <si>
    <t>015-003</t>
  </si>
  <si>
    <t>Condicionador de energia para home theater com proteção contra sub, sobre e surto de tensão. Proteção para cabo coaxial (tv à cabo e/ou antena). Entrada 127V e 7 tomadas com saídas em 127V com total de 1500VA</t>
  </si>
  <si>
    <t xml:space="preserve">&lt;p&gt;&lt;span style="font-size:16px;"&gt;&lt;span style="font-family:verdana,geneva,sans-serif;"&gt;&lt;span style="text-align: center;"&gt;Condicionador de energia para home theater com proteção contra sub, sobre e surto de tensão. Proteção para cabo coaxial (tv à cabo e/ou antena). Entrada 127V e 7 tomadas com saídas em 127V com total de 1500VA&lt;/span&gt;&lt;/span&gt;&lt;/span&gt;&lt;/p&gt;
&lt;p&gt;&lt;span style="font-size:16px;"&gt;&lt;span style="font-family:verdana,geneva,sans-serif;"&gt;&lt;strong&gt;Resumo do seu produto:&lt;/strong&gt;&lt;/span&gt;&lt;/span&gt;&lt;/p&gt;
&lt;p&gt;&lt;span style="font-size:16px;"&gt;&lt;span style="font-family:verdana,geneva,sans-serif;"&gt;-Potencia: 1500VA&lt;/span&gt;&lt;/span&gt;&lt;/p&gt;
&lt;p&gt;&lt;span style="font-size:16px;"&gt;&lt;span style="font-family:verdana,geneva,sans-serif;"&gt;-Proteção de cabos coaxiais (CaTv/TvSat)&lt;/span&gt;&lt;/span&gt;&lt;/p&gt;
&lt;p&gt;&lt;span style="font-size:16px;"&gt;&lt;span style="font-family:verdana,geneva,sans-serif;"&gt;-01 tomada frontal 127V&lt;/span&gt;&lt;/span&gt;&lt;/p&gt;
&lt;p&gt;&lt;span style="font-size:16px;"&gt;&lt;span style="font-family:verdana,geneva,sans-serif;"&gt;-06 tomadas traseiras 127V&lt;/span&gt;&lt;/span&gt;&lt;/p&gt;
&lt;p&gt;&lt;span style="font-size:16px;"&gt;&lt;span style="font-family:verdana,geneva,sans-serif;"&gt;-Faixa de variação de proteção (95V a 135V)&lt;/span&gt;&lt;/span&gt;&lt;/p&gt;
&lt;p&gt;&lt;span style="font-size:16px;"&gt;&lt;span style="font-family:verdana,geneva,sans-serif;"&gt;- &lt;a href="https://www.engeblu.com.br/_files/ugd/e9ba2a_e3411434eb7f4e2186a56e42ce0b087b.pdf"&gt;&lt;span style="color:#e74c3c;"&gt;&lt;strong&gt;DOWNLOAD MANUAL&lt;/strong&gt;&lt;/span&gt;&lt;/a&gt;&lt;/span&gt;&lt;/span&gt;&lt;/p&gt;
&lt;p&gt; &lt;/p&gt;
</t>
  </si>
  <si>
    <t>https://cdn.awsli.com.br/948/948321/produto/35763128/fpt1000-nmfyb654al.jpg</t>
  </si>
  <si>
    <t>https://cdn.awsli.com.br/948/948321/produto/35763128/fpt10010-5pgmuyt00f.jpg</t>
  </si>
  <si>
    <t>https://cdn.awsli.com.br/948/948321/produto/35763128/fpt100130-f6idggsltx.jpg</t>
  </si>
  <si>
    <t>https://cdn.awsli.com.br/948/948321/produto/35763128/fpt1001330-rx09nwds6r.jpg</t>
  </si>
  <si>
    <t>https://cdn.awsli.com.br/948/948321/produto/35763128/fpt10013230-iiseks0set.jpg</t>
  </si>
  <si>
    <t>Condicionador de energia Engeblu Full Protect FP1900-CX</t>
  </si>
  <si>
    <t>015-005</t>
  </si>
  <si>
    <t>Condicionador de energia para home theater com  proteção contra sub, sobre e surto de tensão, com indicação luminosa e voltímetro digital.</t>
  </si>
  <si>
    <t xml:space="preserve">&lt;p&gt;&lt;span style="font-size:16px;"&gt;&lt;span style="font-family:verdana,geneva,sans-serif;"&gt;&lt;span style="text-align: center;"&gt;Condicionador de energia para home theater com  proteção contra sub, sobre e surto de tensão, com indicação luminosa e voltímetro digital. Proteção para cabo coaxial (tv à cabo e/ou antena) e proteção para linha telefônica/internet. Entrada 127V e 10 tomadas com saídas isoladas em 127V com total de 1900VA&lt;/span&gt;&lt;/span&gt;&lt;/span&gt;&lt;/p&gt;
&lt;p&gt;&lt;span style="font-size:16px;"&gt;&lt;span style="font-family:verdana,geneva,sans-serif;"&gt;&lt;strong&gt;Resumo do seu produto:&lt;/strong&gt;&lt;/span&gt;&lt;/span&gt;&lt;/p&gt;
&lt;p&gt;&lt;span style="font-size:16px;"&gt;&lt;span style="font-family:verdana,geneva,sans-serif;"&gt;-Potencia 1900VA&lt;/span&gt;&lt;/span&gt;&lt;/p&gt;
&lt;p&gt;&lt;span style="font-size:16px;"&gt;&lt;span style="font-family:verdana,geneva,sans-serif;"&gt;Proteção de rede/internet&lt;/span&gt;&lt;/span&gt;&lt;/p&gt;
&lt;p&gt;&lt;span style="font-size:16px;"&gt;&lt;span style="font-family:verdana,geneva,sans-serif;"&gt;-Proteção de cabos coaxiais (CaTv/TvSat)&lt;/span&gt;&lt;/span&gt;&lt;/p&gt;
&lt;p&gt;&lt;span style="font-size:16px;"&gt;&lt;span style="font-family:verdana,geneva,sans-serif;"&gt;-01 tomada frontal 127V&lt;/span&gt;&lt;/span&gt;&lt;/p&gt;
&lt;p&gt;&lt;span style="font-size:16px;"&gt;&lt;span style="font-family:verdana,geneva,sans-serif;"&gt;-09 tomadas traseiras 127V&lt;/span&gt;&lt;/span&gt;&lt;/p&gt;
&lt;p&gt;&lt;span style="font-size:16px;"&gt;&lt;span style="font-family:verdana,geneva,sans-serif;"&gt;-Faixa de variação de proteção (90V a 135V)&lt;/span&gt;&lt;/span&gt;&lt;/p&gt;
&lt;p&gt;&lt;span style="font-size:16px;"&gt;&lt;span style="font-family:verdana,geneva,sans-serif;"&gt;-&lt;a href="https://80129003-4023-49f2-83ba-8fea8975b2c6.filesusr.com/ugd/e9ba2a_5a32a4f20e814bfaa71a2cb33ce9055d.pdf"&gt;&lt;span style="color:#e74c3c;"&gt;&lt;strong&gt;DOWNLOAD MANUAL&lt;/strong&gt;&lt;/span&gt;&lt;/a&gt;&lt;/span&gt;&lt;/span&gt;&lt;/p&gt;
</t>
  </si>
  <si>
    <t>https://cdn.awsli.com.br/948/948321/produto/35763451/0d60c5c63f.jpg</t>
  </si>
  <si>
    <t>https://cdn.awsli.com.br/948/948321/produto/35763451/911cae659c.jpg</t>
  </si>
  <si>
    <t>https://cdn.awsli.com.br/948/948321/produto/35763451/88b225c964.jpg</t>
  </si>
  <si>
    <t>https://cdn.awsli.com.br/948/948321/produto/35763451/1897e30639.jpg</t>
  </si>
  <si>
    <t>Condicionador de energia Engeblu Full Protect FP1900-ATX</t>
  </si>
  <si>
    <t>015-006</t>
  </si>
  <si>
    <t>Condicionador de energia para home theater com auto transformador toroidal e proteção contra sub, sobre e surto de tensão, com indicação luminosa e voltímetro digital.</t>
  </si>
  <si>
    <t xml:space="preserve">&lt;p&gt;&lt;span style="font-size:16px;"&gt;&lt;span style="font-family:verdana,geneva,sans-serif;"&gt;&lt;span style="text-align: center;"&gt;Condicionador de energia para home theater com auto transformador toroidal e proteção contra sub, sobre e surto de tensão, com indicação luminosa e voltímetro digital. Proteção para cabo coaxial (tv à cabo e/ou antena) e proteção para linha telefônica/internet. Entrada 127V e 10 tomadas com saídas em 115V com total de 1900VA&lt;/span&gt;&lt;/span&gt;&lt;/span&gt;&lt;/p&gt;
&lt;p&gt;&lt;span style="font-size:16px;"&gt;&lt;span style="font-family:verdana,geneva,sans-serif;"&gt;&lt;strong&gt;Resumo do seu produto:&lt;/strong&gt;&lt;/span&gt;&lt;/span&gt;&lt;/p&gt;
&lt;p&gt;&lt;span style="font-size:16px;"&gt;&lt;span style="font-family:verdana,geneva,sans-serif;"&gt;-Potencia 1900VA&lt;/span&gt;&lt;/span&gt;&lt;/p&gt;
&lt;p&gt;&lt;span style="font-size:16px;"&gt;&lt;span style="font-family:verdana,geneva,sans-serif;"&gt;-Auto transformador toroidal com potência de 1900VA&lt;/span&gt;&lt;/span&gt;&lt;/p&gt;
&lt;p&gt;&lt;span style="font-size:16px;"&gt;&lt;span style="font-family:verdana,geneva,sans-serif;"&gt;-Proteção de rede/Internet&lt;/span&gt;&lt;/span&gt;&lt;/p&gt;
&lt;p&gt;&lt;span style="font-size:16px;"&gt;&lt;span style="font-family:verdana,geneva,sans-serif;"&gt;-Proteção de cabos coaxiais (CaTv/TvSat)&lt;/span&gt;&lt;/span&gt;&lt;/p&gt;
&lt;p&gt;&lt;span style="font-size:16px;"&gt;&lt;span style="font-family:verdana,geneva,sans-serif;"&gt;-01 tomada frontal 115V&lt;/span&gt;&lt;/span&gt;&lt;/p&gt;
&lt;p&gt;&lt;span style="font-size:16px;"&gt;&lt;span style="font-family:verdana,geneva,sans-serif;"&gt;-09 tomadas traseiras 115V&lt;/span&gt;&lt;/span&gt;&lt;/p&gt;
&lt;p&gt;&lt;span style="font-size:16px;"&gt;&lt;span style="font-family:verdana,geneva,sans-serif;"&gt;-Faixa de variação de proteção (100V a 135V)&lt;/span&gt;&lt;/span&gt;&lt;/p&gt;
&lt;p&gt;&lt;span style="font-size:16px;"&gt;&lt;span style="font-family:verdana,geneva,sans-serif;"&gt;-&lt;a href="https://80129003-4023-49f2-83ba-8fea8975b2c6.filesusr.com/ugd/e9ba2a_79dc910276d14e21a8be83750b15e83c.pdf"&gt;&lt;span style="color:#e74c3c;"&gt;&lt;strong&gt;DOWNLOAD MANUAL&lt;/strong&gt;&lt;/span&gt;&lt;/a&gt;&lt;/span&gt;&lt;/span&gt;&lt;/p&gt;
</t>
  </si>
  <si>
    <t>https://cdn.awsli.com.br/948/948321/produto/35763775/c46dff6c39.jpg</t>
  </si>
  <si>
    <t>https://cdn.awsli.com.br/948/948321/produto/35763775/33e87201de.jpg</t>
  </si>
  <si>
    <t>https://cdn.awsli.com.br/948/948321/produto/35763775/9a29a6e5c7.jpg</t>
  </si>
  <si>
    <t>https://cdn.awsli.com.br/948/948321/produto/35763775/f14533e097.jpg</t>
  </si>
  <si>
    <t>Condicionador de energia Engeblu full Protect FPD1500</t>
  </si>
  <si>
    <t>015-007</t>
  </si>
  <si>
    <t>Condicionador de energia Engeblu full Protect D1000-SRX</t>
  </si>
  <si>
    <t>Condicionador de energia para home theater com proteção contra sub, sobre e surto de tensão. Proteção para cabo coaxial (tv à cabo e/ou antena). Entrada 220V e 7 tomadas com saídas em 220V com total de 1500VA</t>
  </si>
  <si>
    <t xml:space="preserve">&lt;p&gt;&lt;span style="font-size:16px;"&gt;&lt;span style="font-family:verdana,geneva,sans-serif;"&gt;&lt;span style="text-align: center;"&gt;Condicionador de energia para home theater com proteção contra sub, sobre e surto de tensão. Proteção para cabo coaxial (tv à cabo e/ou antena). Entrada 220V e 7 tomadas com saídas em 220V com total de 1500VA&lt;/span&gt;&lt;/span&gt;&lt;/span&gt;&lt;/p&gt;
&lt;p&gt;&lt;span style="font-size:16px;"&gt;&lt;span style="font-family:verdana,geneva,sans-serif;"&gt;&lt;strong&gt;&lt;span style="text-align: center;"&gt;Resumo do seu produto: &lt;/span&gt;&lt;/strong&gt;&lt;/span&gt;&lt;/span&gt;&lt;/p&gt;
&lt;p&gt;&lt;span style="font-size:16px;"&gt;&lt;span style="font-family:verdana,geneva,sans-serif;"&gt;&lt;span style="text-align: center;"&gt;-Potencia: 1500VA&lt;/span&gt;&lt;/span&gt;&lt;/span&gt;&lt;/p&gt;
&lt;p&gt;&lt;span style="font-size:16px;"&gt;&lt;span style="font-family:verdana,geneva,sans-serif;"&gt;&lt;span style="text-align: center;"&gt;-Proteção de cabos coaxiais (CaTv/TvSat)&lt;/span&gt;&lt;/span&gt;&lt;/span&gt;&lt;/p&gt;
&lt;p&gt;&lt;span style="font-size:16px;"&gt;&lt;span style="font-family:verdana,geneva,sans-serif;"&gt;&lt;span style="text-align: center;"&gt;-01 tomada frontal 220V&lt;/span&gt;&lt;/span&gt;&lt;/span&gt;&lt;/p&gt;
&lt;p&gt;&lt;span style="font-size:16px;"&gt;&lt;span style="font-family:verdana,geneva,sans-serif;"&gt;&lt;span style="text-align: center;"&gt;-06 tomadas traseiras 220V&lt;/span&gt;&lt;/span&gt;&lt;/span&gt;&lt;/p&gt;
&lt;p&gt;&lt;span style="font-size:16px;"&gt;&lt;span style="font-family:verdana,geneva,sans-serif;"&gt;&lt;span style="text-align: center;"&gt;-Faixa de variação de proteção (175V a 235v)&lt;/span&gt;&lt;/span&gt;&lt;/span&gt;&lt;/p&gt;
&lt;p&gt;&lt;span style="font-size:16px;"&gt;&lt;span style="font-family:verdana,geneva,sans-serif;"&gt;&lt;span style="text-align: center;"&gt;- &lt;a href="https://www.engeblu.com.br/_files/ugd/e9ba2a_f5d2a8129c574e109981fe6b1f8f7419.pdf"&gt;&lt;span style="color:#e74c3c;"&gt;&lt;strong&gt;DOWNLOAD MANUAL&lt;/strong&gt;&lt;/span&gt;&lt;/a&gt;&lt;/span&gt;&lt;/span&gt;&lt;/span&gt;&lt;/p&gt;
&lt;p&gt; &lt;/p&gt;
</t>
  </si>
  <si>
    <t>https://cdn.awsli.com.br/948/948321/produto/35764554/fpt1000-qpsdq7mjil.jpg</t>
  </si>
  <si>
    <t>https://cdn.awsli.com.br/948/948321/produto/35764554/fpt10010-8g3yvqxsal.jpg</t>
  </si>
  <si>
    <t>https://cdn.awsli.com.br/948/948321/produto/35764554/fpt100130-tiljvykark.jpg</t>
  </si>
  <si>
    <t>https://cdn.awsli.com.br/948/948321/produto/35764554/fpt1001330-rcafdopmez.jpg</t>
  </si>
  <si>
    <t>https://cdn.awsli.com.br/948/948321/produto/35764554/fpt10013230-kks6419dmo.jpg</t>
  </si>
  <si>
    <t>Condicionador de energia Engeblu full Protect FPD2200</t>
  </si>
  <si>
    <t>015-008</t>
  </si>
  <si>
    <t>Condicionador de energia com proteção especial para home theater. O FPD2200 é um condicionador de energia com proteção de sobrecorrente resetável, sobretensão e subtensão com indicação luminosa.</t>
  </si>
  <si>
    <t xml:space="preserve">&lt;p&gt;&lt;span style="font-size:16px;"&gt;&lt;span style="font-family:verdana,geneva,sans-serif;"&gt;&lt;span style="text-align: center;"&gt;Condicionador de energia com proteção especial para home theater. O FPD2200 é um condicionador de energia com proteção de sobrecorrente resetável, sobretensão e subtensão com indicação luminosa. Proteção de cabos coaxiais (CaTv/TvSat). Entrada frontal 220V e 09 tomadas traseiras em 220V com total de 2200VA&lt;/span&gt;&lt;/span&gt;&lt;/span&gt;&lt;/p&gt;
&lt;p&gt;&lt;span style="font-size:16px;"&gt;&lt;span style="font-family:verdana,geneva,sans-serif;"&gt;&lt;strong&gt;Resumo do seu produto:&lt;/strong&gt;&lt;/span&gt;&lt;/span&gt;&lt;/p&gt;
&lt;p&gt;&lt;span style="font-size:16px;"&gt;&lt;span style="font-family:verdana,geneva,sans-serif;"&gt;-Potência 2200VA&lt;/span&gt;&lt;/span&gt;&lt;/p&gt;
&lt;p&gt;&lt;span style="font-size:16px;"&gt;&lt;span style="font-family:verdana,geneva,sans-serif;"&gt;-Proteção de cabos coaxiais (CaTv/TvSat)&lt;/span&gt;&lt;/span&gt;&lt;/p&gt;
&lt;p&gt;&lt;span style="font-size:16px;"&gt;&lt;span style="font-family:verdana,geneva,sans-serif;"&gt;-01 tomada frontal 220V&lt;/span&gt;&lt;/span&gt;&lt;/p&gt;
&lt;p&gt;&lt;span style="font-size:16px;"&gt;&lt;span style="font-family:verdana,geneva,sans-serif;"&gt;-09 tomadas traseiras 220V&lt;/span&gt;&lt;/span&gt;&lt;/p&gt;
&lt;p&gt;&lt;span style="font-size:16px;"&gt;&lt;span style="font-family:verdana,geneva,sans-serif;"&gt;-Faixa de variação de proteção (195V a 235V)&lt;/span&gt;&lt;/span&gt;&lt;/p&gt;
&lt;p&gt;&lt;span style="font-size:16px;"&gt;&lt;span style="font-family:verdana,geneva,sans-serif;"&gt;- &lt;a href="https://80129003-4023-49f2-83ba-8fea8975b2c6.filesusr.com/ugd/e9ba2a_b2390bb3eff247299430c0443c7a2a2f.pdf"&gt;&lt;span style="color:#e74c3c;"&gt;&lt;strong&gt;DOWNLOAD MANUAL&lt;/strong&gt;&lt;/span&gt;&lt;/a&gt;&lt;/span&gt;&lt;/span&gt;&lt;/p&gt;
</t>
  </si>
  <si>
    <t>https://cdn.awsli.com.br/948/948321/produto/35764709/5ac08642c5.jpg</t>
  </si>
  <si>
    <t>https://cdn.awsli.com.br/948/948321/produto/35764709/551875341e.jpg</t>
  </si>
  <si>
    <t>https://cdn.awsli.com.br/948/948321/produto/35764709/95d2ef5000.jpg</t>
  </si>
  <si>
    <t>https://cdn.awsli.com.br/948/948321/produto/35764709/45db6d64c2.jpg</t>
  </si>
  <si>
    <t>condicionador de energia Engeblu full Protect FP2200-DX</t>
  </si>
  <si>
    <t>015-009</t>
  </si>
  <si>
    <t>Condicionador de energia para home theater com  proteção contra sub, sobre e surto de tensão, com indicação luminosa e voltímetro digital. Proteção para cabo coaxial (tv à cabo e/ou antena) e proteção para linha telefônica/internet.</t>
  </si>
  <si>
    <t xml:space="preserve">&lt;p&gt;&lt;span style="font-size:16px;"&gt;&lt;span style="font-family:verdana,geneva,sans-serif;"&gt;&lt;span style="text-align: center;"&gt;Condicionador de energia para home theater com  proteção contra sub, sobre e surto de tensão, com indicação luminosa e voltímetro digital. Proteção para cabo coaxial (tv à cabo e/ou antena) e proteção para linha telefônica/internet. Entrada 220V e 10 tomadas com saídas isoladas em 220V com total de 2200VA&lt;/span&gt;&lt;/span&gt;&lt;/span&gt;&lt;/p&gt;
&lt;p&gt;&lt;span style="font-size:16px;"&gt;&lt;span style="font-family:verdana,geneva,sans-serif;"&gt;&lt;strong&gt;Resumo do seu produto:&lt;/strong&gt;&lt;/span&gt;&lt;/span&gt;&lt;/p&gt;
&lt;p&gt;&lt;span style="font-size:16px;"&gt;&lt;span style="font-family:verdana,geneva,sans-serif;"&gt;-Potencia: 2200VA&lt;/span&gt;&lt;/span&gt;&lt;/p&gt;
&lt;p&gt;&lt;span style="font-size:16px;"&gt;&lt;span style="font-family:verdana,geneva,sans-serif;"&gt;-Proteção de rede/Internet&lt;/span&gt;&lt;/span&gt;&lt;/p&gt;
&lt;p&gt;&lt;span style="font-size:16px;"&gt;&lt;span style="font-family:verdana,geneva,sans-serif;"&gt;-Proteção de cabos coaxiais (CaTv/TvSat)&lt;/span&gt;&lt;/span&gt;&lt;/p&gt;
&lt;p&gt;&lt;span style="font-size:16px;"&gt;&lt;span style="font-family:verdana,geneva,sans-serif;"&gt;-01 tomada frontal 220V&lt;/span&gt;&lt;/span&gt;&lt;/p&gt;
&lt;p&gt;&lt;span style="font-size:16px;"&gt;&lt;span style="font-family:verdana,geneva,sans-serif;"&gt;-09 tomadas traseiras 220V&lt;/span&gt;&lt;/span&gt;&lt;/p&gt;
&lt;p&gt;&lt;span style="font-size:16px;"&gt;&lt;span style="font-family:verdana,geneva,sans-serif;"&gt;-Faixa de variação de proteção (195V a 235V)&lt;/span&gt;&lt;/span&gt;&lt;/p&gt;
&lt;p&gt;&lt;span style="font-size:16px;"&gt;&lt;span style="font-family:verdana,geneva,sans-serif;"&gt;- &lt;a href="https://80129003-4023-49f2-83ba-8fea8975b2c6.filesusr.com/ugd/e9ba2a_adf16c3b44294031bde647b1b72c67ad.pdf"&gt;&lt;span style="color:#e74c3c;"&gt;&lt;strong&gt;DOWNLOAD MANUAL&lt;/strong&gt;&lt;/span&gt;&lt;/a&gt;&lt;/span&gt;&lt;/span&gt;&lt;/p&gt;
</t>
  </si>
  <si>
    <t>https://cdn.awsli.com.br/948/948321/produto/35764863/b761569773.jpg</t>
  </si>
  <si>
    <t>https://cdn.awsli.com.br/948/948321/produto/35764863/4ab0a1b5f0.jpg</t>
  </si>
  <si>
    <t>https://cdn.awsli.com.br/948/948321/produto/35764863/6ea57acab7.jpg</t>
  </si>
  <si>
    <t>https://cdn.awsli.com.br/948/948321/produto/35764863/9debfa965c.jpg</t>
  </si>
  <si>
    <t>Condicionador de energia Engeblu fullProtect FP1000-ITX</t>
  </si>
  <si>
    <t>015-012</t>
  </si>
  <si>
    <t>Condicionador de energia para home theater com transformador toroidal isolador com blindagem eletrostática e proteção contra sub, sobre e surto de tensão, com indicação luminosa e voltímetro digital.</t>
  </si>
  <si>
    <t xml:space="preserve">&lt;p&gt;&lt;span style="font-size:16px;"&gt;&lt;span style="font-family:verdana,geneva,sans-serif;"&gt;&lt;span style="text-align: center;"&gt;Condicionador de energia para home theater com transformador toroidal isolador com blindagem eletrostática e proteção contra sub, sobre e surto de tensão, com indicação luminosa e voltímetro digital. Proteção para cabo coaxial (tv à cabo e/ou antena) e proteção para linha telefônica/internet. Entrada 220V e 10 tomadas com saídas isoladas em 115V com total de 1000VA&lt;/span&gt;&lt;/span&gt;&lt;/span&gt;&lt;/p&gt;
&lt;p&gt;&lt;span style="font-size:16px;"&gt;&lt;span style="font-family:verdana,geneva,sans-serif;"&gt;&lt;strong&gt;Resumo do seu produto:&lt;/strong&gt;&lt;/span&gt;&lt;/span&gt;&lt;/p&gt;
&lt;p&gt;&lt;span style="font-size:16px;"&gt;&lt;span style="font-family:verdana,geneva,sans-serif;"&gt;-Potência 1000VA&lt;/span&gt;&lt;/span&gt;&lt;/p&gt;
&lt;p&gt;&lt;span style="font-size:16px;"&gt;&lt;span style="font-family:verdana,geneva,sans-serif;"&gt;-Transformador Toroidal Isolado de 1000VA com blindagem eletrostática&lt;/span&gt;&lt;/span&gt;&lt;/p&gt;
&lt;p&gt;&lt;span style="font-size:16px;"&gt;&lt;span style="font-family:verdana,geneva,sans-serif;"&gt;-Proteção de Rede/Internet&lt;/span&gt;&lt;/span&gt;&lt;/p&gt;
&lt;p&gt;&lt;span style="font-size:16px;"&gt;&lt;span style="font-family:verdana,geneva,sans-serif;"&gt;-Proteção de cabos coaxiais (CaTv/TvSat)&lt;/span&gt;&lt;/span&gt;&lt;/p&gt;
&lt;p&gt;&lt;span style="font-size:16px;"&gt;&lt;span style="font-family:verdana,geneva,sans-serif;"&gt;-01 tomada frontal e 09 traseiras 115V&lt;/span&gt;&lt;/span&gt;&lt;/p&gt;
&lt;p&gt;&lt;span style="font-size:16px;"&gt;&lt;span style="font-family:verdana,geneva,sans-serif;"&gt;-Faixa de variação de proteção (195V a 235V)&lt;/span&gt;&lt;/span&gt;&lt;/p&gt;
&lt;p&gt;&lt;span style="font-size:16px;"&gt;&lt;span style="font-family:verdana,geneva,sans-serif;"&gt;- &lt;a href="https://80129003-4023-49f2-83ba-8fea8975b2c6.filesusr.com/ugd/e9ba2a_5986c2fb853e47bfb40b5b294a6cef3a.pdf"&gt;&lt;span style="color:#e74c3c;"&gt;&lt;strong&gt;DOWNLOAD MANUAL&lt;/strong&gt;&lt;/span&gt;&lt;/a&gt;&lt;/span&gt;&lt;/span&gt;&lt;/p&gt;
&lt;p&gt; &lt;/p&gt;
&lt;p&gt; &lt;/p&gt;
</t>
  </si>
  <si>
    <t>https://cdn.awsli.com.br/948/948321/produto/35765421/9b6f842dec.jpg</t>
  </si>
  <si>
    <t>https://cdn.awsli.com.br/948/948321/produto/35765421/20671cff24.jpg</t>
  </si>
  <si>
    <t>https://cdn.awsli.com.br/948/948321/produto/35765421/36ac2658d7.jpg</t>
  </si>
  <si>
    <t>https://cdn.awsli.com.br/948/948321/produto/35765421/2a01458fa5.jpg</t>
  </si>
  <si>
    <t>Condicionador de energia Engeblu full Protect FPT2000</t>
  </si>
  <si>
    <t>015-013</t>
  </si>
  <si>
    <t>Condicionador de energia com proteção especial para home theater. O FPT2000 é um condicionador de energia com proteção de sobrecorrente resetável, sobretensão e subtensão com indicação luminosa.</t>
  </si>
  <si>
    <t xml:space="preserve">&lt;p&gt;&lt;span style="font-size:18px;"&gt;&lt;span style="font-family:arial,helvetica,sans-serif;"&gt;&lt;span style="text-align: center;"&gt;Condicionador de energia com proteção especial para home theater. O FPT2000 é um condicionador de energia com proteção de sobrecorrente resetável, sobretensão e subtensão com indicação luminosa.  Proteção de cabos coaxiais (CaTv/TvSat). Entrada frontal 220V e 09 tomadas traseiras em 120V com total de 2000VA&lt;/span&gt;&lt;/span&gt;&lt;/span&gt;&lt;/p&gt;
&lt;p&gt;&lt;span style="font-size:18px;"&gt;&lt;span style="font-family:arial,helvetica,sans-serif;"&gt;&lt;strong&gt;Resumo do seu produto:&lt;/strong&gt;&lt;/span&gt;&lt;/span&gt;&lt;/p&gt;
&lt;p&gt;&lt;span style="font-size:18px;"&gt;&lt;span style="font-family:arial,helvetica,sans-serif;"&gt;-Potência 2000VA&lt;/span&gt;&lt;/span&gt;&lt;/p&gt;
&lt;p&gt;&lt;span style="font-size:18px;"&gt;&lt;span style="font-family:arial,helvetica,sans-serif;"&gt;-Auto Transformador Toroidal com potência de 2000VA&lt;/span&gt;&lt;/span&gt;&lt;/p&gt;
&lt;p&gt;&lt;span style="font-size:18px;"&gt;&lt;span style="font-family:arial,helvetica,sans-serif;"&gt;-Proteção de cabos coaxiais (CaTv/TvSat)&lt;/span&gt;&lt;/span&gt;&lt;/p&gt;
&lt;p&gt;&lt;span style="font-size:18px;"&gt;&lt;span style="font-family:arial,helvetica,sans-serif;"&gt;-01 tomada frontal 120V&lt;/span&gt;&lt;/span&gt;&lt;/p&gt;
&lt;p&gt;&lt;span style="font-size:18px;"&gt;&lt;span style="font-family:arial,helvetica,sans-serif;"&gt;-09 tomadas traseiras 120V&lt;/span&gt;&lt;/span&gt;&lt;/p&gt;
&lt;p&gt;&lt;span style="font-size:18px;"&gt;&lt;span style="font-family:arial,helvetica,sans-serif;"&gt;-Faixa de variação de proteção (195V a 235V) &lt;/span&gt;&lt;/span&gt;&lt;/p&gt;
&lt;p&gt;&lt;span style="font-size:18px;"&gt;&lt;span style="font-family:arial,helvetica,sans-serif;"&gt;-&lt;a href="https://80129003-4023-49f2-83ba-8fea8975b2c6.filesusr.com/ugd/e9ba2a_418faf6de17342cea38341d21041139d.pdf"&gt;&lt;span style="color:#e74c3c;"&gt;&lt;strong&gt; DOWNLOAD MANUAL&lt;/strong&gt;&lt;/span&gt;&lt;/a&gt;&lt;/span&gt;&lt;/span&gt;&lt;/p&gt;
</t>
  </si>
  <si>
    <t>https://cdn.awsli.com.br/948/948321/produto/35765658/6e5e05b909.jpg</t>
  </si>
  <si>
    <t>https://cdn.awsli.com.br/948/948321/produto/35765658/2a30a17e2e.jpg</t>
  </si>
  <si>
    <t>https://cdn.awsli.com.br/948/948321/produto/35765658/08058d21e0.jpg</t>
  </si>
  <si>
    <t>https://cdn.awsli.com.br/948/948321/produto/35765658/6ae0e65e54.jpg</t>
  </si>
  <si>
    <t>Condicionador de energia Engeblu full Protect FP2000-ATX</t>
  </si>
  <si>
    <t>015-014</t>
  </si>
  <si>
    <t>O FP2000-ATX é um condicionador de energia com proteção de sobrecorrente resetável, proteção de sobretensão e subtensão com indicação luminosa, proteção de rede/internet, cabo coaxial e voltímetro digital.</t>
  </si>
  <si>
    <t xml:space="preserve">&lt;p&gt;&lt;span style="font-size:16px;"&gt;&lt;span style="font-family:lucida sans unicode,lucida grande,sans-serif;"&gt;O FP2000-ATX é um condicionador de energia com proteção de sobrecorrente resetável, proteção de sobretensão e subtensão com indicação luminosa, proteção de rede/internet, cabo coaxial e voltímetro digital. Além de todas estas proteções, ainda conta com um transformador toroidal de 2000VA, responsável por baixar a tensão de entrada de 220V para 120V.&lt;/span&gt;&lt;/span&gt;&lt;/p&gt;
&lt;p&gt;&lt;span style="font-size:16px;"&gt;&lt;span style="font-family:verdana,geneva,sans-serif;"&gt;&lt;strong&gt;Resumo do seu produto:&lt;/strong&gt;&lt;/span&gt;&lt;/span&gt;&lt;/p&gt;
&lt;p&gt;&lt;span style="font-size:16px;"&gt;&lt;span style="font-family:lucida sans unicode,lucida grande,sans-serif;"&gt;- Potência de 2000VA;&lt;br /&gt;
- Tensão de entrada 220V;&lt;br /&gt;
- 01 tomada frontal de 120V e 09 tomadas traseiras de 120V;&lt;br /&gt;
- Auto transformador toroidal com potência de 2000VA;&lt;br /&gt;
- Proteção de Rede/Internet e proteção de cabos coaxiais (CaTv/TvSat); &lt;br /&gt;
- Faixa de Variação de Proteção (175V a 235V);&lt;br /&gt;
- Voltímetro digital indicando a tensão de entrada; &lt;br /&gt;
- Proteção de sobrecorrente resetável de 10A (circuit breaker).&lt;/span&gt;&lt;/span&gt;&lt;/p&gt;
&lt;p&gt;&lt;span style="font-size:16px;"&gt;&lt;span style="font-family:lucida sans unicode,lucida grande,sans-serif;"&gt;- &lt;a href="https://80129003-4023-49f2-83ba-8fea8975b2c6.filesusr.com/ugd/e9ba2a_078c7f7e389149dfa412236108c31203.pdf"&gt;&lt;strong&gt;&lt;span style="color:#e74c3c;"&gt;DOWNLOAD MANUAL&lt;/span&gt;&lt;/strong&gt;&lt;/a&gt;&lt;/span&gt;&lt;/span&gt;&lt;/p&gt;
</t>
  </si>
  <si>
    <t>https://cdn.awsli.com.br/948/948321/produto/35765863/3a7ef09b60.jpg</t>
  </si>
  <si>
    <t>https://cdn.awsli.com.br/948/948321/produto/35765863/8c2b37ed84.jpg</t>
  </si>
  <si>
    <t>https://cdn.awsli.com.br/948/948321/produto/35765863/ab6f5aa866.jpg</t>
  </si>
  <si>
    <t>https://cdn.awsli.com.br/948/948321/produto/35765863/352b72c296.jpg</t>
  </si>
  <si>
    <t>Condicionador de energia Engeblu  full Protect FP3300-ATX</t>
  </si>
  <si>
    <t>015-015</t>
  </si>
  <si>
    <t>Condicionador de energia para home theater com  transformador toroidal e proteção contra sub, sobre e surto de tensão, com indicação luminosa e voltímetro digital. Proteção para cabo coaxial (tv à cabo e/ou antena) e proteção para linha telefônica/i</t>
  </si>
  <si>
    <t xml:space="preserve">&lt;p class="font_8" style="margin: 0px; padding: 0px; font-variant-numeric: normal; font-variant-east-asian: normal; font-stretch: normal; font-size: 16px; line-height: normal; font-family: avenir-lt-w01_35-light1475496, sans-serif; background: 0px 0px; border: 0px; outline: 0px; vertical-align: baseline; color: rgb(16, 113, 148); pointer-events: auto;"&gt;&lt;span style="font-size:16px;"&gt;&lt;span style="font-family:verdana,geneva,sans-serif;"&gt;&lt;span style="color:#000000;"&gt;&lt;span class="color_33" style="margin: 0px; padding: 0px; border: 0px; outline: 0px; vertical-align: baseline; background: 0px 0px;"&gt;Condicionador de energia para home theater com  transformador toroidal e proteção contra sub, sobre e surto de tensão, com indicação luminosa&lt;/span&gt;&lt;/span&gt;&lt;/span&gt;&lt;/span&gt;&lt;/p&gt;
&lt;p class="font_8" style="margin: 0px; padding: 0px; font-variant-numeric: normal; font-variant-east-asian: normal; font-stretch: normal; font-size: 16px; line-height: normal; font-family: avenir-lt-w01_35-light1475496, sans-serif; background: 0px 0px; border: 0px; outline: 0px; vertical-align: baseline; color: rgb(16, 113, 148); pointer-events: auto;"&gt;&lt;span style="font-size:16px;"&gt;&lt;span style="font-family:verdana,geneva,sans-serif;"&gt;&lt;span style="color:#000000;"&gt;&lt;span class="color_33" style="margin: 0px; padding: 0px; border: 0px; outline: 0px; vertical-align: baseline; background: 0px 0px;"&gt;e voltímetro digital. Proteção para cabo coaxial (tv à cabo e/ou antena) e proteção para linha telefônica/internet. Entrada 220V, 4 tomadas com saídas em 220V e 6 tomadas com saídas isoladas em 120V com total de 3300VA.&lt;/span&gt;&lt;/span&gt;&lt;/span&gt;&lt;/span&gt;&lt;/p&gt;
&lt;p class="font_8" style="margin: 0px; padding: 0px; border: 0px; outline: 0px; vertical-align: baseline; background: 0px 0px; font-variant-numeric: normal; font-variant-east-asian: normal; font-stretch: normal; font-size: 16px; line-height: normal; font-family: avenir-lt-w01_35-light1475496, sans-serif; color: rgb(16, 113, 148); pointer-events: auto; text-align: center;"&gt; &lt;/p&gt;
&lt;p class="font_8" style="margin: 0px; padding: 0px; border: 0px; outline: 0px; vertical-align: baseline; background: 0px 0px; font-variant-numeric: normal; font-variant-east-asian: normal; font-stretch: normal; font-size: 16px; line-height: normal; font-family: avenir-lt-w01_35-light1475496, sans-serif; color: rgb(16, 113, 148); pointer-events: auto;"&gt;&lt;span style="font-size:16px;"&gt;&lt;span style="font-family:verdana,geneva,sans-serif;"&gt;&lt;span style="color:#000000;"&gt;&lt;strong&gt;Resumo do seu produto:&lt;/strong&gt;&lt;/span&gt;&lt;/span&gt;&lt;/span&gt;&lt;/p&gt;
&lt;p class="font_8" style="margin: 0px; padding: 0px; border: 0px; outline: 0px; vertical-align: baseline; background: 0px 0px; font-variant-numeric: normal; font-variant-east-asian: normal; font-stretch: normal; font-size: 16px; line-height: normal; font-family: avenir-lt-w01_35-light1475496, sans-serif; color: rgb(16, 113, 148); pointer-events: auto;"&gt; &lt;/p&gt;
&lt;p class="font_8" style="margin: 0px; padding: 0px; border: 0px; outline: 0px; vertical-align: baseline; background: 0px 0px; font-variant-numeric: normal; font-variant-east-asian: normal; font-stretch: normal; font-size: 16px; line-height: normal; font-family: avenir-lt-w01_35-light1475496, sans-serif; color: rgb(16, 113, 148); pointer-events: auto;"&gt;&lt;span style="font-size:16px;"&gt;&lt;span style="font-family:verdana,geneva,sans-serif;"&gt;&lt;span style="color:#000000;"&gt;-Potência 3300VA&lt;/span&gt;&lt;/span&gt;&lt;/span&gt;&lt;/p&gt;
&lt;p class="font_8" style="margin: 0px; padding: 0px; border: 0px; outline: 0px; vertical-align: baseline; background: 0px 0px; font-variant-numeric: normal; font-variant-east-asian: normal; font-stretch: normal; font-size: 16px; line-height: normal; font-family: avenir-lt-w01_35-light1475496, sans-serif; color: rgb(16, 113, 148); pointer-events: auto;"&gt;&lt;span style="font-size:16px;"&gt;&lt;span style="font-family:verdana,geneva,sans-serif;"&gt;&lt;span style="color:#000000;"&gt;-Transformador Toroidal de 2000VA&lt;/span&gt;&lt;/span&gt;&lt;/span&gt;&lt;/p&gt;
&lt;p class="font_8" style="margin: 0px; padding: 0px; border: 0px; outline: 0px; vertical-align: baseline; background: 0px 0px; font-variant-numeric: normal; font-variant-east-asian: normal; font-stretch: normal; font-size: 16px; line-height: normal; font-family: avenir-lt-w01_35-light1475496, sans-serif; color: rgb(16, 113, 148); pointer-events: auto;"&gt;&lt;span style="font-size:16px;"&gt;&lt;span style="font-family:verdana,geneva,sans-serif;"&gt;&lt;span style="color:#000000;"&gt;-Proteção de Rede/Internet&lt;/span&gt;&lt;/span&gt;&lt;/span&gt;&lt;/p&gt;
&lt;p class="font_8" style="margin: 0px; padding: 0px; border: 0px; outline: 0px; vertical-align: baseline; background: 0px 0px; font-variant-numeric: normal; font-variant-east-asian: normal; font-stretch: normal; font-size: 16px; line-height: normal; font-family: avenir-lt-w01_35-light1475496, sans-serif; color: rgb(16, 113, 148); pointer-events: auto;"&gt;&lt;span style="font-size:16px;"&gt;&lt;span style="font-family:verdana,geneva,sans-serif;"&gt;&lt;span style="color:#000000;"&gt;-Proteção de cabos coaxiais (CaTv/TvSat)&lt;/span&gt;&lt;/span&gt;&lt;/span&gt;&lt;/p&gt;
&lt;p class="font_8" style="margin: 0px; padding: 0px; border: 0px; outline: 0px; vertical-align: baseline; background: 0px 0px; font-variant-numeric: normal; font-variant-east-asian: normal; font-stretch: normal; font-size: 16px; line-height: normal; font-family: avenir-lt-w01_35-light1475496, sans-serif; color: rgb(16, 113, 148); pointer-events: auto;"&gt;&lt;span style="font-size:16px;"&gt;&lt;span style="font-family:verdana,geneva,sans-serif;"&gt;&lt;span style="color:#000000;"&gt;-01 tomada frontal e 03 traseiras 220V&lt;/span&gt;&lt;/span&gt;&lt;/span&gt;&lt;/p&gt;
&lt;p class="font_8" style="margin: 0px; padding: 0px; border: 0px; outline: 0px; vertical-align: baseline; background: 0px 0px; font-variant-numeric: normal; font-variant-east-asian: normal; font-stretch: normal; font-size: 16px; line-height: normal; font-family: avenir-lt-w01_35-light1475496, sans-serif; color: rgb(16, 113, 148); pointer-events: auto;"&gt;&lt;span style="font-size:16px;"&gt;&lt;span style="font-family:verdana,geneva,sans-serif;"&gt;&lt;span style="color:#000000;"&gt;-06 tomadas traseiras 120V&lt;/span&gt;&lt;/span&gt;&lt;/span&gt;&lt;/p&gt;
&lt;p class="font_8" style="margin: 0px; padding: 0px; border: 0px; outline: 0px; vertical-align: baseline; background: 0px 0px; font-variant-numeric: normal; font-variant-east-asian: normal; font-stretch: normal; font-size: 16px; line-height: normal; font-family: avenir-lt-w01_35-light1475496, sans-serif; color: rgb(16, 113, 148); pointer-events: auto;"&gt;&lt;span style="font-size:16px;"&gt;&lt;span style="font-family:verdana,geneva,sans-serif;"&gt;&lt;span style="color:#000000;"&gt;-Faixa de variação de proteção (195V a 235V)&lt;/span&gt;&lt;/span&gt;&lt;/span&gt;&lt;/p&gt;
&lt;p class="font_8" style="margin: 0px; padding: 0px; border: 0px; outline: 0px; vertical-align: baseline; background: 0px 0px; font-variant-numeric: normal; font-variant-east-asian: normal; font-stretch: normal; font-size: 16px; line-height: normal; font-family: avenir-lt-w01_35-light1475496, sans-serif; color: rgb(16, 113, 148); pointer-events: auto;"&gt;&lt;span style="font-size:16px;"&gt;&lt;span style="font-family:verdana,geneva,sans-serif;"&gt;&lt;span style="color:#000000;"&gt;- &lt;/span&gt;&lt;a href="https://80129003-4023-49f2-83ba-8fea8975b2c6.filesusr.com/ugd/e9ba2a_cb82bd2cf8bd471f9f994ecad50ed1fc.pdf"&gt;&lt;span style="color:#e74c3c;"&gt;&lt;strong&gt;DOWLOAD MANUAL&lt;/strong&gt;&lt;/span&gt;&lt;/a&gt;&lt;/span&gt;&lt;/span&gt;&lt;/p&gt;
&lt;p class="font_8" style="margin: 0px; padding: 0px; border: 0px; outline: 0px; vertical-align: baseline; background: 0px 0px; font-variant-numeric: normal; font-variant-east-asian: normal; font-stretch: normal; font-size: 16px; line-height: normal; font-family: avenir-lt-w01_35-light1475496, sans-serif; color: rgb(16, 113, 148); pointer-events: auto; text-align: center;"&gt;&lt;span class="wixGuard" style="margin: 0px; padding: 0px; border: 0px; outline: 0px; vertical-align: baseline; background: 0px 0px;"&gt;​&lt;/span&gt;&lt;/p&gt;
</t>
  </si>
  <si>
    <t>https://cdn.awsli.com.br/948/948321/produto/35766231/f361d006c7.jpg</t>
  </si>
  <si>
    <t>https://cdn.awsli.com.br/948/948321/produto/35766231/11f0a59d09.jpg</t>
  </si>
  <si>
    <t>https://cdn.awsli.com.br/948/948321/produto/35766231/91d2ed04a3.jpg</t>
  </si>
  <si>
    <t>https://cdn.awsli.com.br/948/948321/produto/35766231/9eb0241020.jpg</t>
  </si>
  <si>
    <t>Subwoofer WSW10 - 200w - Wave Sound</t>
  </si>
  <si>
    <t>014-135</t>
  </si>
  <si>
    <t xml:space="preserve">&lt;p&gt;&lt;span style="font-size:16px;"&gt;&lt;span style="font-family:verdana,geneva,sans-serif;"&gt;O subwoofer ativo de 10” modelo WSW10 da Wave é compacto e cabe muito bem em sistemas home theater de baixa e média potência. Com 200 watts de potência e resposta de frequência que vai de 35 Hz- 200 Hz, este modelo produz graves de impactantes complementando seu sistema de som e proporcionando mais realismo às cenas de um filme ou musicais. Um diferencial é a opção de entrada/saída em nível alto para caixa de som que facilita em alguns modos de instalação. Modelo disponível em preto.&lt;/span&gt;&lt;/span&gt;&lt;/p&gt;
&lt;p&gt;&lt;span style="font-size:16px;"&gt;&lt;span style="font-family:verdana,geneva,sans-serif;"&gt;&lt;strong&gt;Detalhes técnicos:&lt;/strong&gt;&lt;/span&gt;&lt;/span&gt;&lt;/p&gt;
&lt;p&gt;&lt;span style="font-size:16px;"&gt;&lt;span style="font-family:verdana,geneva,sans-serif;"&gt;- Modelo: WSW10&lt;br /&gt;
- Resposta de frequência: 35Hz-200Hz&lt;br /&gt;
- Sensibilidade: Entrada pré-amplificada : 500mv, Entrada Nível Alto: 8v&lt;br /&gt;
- Tensão de entrada: 120 Volts - 60Hz&lt;br /&gt;
- Consumo Elétrico: 240 Watts&lt;br /&gt;
- Drivers: Woofer ativo de 10”&lt;br /&gt;
- Potência de operação: 200 Watts&lt;br /&gt;
- Dimensões (A x L x P) mm: 345 x 320 x 388 mm&lt;br /&gt;
- Peso Bruto: 18,14Kg&lt;/span&gt;&lt;/span&gt;&lt;/p&gt;
</t>
  </si>
  <si>
    <t>Wave sound</t>
  </si>
  <si>
    <t>Subwoofer</t>
  </si>
  <si>
    <t>https://cdn.awsli.com.br/948/948321/produto/54775006/1caf436dd6.jpg</t>
  </si>
  <si>
    <t>https://cdn.awsli.com.br/948/948321/produto/54775006/fbadf06d9d.jpg</t>
  </si>
  <si>
    <t>https://cdn.awsli.com.br/948/948321/produto/54775006/c6159c97e4.jpg</t>
  </si>
  <si>
    <t>https://cdn.awsli.com.br/948/948321/produto/54775006/8237f46f99.jpg</t>
  </si>
  <si>
    <t>Som Ambiente Caixa De Embutir Bluetooth Ativa Wave WSR60BT</t>
  </si>
  <si>
    <t>WSR60BT</t>
  </si>
  <si>
    <t xml:space="preserve">&lt;p&gt;&lt;span style="font-size:16px;"&gt;&lt;span style="font-family:verdana,geneva,sans-serif;"&gt;&lt;strong&gt;Caixa bluetooth de embutir 6,5″&lt;/strong&gt;&lt;/span&gt;&lt;/span&gt;&lt;br /&gt;
 &lt;/p&gt;
&lt;p&gt;&lt;span style="font-size:16px;"&gt;&lt;span style="font-family:verdana,geneva,sans-serif;"&gt;Caixa de som da linha reta foi desenvolvida para oferecer a melhor experiência surround em um sistema de Home Theater de embutir, começando pelos materiais de altíssima qualidade. O Woofer é feito em Kevlar para entregar graves encorpados. Já o tweeter, é feito em domo de seda para garantir agudos precisos. Esse modelo também é indicado para som ambiente.&lt;/span&gt;&lt;/span&gt;&lt;/p&gt;
&lt;p&gt;&lt;span style="font-size:16px;"&gt;&lt;span style="font-family:verdana,geneva,sans-serif;"&gt;Por ser embutida em teto de gesso, favorece um projeto arquitetônico clean e moderno, onde os cabos são cuidadosamente instalados de modo que não fiquem visíveis no ambiente. A caixa tem tela em perfil Slim, na opção quadrada ou redonda, o que proporciona um acabamento elegante. Além disso, as telas estão disponíveis na opção branca ou preta.&lt;/span&gt;&lt;/span&gt;&lt;/p&gt;
&lt;p&gt; &lt;/p&gt;
&lt;p&gt;&lt;span style="font-size:16px;"&gt;&lt;span style="font-family:verdana,geneva,sans-serif;"&gt;&lt;strong&gt;Resposta de Frequência:&lt;/strong&gt; 60 Hz-20 KHz&lt;/span&gt;&lt;/span&gt;&lt;/p&gt;
&lt;p&gt;&lt;span style="font-size:16px;"&gt;&lt;span style="font-family:verdana,geneva,sans-serif;"&gt;&lt;strong&gt;Potência (RMS): &lt;/strong&gt;60 watts&lt;/span&gt;&lt;/span&gt;&lt;/p&gt;
&lt;p&gt;&lt;span style="font-size:16px;"&gt;&lt;span style="font-family:verdana,geneva,sans-serif;"&gt;&lt;strong&gt;Impedância:&lt;/strong&gt; 8 Ohms&lt;/span&gt;&lt;/span&gt;&lt;/p&gt;
&lt;p&gt;&lt;span style="font-size:16px;"&gt;&lt;span style="font-family:verdana,geneva,sans-serif;"&gt;&lt;strong&gt;Sensibilidade:&lt;/strong&gt; 90dB&lt;/span&gt;&lt;/span&gt;&lt;/p&gt;
&lt;p&gt;&lt;span style="font-size:16px;"&gt;&lt;span style="font-family:verdana,geneva,sans-serif;"&gt;&lt;strong&gt;Woofer:&lt;/strong&gt; Kevlar 6,5”&lt;/span&gt;&lt;/span&gt;&lt;/p&gt;
&lt;p&gt;&lt;span style="font-size:16px;"&gt;&lt;span style="font-family:verdana,geneva,sans-serif;"&gt;&lt;strong&gt;Tweeter:&lt;/strong&gt; Domo de seda 1″&lt;/span&gt;&lt;/span&gt;&lt;/p&gt;
&lt;p&gt;&lt;span style="font-size:16px;"&gt;&lt;span style="font-family:verdana,geneva,sans-serif;"&gt;&lt;strong&gt;Sistema:&lt;/strong&gt; Bluetooth v4.1&lt;/span&gt;&lt;/span&gt;&lt;/p&gt;
</t>
  </si>
  <si>
    <t>https://cdn.awsli.com.br/948/948321/produto/60117212/b44425b8f9.jpg</t>
  </si>
  <si>
    <t>https://cdn.awsli.com.br/948/948321/produto/60117212/04af2632ad.jpg</t>
  </si>
  <si>
    <t>https://cdn.awsli.com.br/948/948321/produto/60117212/88af331c6c.jpg</t>
  </si>
  <si>
    <t>https://cdn.awsli.com.br/948/948321/produto/60117212/101b485b97.jpg</t>
  </si>
  <si>
    <t>Condicionador de energia Engeblu FullProtect FPC1900</t>
  </si>
  <si>
    <t>X6F89WHFK</t>
  </si>
  <si>
    <t>Condicionador de energia com proteção especial para home theater. O FPC1900 é um condicionador de energia com proteção de sobrecorrente resetável, sobretensão e subtensão com indicação luminosa.</t>
  </si>
  <si>
    <t xml:space="preserve">&lt;p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style="font-size:16px;"&gt;&lt;span style="color:#000000;"&gt;&lt;span style="font-family: verdana, geneva, sans-serif;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float: none; display: inline !important;"&gt;Condicionador de energia para home theater com auto transformador toroidal e proteção contra sub, sobre e surto de tensão. Proteção para cabo coaxial (tv à cabo e/ou antena). Entrada 127V e 9 tomadas com saídas em 127V com total de 1900VA&lt;/span&gt;&lt;/span&gt;&lt;/span&gt;&lt;/p&gt;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 &lt;/p&gt;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style="color:#000000;"&gt;&lt;span style="font-size:16px;"&gt;&lt;span class="color_33" style="margin: 0px; padding: 0px; border: 0px; outline: 0px; vertical-align: baseline; background: transparent;"&gt;- Condicionador de energia com proteção especial para home theater. &lt;/span&gt;&lt;/span&gt;&lt;/span&gt;&lt;/p&gt;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style="color:#000000;"&gt;&lt;span style="font-size:16px;"&gt;&lt;span class="color_33" style="margin: 0px; padding: 0px; border: 0px; outline: 0px; vertical-align: baseline; background: transparent;"&gt;- O FPC1900 é um condicionador de energia com proteção de sobrecorrente resetável, sobretensão e subtensão com indicação luminosa. &lt;/span&gt;&lt;/span&gt;&lt;/span&gt;&lt;/p&gt;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style="color:#000000;"&gt;&lt;span style="font-size:16px;"&gt;&lt;span class="color_33" style="margin: 0px; padding: 0px; border: 0px; outline: 0px; vertical-align: baseline; background: transparent;"&gt;- Proteção de cabos coaxiais (CaTv/TvSat). Entrada frontal 127V e 09 tomadas traseiras em 127V com total de 1900VA&lt;/span&gt;&lt;/span&gt;&lt;/span&gt;&lt;/p&gt;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style="font-size:16px;"&gt;&lt;span class="wixGuard" style="margin: 0px; padding: 0px; border: 0px; outline: 0px; vertical-align: baseline; background: transparent;"&gt;​&lt;/span&gt;&lt;/span&gt;&lt;/p&gt;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style="font-size:16px;"&gt;&lt;span class="color_33" style="margin: 0px; padding: 0px; border: 0px; outline: 0px; vertical-align: baseline; background: transparent; color: rgb(var(--color_33));"&gt;&lt;span style="margin: 0px; padding: 0px; border: 0px; outline: 0px; vertical-align: baseline; background: transparent; font-family: avenir-lt-w01_85-heavy1475544, sans-serif;"&gt;Dimensões&lt;/span&gt;&lt;span style="margin: 0px; padding: 0px; border: 0px; outline: 0px; vertical-align: baseline; background: transparent; font-family: avenir-lt-w01_35-light1475496, sans-serif;"&gt; (L x A x P): 440 x 65 x 280 mm&lt;/span&gt;&lt;/span&gt;&lt;/span&gt;&lt;/p&gt;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 &lt;/p&gt;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style="font-size:16px;"&gt;&lt;strong&gt;&lt;a href="http://80129003-4023-49f2-83ba-8fea8975b2c6.filesusr.com/ugd/e9ba2a_e38c33f23f314d8faec47be185f4f50a.pdf"&gt;&lt;span style="color:#e74c3c;"&gt;&lt;font face="avenir-lt-w01_35-light1475496, sans-serif"&gt;D&lt;/font&gt;OWNLOAD MANUAL&lt;/span&gt;&lt;/a&gt;&lt;/strong&gt;&lt;/span&gt;&lt;/p&gt;
</t>
  </si>
  <si>
    <t>https://cdn.awsli.com.br/948/948321/produto/110382067/60520fd231.jpg</t>
  </si>
  <si>
    <t>https://cdn.awsli.com.br/948/948321/produto/110382067/8cc42556a9.jpg</t>
  </si>
  <si>
    <t>Condicionador de energia Engeblu FPA 3300</t>
  </si>
  <si>
    <t>ZYQ86G6MT</t>
  </si>
  <si>
    <t>Condicionador de energia com proteção especial para home theater.
O FPA3300 é um condicionador de energia com proteção de sobrecorrente resetável, sobretensão e subtensão com indicação luminosa e voltímetro digital.</t>
  </si>
  <si>
    <t xml:space="preserve">&lt;p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class="color_33" style="margin: 0px; padding: 0px; border: 0px; outline: 0px; vertical-align: baseline; background: transparent; color: rgb(var(--color_33));"&gt;Condicionador de energia com proteção especial para home theater. &lt;/span&gt;&lt;/p&gt;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class="color_33" style="margin: 0px; padding: 0px; border: 0px; outline: 0px; vertical-align: baseline; background: transparent; color: rgb(var(--color_33));"&gt;O FPA3300 é um condicionador de energia com proteção de sobrecorrente resetável, sobretensão e subtensão com indicação luminosa e voltímetro digital. &lt;/span&gt;&lt;/p&gt;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class="color_33" style="margin: 0px; padding: 0px; border: 0px; outline: 0px; vertical-align: baseline; background: transparent; color: rgb(var(--color_33));"&gt;Proteção de cabos coaxiais (CaTv/TvSat). &lt;/span&gt;&lt;/p&gt;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class="color_33" style="margin: 0px; padding: 0px; border: 0px; outline: 0px; vertical-align: baseline; background: transparent; color: rgb(var(--color_33));"&gt;Entrada frontal 220V e 18 tomadas traseiras em 120V com total de 3300VA&lt;/span&gt;&lt;/p&gt;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class="wixGuard" style="margin: 0px; padding: 0px; border: 0px; outline: 0px; vertical-align: baseline; background: transparent;"&gt;​&lt;/span&gt;&lt;/p&gt;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class="color_33" style="margin: 0px; padding: 0px; border: 0px; outline: 0px; vertical-align: baseline; background: transparent; color: rgb(var(--color_33));"&gt;&lt;span style="margin: 0px; padding: 0px; border: 0px; outline: 0px; vertical-align: baseline; background: transparent; font-family: avenir-lt-w01_85-heavy1475544, sans-serif;"&gt;Dimensões&lt;/span&gt;&lt;span style="margin: 0px; padding: 0px; border: 0px; outline: 0px; vertical-align: baseline; background: transparent; font-family: avenir-lt-w01_35-light1475496, sans-serif;"&gt;&lt;span&gt; &lt;/span&gt;(L x A x P): 100 x 430 x 320mm&lt;/span&gt;&lt;/span&gt;&lt;/p&gt;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 &lt;/p&gt;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class="color_33" style="margin: 0px; padding: 0px; border: 0px; outline: 0px; vertical-align: baseline; background: transparent; color: rgb(var(--color_33));"&gt;&lt;span style="margin: 0px; padding: 0px; border: 0px; outline: 0px; vertical-align: baseline; background: transparent; font-family: avenir-lt-w01_35-light1475496, sans-serif;"&gt;- &lt;/span&gt;&lt;/span&gt;&lt;a href="https://80129003-4023-49f2-83ba-8fea8975b2c6.filesusr.com/ugd/669c76_0ed0b7c5ca094c879c709ed4a7359ba7.pdf"&gt;&lt;span style="color:#e74c3c;"&gt;&lt;span class="color_33" style="margin: 0px; padding: 0px; border: 0px; outline: 0px; vertical-align: baseline; background: transparent;"&gt;&lt;span style="margin: 0px; padding: 0px; border: 0px; outline: 0px; vertical-align: baseline; background: transparent; font-family: avenir-lt-w01_35-light1475496, sans-serif;"&gt;&lt;strong&gt;DOWNLOAD MANUAL&lt;/strong&gt;&lt;/span&gt;&lt;/span&gt;&lt;/span&gt;&lt;/a&gt;&lt;/p&gt;
</t>
  </si>
  <si>
    <t>https://cdn.awsli.com.br/948/948321/produto/110394125/ee15ff3963.jpg</t>
  </si>
  <si>
    <t>https://cdn.awsli.com.br/948/948321/produto/110394125/096b9492a3.jpg</t>
  </si>
  <si>
    <t>https://cdn.awsli.com.br/948/948321/produto/110394125/4de5611c1c.jpg</t>
  </si>
  <si>
    <t>Condicionador de Energia Engeblu FullProtect FPI 3300</t>
  </si>
  <si>
    <t>GHJV9X5QU</t>
  </si>
  <si>
    <t>Condicionador de energia Engeblu FPI 3300</t>
  </si>
  <si>
    <t>Condicionador de energia com proteção especial para home theater.
O FPI3300 é um condicionador de energia com proteção de sobrecorrente resetável, sobretensão e subtensão com indicação luminosa e voltímetro digital.</t>
  </si>
  <si>
    <t xml:space="preserve">&lt;p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class="color_33" style="margin: 0px; padding: 0px; border: 0px; outline: 0px; vertical-align: baseline; background: transparent; color: rgb(var(--color_33));"&gt;Condicionador de energia com proteção especial para home theater. &lt;/span&gt;&lt;/p&gt;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class="color_33" style="margin: 0px; padding: 0px; border: 0px; outline: 0px; vertical-align: baseline; background: transparent; color: rgb(var(--color_33));"&gt;O FPI3300 é um condicionador de energia com proteção de sobrecorrente resetável, sobretensão e subtensão com indicação luminosa e voltímetro digital. &lt;/span&gt;&lt;/p&gt;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class="color_33" style="margin: 0px; padding: 0px; border: 0px; outline: 0px; vertical-align: baseline; background: transparent; color: rgb(var(--color_33));"&gt;Proteção de cabos coaxiais (CaTv/TvSat). Entrada 220V e 18 tomadas 115V com total de 3300VA&lt;/span&gt;&lt;/p&gt;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class="wixGuard" style="margin: 0px; padding: 0px; border: 0px; outline: 0px; vertical-align: baseline; background: transparent;"&gt;​&lt;/span&gt;&lt;/p&gt;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class="color_33" style="margin: 0px; padding: 0px; border: 0px; outline: 0px; vertical-align: baseline; background: transparent; color: rgb(var(--color_33));"&gt;&lt;span style="margin: 0px; padding: 0px; border: 0px; outline: 0px; vertical-align: baseline; background: transparent; font-family: avenir-lt-w01_85-heavy1475544, sans-serif;"&gt;Dimensões&lt;/span&gt;&lt;span style="margin: 0px; padding: 0px; border: 0px; outline: 0px; vertical-align: baseline; background: transparent; font-family: avenir-lt-w01_35-light1475496, sans-serif;"&gt;&lt;span&gt; &lt;/span&gt;(L x A x P): 100 x 430 x 320mm&lt;/span&gt;&lt;/span&gt;&lt;/p&gt;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 &lt;/p&gt;
&lt;p class="font_8" style="margin: 0px; padding: 0px; border: 0px; outline: 0px; vertical-align: baseline; background: transparent; pointer-events: auto; font-style: normal; font-variant-ligatures: normal; font-variant-caps: normal; font-weight: 400; font-size: 16px; line-height: normal; color: rgb(var(--color_19)); letter-spacing: normal; orphans: 2; text-indent: 0px; text-transform: none; white-space: normal; widows: 2; word-spacing: 0px; -webkit-text-stroke-width: 0px; text-decoration-thickness: initial; text-decoration-style: initial; text-decoration-color: initial;"&gt;&lt;span class="color_33" style="margin: 0px; padding: 0px; border: 0px; outline: 0px; vertical-align: baseline; background: transparent; color: rgb(var(--color_33));"&gt;&lt;span style="margin: 0px; padding: 0px; border: 0px; outline: 0px; vertical-align: baseline; background: transparent; font-family: avenir-lt-w01_35-light1475496, sans-serif;"&gt;- &lt;/span&gt;&lt;/span&gt;&lt;a href="https://80129003-4023-49f2-83ba-8fea8975b2c6.filesusr.com/ugd/e9ba2a_2571c25350664c5ea1374fd9ade248bf.pdf"&gt;&lt;span style="color:#e74c3c;"&gt;&lt;span class="color_33" style="margin: 0px; padding: 0px; border: 0px; outline: 0px; vertical-align: baseline; background: transparent;"&gt;&lt;span style="margin: 0px; padding: 0px; border: 0px; outline: 0px; vertical-align: baseline; background: transparent; font-family: avenir-lt-w01_35-light1475496, sans-serif;"&gt;&lt;strong&gt;DOWNLOAD MANUAL&lt;/strong&gt;&lt;/span&gt;&lt;/span&gt;&lt;/span&gt;&lt;/a&gt;&lt;/p&gt;
</t>
  </si>
  <si>
    <t>https://cdn.awsli.com.br/948/948321/produto/110395089/bffb516f0a.jpg</t>
  </si>
  <si>
    <t>https://cdn.awsli.com.br/948/948321/produto/110395089/bd2f0e3f6e.jpg</t>
  </si>
  <si>
    <t>Transformador toroidal isolador Engeblu IT 3300</t>
  </si>
  <si>
    <t>HWECTLWJR</t>
  </si>
  <si>
    <t>O Transforador toroidal Isolador da engeblu é um equipamento robusto e versátil, indicado para sistemas de alta performance mantem a integridade do sinal elétrico.</t>
  </si>
  <si>
    <t xml:space="preserve">&lt;p&gt;&lt;span style="font-size:16px;"&gt;O Transforador toroidal Isolador da engeblu é um equipamento robusto e versátil, indicado para sistemas de alta performance mantem a integridade do sinal elétrico.&lt;/span&gt;&lt;/p&gt;
&lt;p&gt;&lt;span style="font-size:16px;"&gt;ESPECIFICAÇÕES:&lt;/span&gt;&lt;/p&gt;
&lt;p&gt;&lt;span style="font-size:16px;"&gt;- Transformador toroidal isolado de 3300VA com blindagem eletromagnética.&lt;/span&gt;&lt;/p&gt;
&lt;p&gt;&lt;span style="font-size:16px;"&gt;- Proteção contra sub, sobre e surtos de tensão.&lt;/span&gt;&lt;/p&gt;
&lt;p&gt;&lt;span style="font-size:16px;"&gt;- Entrada 220V e saída 127V&lt;/span&gt;&lt;/p&gt;
&lt;p&gt;&lt;span style="font-size:16px;"&gt;- Possui 19 tomadas com saída 127V&lt;/span&gt;&lt;/p&gt;
&lt;p&gt;&lt;span style="font-size:16px;"&gt;- Dimensões (AxLxP) 10 x 44 x 32 cm&lt;/span&gt;&lt;/p&gt;
&lt;p&gt; &lt;/p&gt;
&lt;p&gt; &lt;/p&gt;
</t>
  </si>
  <si>
    <t>https://cdn.awsli.com.br/948/948321/produto/110397436/f1c71e2514.jpg</t>
  </si>
  <si>
    <t>https://cdn.awsli.com.br/948/948321/produto/110397436/7f73ffde09.jpg</t>
  </si>
  <si>
    <t>Módulo Pré-Amplificador MP3 2000BT c/ Gongo/FM/USB/Bluetooth HAYONIK</t>
  </si>
  <si>
    <t>KQ23A2BGV</t>
  </si>
  <si>
    <t xml:space="preserve">&lt;div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style="font-size:16px;"&gt;O Módulo Pré-Amplificador MP3 2000BT, é recomendado para sistemas de som para chamadas em ambientes comerciais, escolas, hospitais entre outros ambientes que necessitam de mixagem de entrada e saída de som. Ele conta com uma conexão USB na parte frontal, facilitando a execução de músicas via pen drive e entrada para microfone.&lt;/span&gt;&lt;/p&gt;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&lt;h3 style="box-sizing: border-box; margin-top: 15px; margin-bottom: 15px; font-weight: 700; line-height: 1.2; font-size: 20px; font-family: proxima-nova, Arial, Helvetica, sans-serif; color: rgb(49, 49, 49);"&gt;&lt;span style="font-size:16px;"&gt;Características&lt;/span&gt;&lt;/h3&gt;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style="font-size:16px;"&gt;Entradas: Microfone, RCA, USB Frontal e SD/MMC&lt;br style="box-sizing: border-box; font-family: proxima-nova, Arial, Helvetica, sans-serif;" /&gt;
Bluetooth 2.0&lt;/span&gt;&lt;/p&gt;
&lt;p style="box-sizing: border-box; margin-top: 0px; margin-bottom: 5px; font-family: proxima-nova, Arial, Helvetica, sans-serif; font-size: 14px; color: rgb(49, 49, 49);"&gt;Saídas: Dedicadas para Música, Microfone c/ Gongo e Saída Master (mixada)&lt;/p&gt;
&lt;p style="box-sizing: border-box; margin-top: 0px; margin-bottom: 5px; font-family: proxima-nova, Arial, Helvetica, sans-serif; font-size: 14px; color: rgb(49, 49, 49);"&gt;Alimentação: Fonte externa 12V 1A&lt;/p&gt;
&lt;/div&gt;
</t>
  </si>
  <si>
    <t>https://cdn.awsli.com.br/948/948321/produto/111259022/43a67b9e0f.jpg</t>
  </si>
  <si>
    <t>https://cdn.awsli.com.br/948/948321/produto/111259022/1f8a3b376d.jpg</t>
  </si>
  <si>
    <t>https://cdn.awsli.com.br/948/948321/produto/111259022/85aa193ce2.jpg</t>
  </si>
  <si>
    <t>https://cdn.awsli.com.br/948/948321/produto/111259022/740bd55b24.jpg</t>
  </si>
  <si>
    <t>Módulo Pré Amplificador C/ FM/USB/MP3/Bluetooth MP3 1000BT Preto HAYONIK</t>
  </si>
  <si>
    <t>PDKXEXGEU</t>
  </si>
  <si>
    <t xml:space="preserve">&lt;div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style="font-size:16px;"&gt;O Módulo Pré-Amplificador MP3 1000BT, é recomendado para sistemas de som para chamadas em ambientes comerciais, escolas, hospitais entre outros ambientes que necessitam de mixagem de entrada e saída de som. Ele conta com uma conexão USB na parte frontal, facilitando a execução de músicas via pen drive e entrada para microfone.&lt;br style="box-sizing: border-box; font-family: proxima-nova, Arial, Helvetica, sans-serif;" /&gt;
O módulo também irá permitir que você diminua a diferença de volume entre os intrumentos ou até de microfones que tenham entradas de som diferentes.&lt;/span&gt;&lt;/p&gt;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&lt;h3 style="box-sizing: border-box; margin-top: 15px; margin-bottom: 15px; font-weight: 700; line-height: 1.2; font-size: 20px; font-family: proxima-nova, Arial, Helvetica, sans-serif; color: rgb(49, 49, 49);"&gt;&lt;span style="font-size:16px;"&gt;Características&lt;/span&gt;&lt;/h3&gt;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style="font-size:16px;"&gt;Entradas: USB Frontal e SD/MMC&lt;/span&gt;&lt;/p&gt;
&lt;p style="box-sizing: border-box; margin-top: 0px; margin-bottom: 5px; font-family: proxima-nova, Arial, Helvetica, sans-serif; font-size: 14px; color: rgb(49, 49, 49);"&gt;&lt;span style="font-size:16px;"&gt;Saídas: Line Out 2x RCA&lt;/span&gt;&lt;/p&gt;
&lt;p style="box-sizing: border-box; margin-top: 0px; margin-bottom: 5px; font-family: proxima-nova, Arial, Helvetica, sans-serif; font-size: 14px; color: rgb(49, 49, 49);"&gt;&lt;span style="font-size:16px;"&gt;Dimensões: AxLxP: 30x130x65mm&lt;/span&gt;&lt;/p&gt;
&lt;p style="box-sizing: border-box; margin-top: 0px; margin-bottom: 5px; font-family: proxima-nova, Arial, Helvetica, sans-serif; font-size: 14px; color: rgb(49, 49, 49);"&gt;&lt;span style="font-size:16px;"&gt;Alimentação: Fonte externa chaveada 12V 1A C+&lt;/span&gt;&lt;/p&gt;
&lt;/div&gt;
</t>
  </si>
  <si>
    <t>https://cdn.awsli.com.br/948/948321/produto/111259655/8f8e545140.jpg</t>
  </si>
  <si>
    <t>https://cdn.awsli.com.br/948/948321/produto/111259655/7b32af6fe6.jpg</t>
  </si>
  <si>
    <t>https://cdn.awsli.com.br/948/948321/produto/111259655/b214c7de94.jpg</t>
  </si>
  <si>
    <t>https://cdn.awsli.com.br/948/948321/produto/111259655/47d61b2e05.jpg</t>
  </si>
  <si>
    <t>Par de Arandela Retangular 6" Two Way 25W RMS Ambientare 6W21RT  JBL</t>
  </si>
  <si>
    <t>EPQ8338PT</t>
  </si>
  <si>
    <t xml:space="preserve">&lt;div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style="font-size:16px;"&gt;A linha Ambientare é a solução completa e descomplicada para&lt;br style="box-sizing: border-box; font-family: proxima-nova, Arial, Helvetica, sans-serif;" /&gt;
resolver os problemas de som ambiente. Esta nova linha conta com 4 modelos diferenciados, cada um de acordo com a necessidade do cliente. Estes produtos podem ser utilizados na sonorização de salas de eventos, shopping centers, consultórios, aeroportos, escolas, hospitais, hotéis, residências, ou seja, na sonorização de ambientes em geral. Veja porque a linha Ambientare é a solução completa:&lt;br style="box-sizing: border-box; font-family: proxima-nova, Arial, Helvetica, sans-serif;" /&gt;
&lt;br style="box-sizing: border-box; font-family: proxima-nova, Arial, Helvetica, sans-serif;" /&gt;
- Moldura injetada em material sintético resistente às elevadas temperaturas. Sua estrutura foi desenvolvida utilizando recursos de software 3D, permitindo assim simular a montagem das partes verificando condições de encaixe e travamento, garantindo uma instalação fácil, rápida e precisa que, aliada ao design diferenciado fará com que o som ambiente nunca mais seja deficiente&lt;br style="box-sizing: border-box; font-family: proxima-nova, Arial, Helvetica, sans-serif;" /&gt;
- Telas frontais em alumínio com grande resistência à oxidação&lt;br style="box-sizing: border-box; font-family: proxima-nova, Arial, Helvetica, sans-serif;" /&gt;
- Dispersão acústica 60°&lt;br style="box-sizing: border-box; font-family: proxima-nova, Arial, Helvetica, sans-serif;" /&gt;
- Divisor passivo de 12dB/Oitava&lt;br style="box-sizing: border-box; font-family: proxima-nova, Arial, Helvetica, sans-serif;" /&gt;
- Potência prog. musical: 50W&lt;/span&gt;&lt;/p&gt;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&lt;h3 style="box-sizing: border-box; margin-top: 15px; margin-bottom: 15px; font-weight: 700; line-height: 1.2; font-size: 20px; font-family: proxima-nova, Arial, Helvetica, sans-serif; color: rgb(49, 49, 49);"&gt;&lt;span style="font-size:16px;"&gt;Características&lt;/span&gt;&lt;/h3&gt;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style="font-size:16px;"&gt;Alto Falantes: 6" e Tweeter 1"&lt;/span&gt;&lt;/p&gt;
&lt;p style="box-sizing: border-box; margin-top: 0px; margin-bottom: 5px; font-family: proxima-nova, Arial, Helvetica, sans-serif; font-size: 14px; color: rgb(49, 49, 49);"&gt;&lt;span style="font-size:16px;"&gt;Potência: 25W RMS&lt;/span&gt;&lt;/p&gt;
&lt;p style="box-sizing: border-box; margin-top: 0px; margin-bottom: 5px; font-family: proxima-nova, Arial, Helvetica, sans-serif; font-size: 14px; color: rgb(49, 49, 49);"&gt;&lt;span style="font-size:16px;"&gt;Trafo: Não&lt;/span&gt;&lt;/p&gt;
&lt;p style="box-sizing: border-box; margin-top: 0px; margin-bottom: 5px; font-family: proxima-nova, Arial, Helvetica, sans-serif; font-size: 14px; color: rgb(49, 49, 49);"&gt;&lt;span style="font-size:16px;"&gt;Sensibilidade: 90dB SPL&lt;/span&gt;&lt;/p&gt;
&lt;p style="box-sizing: border-box; margin-top: 0px; margin-bottom: 5px; font-family: proxima-nova, Arial, Helvetica, sans-serif; font-size: 14px; color: rgb(49, 49, 49);"&gt;&lt;span style="font-size:16px;"&gt;Impedância: 8 Ohms&lt;/span&gt;&lt;/p&gt;
&lt;p style="box-sizing: border-box; margin-top: 0px; margin-bottom: 5px; font-family: proxima-nova, Arial, Helvetica, sans-serif; font-size: 14px; color: rgb(49, 49, 49);"&gt;&lt;span style="font-size:16px;"&gt;Dimensões: Furo no Teto: 275x186mm&lt;/span&gt;&lt;/p&gt;
&lt;p style="box-sizing: border-box; margin-top: 0px; margin-bottom: 5px; font-family: proxima-nova, Arial, Helvetica, sans-serif; font-size: 14px; color: rgb(49, 49, 49);"&gt;&lt;span style="font-size:16px;"&gt;Peso: 1,312Kg&lt;/span&gt;&lt;/p&gt;
&lt;p style="box-sizing: border-box; margin-top: 0px; margin-bottom: 5px; font-family: proxima-nova, Arial, Helvetica, sans-serif; font-size: 14px; color: rgb(49, 49, 49);"&gt;&lt;span style="font-size:16px;"&gt;Resposta Frequência: 55Hz ~ 15KHz&lt;/span&gt;&lt;/p&gt;
&lt;p style="box-sizing: border-box; margin-top: 0px; margin-bottom: 5px; font-family: proxima-nova, Arial, Helvetica, sans-serif; font-size: 14px; color: rgb(49, 49, 49);"&gt;&lt;span style="font-size:16px;"&gt;Cor: Branca&lt;/span&gt;&lt;/p&gt;
&lt;/div&gt;
</t>
  </si>
  <si>
    <t>https://cdn.awsli.com.br/948/948321/produto/111262149/a114a6b00e.jpg</t>
  </si>
  <si>
    <t>Par de Arandela 25W 6CO1Q S/AT JBL</t>
  </si>
  <si>
    <t>KKTBSY34J</t>
  </si>
  <si>
    <t xml:space="preserve">&lt;div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style="font-size:16px;"&gt;Praticidade em sonorização, distribuída em diversos tipos de ambientes. Oferece perfeita integração com o ambiente e com design otimizado para rápida instalação. Moldura em plástico e tela frontal em alumínio resistente à oxidação.&lt;br style="box-sizing: border-box; font-family: proxima-nova, Arial, Helvetica, sans-serif;" /&gt;
&lt;br style="box-sizing: border-box; font-family: proxima-nova, Arial, Helvetica, sans-serif;" /&gt;
Pode-se ser aplicado em restaurantes, hotéis, shopping centers, aeroportos, supermercados e outros.&lt;br style="box-sizing: border-box; font-family: proxima-nova, Arial, Helvetica, sans-serif;" /&gt;
&lt;br style="box-sizing: border-box; font-family: proxima-nova, Arial, Helvetica, sans-serif;" /&gt;
Solução Prática para sonorização distribuída em ambientes como hotéis, restaurantes, aeroportos, shopping centers, escritórios, consultórios, e salas de recepção. Oferece perfeita integração com o ambiente com design otimizado para rápida instalação embutida em forros e paredes. Moldura em plástico e tela frontal em alumínio resistente à oxidação.&lt;/span&gt;&lt;/p&gt;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&lt;h3 style="box-sizing: border-box; margin-top: 15px; margin-bottom: 15px; font-weight: 700; line-height: 1.2; font-size: 20px; font-family: proxima-nova, Arial, Helvetica, sans-serif; color: rgb(49, 49, 49);"&gt;&lt;span style="font-size:16px;"&gt;Características&lt;/span&gt;&lt;/h3&gt;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style="font-size:16px;"&gt;Alto Falantes: Alto falante de 6" e Tweeter de 1"&lt;/span&gt;&lt;/p&gt;
&lt;p style="box-sizing: border-box; margin-top: 0px; margin-bottom: 5px; font-family: proxima-nova, Arial, Helvetica, sans-serif; font-size: 14px; color: rgb(49, 49, 49);"&gt;&lt;span style="font-size:16px;"&gt;Potência: 25W RMS&lt;/span&gt;&lt;/p&gt;
&lt;p style="box-sizing: border-box; margin-top: 0px; margin-bottom: 5px; font-family: proxima-nova, Arial, Helvetica, sans-serif; font-size: 14px; color: rgb(49, 49, 49);"&gt;&lt;span style="font-size:16px;"&gt;Resposta Frequência: 50 Hz a 20KHz&lt;/span&gt;&lt;/p&gt;
&lt;p style="box-sizing: border-box; margin-top: 0px; margin-bottom: 5px; font-family: proxima-nova, Arial, Helvetica, sans-serif; font-size: 14px; color: rgb(49, 49, 49);"&gt;&lt;span style="font-size:16px;"&gt;Cor: Branca&lt;/span&gt;&lt;/p&gt;
&lt;/div&gt;
</t>
  </si>
  <si>
    <t>https://cdn.awsli.com.br/948/948321/produto/111263336/39511ea7ea.jpg</t>
  </si>
  <si>
    <t>https://cdn.awsli.com.br/948/948321/produto/111263336/9715e57465.jpg</t>
  </si>
  <si>
    <t>https://cdn.awsli.com.br/948/948321/produto/111263336/32e7de62fd.jpg</t>
  </si>
  <si>
    <t>Suporte para Rack</t>
  </si>
  <si>
    <t>RACK</t>
  </si>
  <si>
    <t xml:space="preserve">&lt;p&gt;&lt;span style="font-size:16px;"&gt;&lt;span style="font-family:Lucida Sans Unicode,Lucida Grande,sans-serif;"&gt;Par de suporte para rack de 19 polegadas. Compatível com os modelos: FPC1900, FP1900-CX, FP1900-ATX, FPD2200, FP2200-DX, FPT2000, FP2000-ATX e FP1000-ITX.&lt;/span&gt;&lt;/span&gt;&lt;/p&gt;
</t>
  </si>
  <si>
    <t>https://cdn.awsli.com.br/948/948321/produto/147089819/1bdd7c449d.jpg</t>
  </si>
  <si>
    <t>CENTRAL DE ASPIRAÇÃO BM 285EA BEAM ELECTROLUX</t>
  </si>
  <si>
    <t>X42SVPJV5</t>
  </si>
  <si>
    <t xml:space="preserve">&lt;div class="tituloSecao" style="box-sizing: border-box; margin: 0px; padding: 0px; color: rgb(17, 17, 17); font-family: &amp;quot;Open Sans&amp;quot;, sans-serif; font-size: 14px; font-style: normal; font-variant-ligatures: normal; font-variant-caps: normal; font-weight: 400; letter-spacing: normal; orphans: 2; text-align: start; text-indent: 0px; text-transform: none; white-space: normal; widows: 2; word-spacing: 0px; -webkit-text-stroke-width: 0px; background-color: rgb(238, 238, 238); text-decoration-thickness: initial; text-decoration-style: initial; text-decoration-color: initial;"&gt;
&lt;h2 style="box-sizing: border-box; margin: 0px 0px 0.5em; padding: 0px; font-size: 24px; font-weight: 400; color: rgb(34, 34, 34); font-family: Roboto, sans-serif; font-style: normal; line-height: 1.2; text-rendering: optimizelegibility; text-transform: none;"&gt;Descrição&lt;/h2&gt;
&lt;/div&gt;
&lt;div style="box-sizing: border-box; margin: 0px; padding: 0px; color: rgb(17, 17, 17); font-family: &amp;quot;Open Sans&amp;quot;, sans-serif; font-size: 14px; font-style: normal; font-variant-ligatures: normal; font-variant-caps: normal; font-weight: 400; letter-spacing: normal; orphans: 2; text-align: start; text-indent: 0px; text-transform: none; white-space: normal; widows: 2; word-spacing: 0px; -webkit-text-stroke-width: 0px; background-color: rgb(238, 238, 238); text-decoration-thickness: initial; text-decoration-style: initial; text-decoration-color: initial;"&gt;
&lt;div class="conteudoSecao" style="box-sizing: border-box; margin: 0px 0px 50px; padding: 0px;"&gt;
&lt;div class="std" style="box-sizing: border-box; margin: 0px; padding: 0px; font-size: 16px; line-height: 1.8em; font-weight: 300;"&gt;Empresa líder mundial em sistemas de Aspiração Central. A BEAM é uma divisão da Electrolux AB. Presente em diversos países, a BEAM presa pela excelência.&lt;br style="box-sizing: border-box; margin: 0px; padding: 0px;" /&gt;
&lt;br style="box-sizing: border-box; margin: 0px; padding: 0px;" /&gt;
Presente no mercado há décadas, a BEAM oferece a mais completa linha de centrais de aspiração e acessórios, todos projetados e desenvolvidos pela própria empresa. No brasil, está presente desde 1998 e, tem compromisso com a melhoria da qualidade de vida do brasileiro.&lt;br style="box-sizing: border-box; margin: 0px; padding: 0px;" /&gt;
&lt;br style="box-sizing: border-box; margin: 0px; padding: 0px;" /&gt;
O que é? como funciona?&lt;br style="box-sizing: border-box; margin: 0px; padding: 0px;" /&gt;
O sistema BEAM é o pacote completo em Aspiração Central. Faz a limpeza de sua casa, de uma maneira mais fácil, mais saudável, fornecendo uma melhor qualidade de vida, no que tange a limpeza do ar.&lt;br style="box-sizing: border-box; margin: 0px; padding: 0px;" /&gt;
&lt;br style="box-sizing: border-box; margin: 0px; padding: 0px;" /&gt;
Ele consiste numa rede de tubulação de pvc, interligando as tomadas de aspiração à central. Para melhor desempenho do sistema, é necessária a utilização de conexões próprias, seguindo as normas internacionais.&lt;br style="box-sizing: border-box; margin: 0px; padding: 0px;" /&gt;
&lt;br style="box-sizing: border-box; margin: 0px; padding: 0px;" /&gt;
Benefícios / Vantagens&lt;br style="box-sizing: border-box; margin: 0px; padding: 0px;" /&gt;
A central fica em uma área reservada e fixa da casa, eliminando assim a necessidade de locomoção de aspirador. Tem uma potência cinco vezes maior que um aspirador comum e é mais silencioso. Livra de forma eficiente o ambiente de ácaros, não recircula o ar e reduz os sintomas alérgicos, trazendo assim uma maior qualidade de vida a quem o utiliza.&lt;br style="box-sizing: border-box; margin: 0px; padding: 0px;" /&gt;
&lt;br style="box-sizing: border-box; margin: 0px; padding: 0px;" /&gt;
O sistema de Aspiração Central BEAM está equipado com o exclusivo sistema de filtro auto-limpante de filtro do fabricante de tecido Gore-Tex. Assim, o sistema de aspiração central terá sempre o desempenho de limpeza ideal, e não há necessidade de comprar sempre o filtro. O Sistema de Aspiração Central Beam é projetado com materiais de alta qualidade, para garantir durabilidade e longevidade.&lt;br style="box-sizing: border-box; margin: 0px; padding: 0px;" /&gt;
&lt;br style="box-sizing: border-box; margin: 0px; padding: 0px;" /&gt;
O sistema de Aspiração Central retira toda a poeira e sujeira para o balde de coleta de detritos e 98% de ar limpo é lançado da central de aspiração para o exterior. É por isso que temos provas clínicas que o Sistema de Aspiração Central Beam cria um melhor clima interno no ambiente, e é o único que reduz clinicamente os sintomas de alergia.&lt;br style="box-sizing: border-box; margin: 0px; padding: 0px;" /&gt;
&lt;br style="box-sizing: border-box; margin: 0px; padding: 0px;" /&gt;
O sistema BEAM é o pacote completo em Aspiração Central.&lt;br style="box-sizing: border-box; margin: 0px; padding: 0px;" /&gt;
Faz a limpeza de sua casa, de uma maneira mais fácil, mais saudável, fornecendo uma melhor qualidade de vida, no que tange a limpeza do ar.&lt;br style="box-sizing: border-box; margin: 0px; padding: 0px;" /&gt;
Tamanho compacto.&lt;br style="box-sizing: border-box; margin: 0px; padding: 0px;" /&gt;
Grande potencial de aspiração.&lt;br style="box-sizing: border-box; margin: 0px; padding: 0px;" /&gt;
Economia e eficiência.&lt;br style="box-sizing: border-box; margin: 0px; padding: 0px;" /&gt;
Qualidade BEAM Electrolux.&lt;br style="box-sizing: border-box; margin: 0px; padding: 0px;" /&gt;
&lt;br style="box-sizing: border-box; margin: 0px; padding: 0px;" /&gt;
&lt;br style="box-sizing: border-box; margin: 0px; padding: 0px;" /&gt;
Características&lt;br style="box-sizing: border-box; margin: 0px; padding: 0px;" /&gt;
Airwatts (Unidade de Força): 605&lt;br style="box-sizing: border-box; margin: 0px; padding: 0px;" /&gt;
Area aconselhável: (m²); 700&lt;br style="box-sizing: border-box; margin: 0px; padding: 0px;" /&gt;
&lt;strong&gt;Filtro Auto Limpante.&lt;/strong&gt;&lt;br style="box-sizing: border-box; margin: 0px; padding: 0px;" /&gt;
Capacidade do filtro: 21 litros.&lt;br style="box-sizing: border-box; margin: 0px; padding: 0px;" /&gt;
Ruído: 80 DBA.&lt;br style="box-sizing: border-box; margin: 0px; padding: 0px;" /&gt;
Dimensões: 92 cm de altura por 28 cm de diâmetro.&lt;br style="box-sizing: border-box; margin: 0px; padding: 0px;" /&gt;
Garantia: 5 anos contra defeitos de fabricação.&lt;br style="box-sizing: border-box; margin: 0px; padding: 0px;" /&gt;
&lt;br style="box-sizing: border-box; margin: 0px; padding: 0px;" /&gt;
Instalação e acessórios não incluso, consulte-nos.&lt;/div&gt;
&lt;/div&gt;
&lt;/div&gt;
</t>
  </si>
  <si>
    <t>https://www.youtube.com/watch?v=1HYfSCezwSk</t>
  </si>
  <si>
    <t>ELECTROLUX</t>
  </si>
  <si>
    <t>https://cdn.awsli.com.br/948/948321/produto/158670477/4e792e6c62.jpg</t>
  </si>
  <si>
    <t>https://cdn.awsli.com.br/948/948321/produto/158670477/4a81f220d8.jpg</t>
  </si>
  <si>
    <t>JBL Stage 260CSA Caixa de Embutir Angulada 6,5" Premium</t>
  </si>
  <si>
    <t>XJB68N4JW</t>
  </si>
  <si>
    <t>Caixa de embutir no gesso linha Premium da JBL, marca que é referencia no ramo de áudio e vídeo, agora com uma linha premium para sistemas de Home theater e sonorização de ambientes, mais qualidade e modernidade ao seu projeto.</t>
  </si>
  <si>
    <t xml:space="preserve">&lt;p style="margin: 0px 0px 10px;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style="margin: 0px; padding: 0px; box-sizing: border-box; font-size: 14px;"&gt;&lt;span style="margin: 0px; padding: 0px; box-sizing: border-box; font-family: Arial, Helvetica, sans-serif;"&gt;&lt;span style="margin: 0px; padding: 0px; box-sizing: border-box; color: rgb(0, 0, 0);"&gt;O design angular do Stage 260CSA permite uma mira precisa do woofer de cone de policelulose de 6,5" (165 mm) e do tweeter de cúpula de alumínio de 1" (25 mm) com guia de onda de lente acústica em direção à área de audição. Uma grade de moldura zero visualmente discreta e fácil instalação permitem que esses alto-falantes sejam ouvidos e não vistos. Elementos, incluindo defletores com suavização acústica e tweeters de lentes acústicas, foram incorporados ao design para garantir que o som seja claro e preciso.&lt;/span&gt;&lt;/span&gt;&lt;/span&gt;&lt;/p&gt;
&lt;dl style="margin: 0px 0px 20px;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&lt;dt data-gtm-vis-has-fired-7462060_677="1" data-gtm-vis-has-fired-7462060_678="1" style="margin: 0px; padding: 0px; box-sizing: border-box; line-height: 20px; font-weight: bold;"&gt;&lt;span style="margin: 0px; padding: 0px; box-sizing: border-box; font-size: 14px;"&gt;&lt;span style="margin: 0px; padding: 0px; box-sizing: border-box; font-family: Arial, Helvetica, sans-serif;"&gt;&lt;span style="margin: 0px; padding: 0px; box-sizing: border-box; color: rgb(0, 0, 0);"&gt;Transdutor de alta frequência: &lt;/span&gt;&lt;/span&gt;&lt;/span&gt;&lt;span style="margin: 0px; padding: 0px; box-sizing: border-box; font-size: 14px;"&gt;&lt;span style="margin: 0px; padding: 0px; box-sizing: border-box; font-family: Arial, Helvetica, sans-serif;"&gt;&lt;span style="margin: 0px; padding: 0px; box-sizing: border-box; color: rgb(0, 0, 0);"&gt;Cúpula de alumínio de 1" (25 mm) com lente acústica&lt;/span&gt;&lt;/span&gt;&lt;/span&gt;&lt;/dt&gt;
	&lt;dt data-gtm-vis-has-fired-7462060_677="1" data-gtm-vis-has-fired-7462060_678="1" style="margin: 0px; padding: 0px; box-sizing: border-box; line-height: 20px; font-weight: bold;"&gt;&lt;span style="margin: 0px; padding: 0px; box-sizing: border-box; font-size: 14px;"&gt;&lt;span style="margin: 0px; padding: 0px; box-sizing: border-box; font-family: Arial, Helvetica, sans-serif;"&gt;&lt;span style="margin: 0px; padding: 0px; box-sizing: border-box; color: rgb(0, 0, 0);"&gt;Transdutor de baixa frequência: &lt;/span&gt;&lt;/span&gt;&lt;/span&gt;&lt;span style="margin: 0px; padding: 0px; box-sizing: border-box; font-size: 14px;"&gt;&lt;span style="margin: 0px; padding: 0px; box-sizing: border-box; font-family: Arial, Helvetica, sans-serif;"&gt;&lt;span style="margin: 0px; padding: 0px; box-sizing: border-box; color: rgb(0, 0, 0);"&gt;Woofer de cone de policelulose de 6,5" (165 mm)&lt;/span&gt;&lt;/span&gt;&lt;/span&gt;&lt;/dt&gt;
	&lt;dt data-gtm-vis-has-fired-7462060_677="1" data-gtm-vis-has-fired-7462060_678="1" style="margin: 0px; padding: 0px; box-sizing: border-box; line-height: 20px; font-weight: bold;"&gt;&lt;span style="margin: 0px; padding: 0px; box-sizing: border-box; font-size: 14px;"&gt;&lt;span style="margin: 0px; padding: 0px; box-sizing: border-box; font-family: Arial, Helvetica, sans-serif;"&gt;&lt;span style="margin: 0px; padding: 0px; box-sizing: border-box; color: rgb(0, 0, 0);"&gt;Potência recomendada do amplificador (gama total): &lt;/span&gt;&lt;/span&gt;&lt;/span&gt;&lt;span style="margin: 0px; padding: 0px; box-sizing: border-box; font-size: 14px;"&gt;&lt;span style="margin: 0px; padding: 0px; box-sizing: border-box; font-family: Arial, Helvetica, sans-serif;"&gt;&lt;span style="margin: 0px; padding: 0px; box-sizing: border-box; color: rgb(0, 0, 0);"&gt;20-100W RMS&lt;/span&gt;&lt;/span&gt;&lt;/span&gt;&lt;/dt&gt;
	&lt;dt data-gtm-vis-has-fired-7462060_677="1" data-gtm-vis-has-fired-7462060_678="1" style="margin: 0px; padding: 0px; box-sizing: border-box; line-height: 20px; font-weight: bold;"&gt;&lt;span style="margin: 0px; padding: 0px; box-sizing: border-box; font-size: 14px;"&gt;&lt;span style="margin: 0px; padding: 0px; box-sizing: border-box; font-family: Arial, Helvetica, sans-serif;"&gt;&lt;span style="margin: 0px; padding: 0px; box-sizing: border-box; color: rgb(0, 0, 0);"&gt;Resposta de frequência: &lt;/span&gt;&lt;/span&gt;&lt;/span&gt;&lt;span style="margin: 0px; padding: 0px; box-sizing: border-box; font-size: 14px;"&gt;&lt;span style="margin: 0px; padding: 0px; box-sizing: border-box; font-family: Arial, Helvetica, sans-serif;"&gt;&lt;span style="margin: 0px; padding: 0px; box-sizing: border-box; color: rgb(0, 0, 0);"&gt;50Hz-25kHz (-6dB no eixo)&lt;/span&gt;&lt;/span&gt;&lt;/span&gt;&lt;/dt&gt;
	&lt;dt data-gtm-vis-has-fired-7462060_677="1" data-gtm-vis-has-fired-7462060_678="1" style="margin: 0px; padding: 0px; box-sizing: border-box; line-height: 20px; font-weight: bold;"&gt;&lt;span style="margin: 0px; padding: 0px; box-sizing: border-box; font-size: 14px;"&gt;&lt;span style="margin: 0px; padding: 0px; box-sizing: border-box; font-family: Arial, Helvetica, sans-serif;"&gt;&lt;span style="margin: 0px; padding: 0px; box-sizing: border-box; color: rgb(0, 0, 0);"&gt;Sensibilidade (2,83V@1m): &lt;/span&gt;&lt;/span&gt;&lt;/span&gt;&lt;span style="margin: 0px; padding: 0px; box-sizing: border-box; font-size: 14px;"&gt;&lt;span style="margin: 0px; padding: 0px; box-sizing: border-box; font-family: Arial, Helvetica, sans-serif;"&gt;&lt;span style="margin: 0px; padding: 0px; box-sizing: border-box; color: rgb(0, 0, 0);"&gt;87dB&lt;/span&gt;&lt;/span&gt;&lt;/span&gt;&lt;/dt&gt;
	&lt;dt data-gtm-vis-has-fired-7462060_677="1" data-gtm-vis-has-fired-7462060_678="1" style="margin: 0px; padding: 0px; box-sizing: border-box; line-height: 20px; font-weight: bold;"&gt;&lt;span style="margin: 0px; padding: 0px; box-sizing: border-box; font-size: 14px;"&gt;&lt;span style="margin: 0px; padding: 0px; box-sizing: border-box; font-family: Arial, Helvetica, sans-serif;"&gt;&lt;span style="margin: 0px; padding: 0px; box-sizing: border-box; color: rgb(0, 0, 0);"&gt;impedância nominal: &lt;/span&gt;&lt;/span&gt;&lt;/span&gt;&lt;span style="margin: 0px; padding: 0px; box-sizing: border-box; font-size: 14px;"&gt;&lt;span style="margin: 0px; padding: 0px; box-sizing: border-box; font-family: Arial, Helvetica, sans-serif;"&gt;&lt;span style="margin: 0px; padding: 0px; box-sizing: border-box; color: rgb(0, 0, 0);"&gt;8ohm&lt;/span&gt;&lt;/span&gt;&lt;/span&gt;&lt;/dt&gt;
	&lt;dt data-gtm-vis-has-fired-7462060_677="1" data-gtm-vis-has-fired-7462060_678="1" style="margin: 0px; padding: 0px; box-sizing: border-box; line-height: 20px; font-weight: bold;"&gt;&lt;span style="margin: 0px; padding: 0px; box-sizing: border-box; font-size: 14px;"&gt;&lt;span style="margin: 0px; padding: 0px; box-sizing: border-box; font-family: Arial, Helvetica, sans-serif;"&gt;&lt;span style="margin: 0px; padding: 0px; box-sizing: border-box; color: rgb(0, 0, 0);"&gt;Frequencia cruzada: &lt;/span&gt;&lt;/span&gt;&lt;/span&gt;&lt;span style="margin: 0px; padding: 0px; box-sizing: border-box; font-size: 14px;"&gt;&lt;span style="margin: 0px; padding: 0px; box-sizing: border-box; font-family: Arial, Helvetica, sans-serif;"&gt;&lt;span style="margin: 0px; padding: 0px; box-sizing: border-box; color: rgb(0, 0, 0);"&gt;2800 Hz&lt;/span&gt;&lt;/span&gt;&lt;/span&gt;&lt;/dt&gt;
	&lt;dt data-gtm-vis-has-fired-7462060_677="1" data-gtm-vis-has-fired-7462060_678="1" style="margin: 0px; padding: 0px; box-sizing: border-box; line-height: 20px; font-weight: bold;"&gt;&lt;span style="margin: 0px; padding: 0px; box-sizing: border-box; font-size: 14px;"&gt;&lt;span style="margin: 0px; padding: 0px; box-sizing: border-box; font-family: Arial, Helvetica, sans-serif;"&gt;&lt;span style="margin: 0px; padding: 0px; box-sizing: border-box; color: rgb(0, 0, 0);"&gt;entradas: &lt;/span&gt;&lt;/span&gt;&lt;/span&gt;&lt;span style="margin: 0px; padding: 0px; box-sizing: border-box; font-size: 14px;"&gt;&lt;span style="margin: 0px; padding: 0px; box-sizing: border-box; font-family: Arial, Helvetica, sans-serif;"&gt;&lt;span style="margin: 0px; padding: 0px; box-sizing: border-box; color: rgb(0, 0, 0);"&gt;Conectores de mola niquelados&lt;/span&gt;&lt;/span&gt;&lt;/span&gt;&lt;/dt&gt;
	&lt;dt data-gtm-vis-has-fired-7462060_677="1" data-gtm-vis-has-fired-7462060_678="1" style="margin: 0px; padding: 0px; box-sizing: border-box; line-height: 20px; font-weight: bold;"&gt;&lt;span style="margin: 0px; padding: 0px; box-sizing: border-box; font-size: 14px;"&gt;&lt;span style="margin: 0px; padding: 0px; box-sizing: border-box; font-family: Arial, Helvetica, sans-serif;"&gt;&lt;span style="margin: 0px; padding: 0px; box-sizing: border-box; color: rgb(0, 0, 0);"&gt;Dimensões da grade: &lt;/span&gt;&lt;/span&gt;&lt;/span&gt;&lt;span style="margin: 0px; padding: 0px; box-sizing: border-box; font-size: 14px;"&gt;&lt;span style="margin: 0px; padding: 0px; box-sizing: border-box; font-family: Arial, Helvetica, sans-serif;"&gt;&lt;span style="margin: 0px; padding: 0px; box-sizing: border-box; color: rgb(0, 0, 0);"&gt;A 9,8 pol. (248 mm) x L 9,8 pol. (248 mm)&lt;/span&gt;&lt;/span&gt;&lt;/span&gt;&lt;/dt&gt;
	&lt;dt data-gtm-vis-has-fired-7462060_677="1" data-gtm-vis-has-fired-7462060_678="1" style="margin: 0px; padding: 0px; box-sizing: border-box; line-height: 20px; font-weight: bold;"&gt;&lt;span style="margin: 0px; padding: 0px; box-sizing: border-box; font-size: 14px;"&gt;&lt;span style="margin: 0px; padding: 0px; box-sizing: border-box; font-family: Arial, Helvetica, sans-serif;"&gt;&lt;span style="margin: 0px; padding: 0px; box-sizing: border-box; color: rgb(0, 0, 0);"&gt;Dimensões do recorte: &lt;/span&gt;&lt;/span&gt;&lt;/span&gt;&lt;span style="margin: 0px; padding: 0px; box-sizing: border-box; font-size: 14px;"&gt;&lt;span style="margin: 0px; padding: 0px; box-sizing: border-box; font-family: Arial, Helvetica, sans-serif;"&gt;&lt;span style="margin: 0px; padding: 0px; box-sizing: border-box; color: rgb(0, 0, 0);"&gt;A 8,6 pol. (219 mm) x L 8,6 pol. (219 mm)&lt;/span&gt;&lt;/span&gt;&lt;/span&gt;&lt;/dt&gt;
	&lt;dt data-gtm-vis-has-fired-7462060_677="1" data-gtm-vis-has-fired-7462060_678="1" style="margin: 0px; padding: 0px; box-sizing: border-box; line-height: 20px; font-weight: bold;"&gt;&lt;span style="margin: 0px; padding: 0px; box-sizing: border-box; font-size: 14px;"&gt;&lt;span style="margin: 0px; padding: 0px; box-sizing: border-box; font-family: Arial, Helvetica, sans-serif;"&gt;&lt;span style="margin: 0px; padding: 0px; box-sizing: border-box; color: rgb(0, 0, 0);"&gt;Profundidade de montagem: &lt;/span&gt;&lt;/span&gt;&lt;/span&gt;&lt;span style="margin: 0px; padding: 0px; box-sizing: border-box; font-size: 14px;"&gt;&lt;span style="margin: 0px; padding: 0px; box-sizing: border-box; font-family: Arial, Helvetica, sans-serif;"&gt;&lt;span style="margin: 0px; padding: 0px; box-sizing: border-box; color: rgb(0, 0, 0);"&gt;5 pol. (127 mm)&lt;/span&gt;&lt;/span&gt;&lt;/span&gt;&lt;/dt&gt;
	&lt;dt data-gtm-vis-has-fired-7462060_677="1" data-gtm-vis-has-fired-7462060_678="1" style="margin: 0px; padding: 0px; box-sizing: border-box; line-height: 20px; font-weight: bold;"&gt; &lt;/dt&gt;
	&lt;dt data-gtm-vis-has-fired-7462060_677="1" data-gtm-vis-has-fired-7462060_678="1" style="margin: 0px; padding: 0px; box-sizing: border-box; line-height: 20px; font-weight: bold;"&gt; &lt;/dt&gt;
&lt;/dl&gt;
</t>
  </si>
  <si>
    <t>https://cdn.awsli.com.br/948/948321/produto/257539845/stage-ang-5terq2u0ps.jpg</t>
  </si>
  <si>
    <t>https://cdn.awsli.com.br/948/948321/produto/257539845/stage-ang-jpg1-gn58y2jly9.jpg</t>
  </si>
  <si>
    <t>https://cdn.awsli.com.br/948/948321/produto/257539845/stage-ang-jpg2-y7jf8yvmh2.jpg</t>
  </si>
  <si>
    <t>https://cdn.awsli.com.br/948/948321/produto/257539845/stage-ang-jpg3-njq8oilt1k.jpg</t>
  </si>
  <si>
    <t>https://cdn.awsli.com.br/948/948321/produto/257539845/stage-ang-jpg4-wjhgw7jf9o.jpg</t>
  </si>
  <si>
    <t>JBL Stage 260CS Caixa de Embutir  6,5" Premium</t>
  </si>
  <si>
    <t>A88MPKNXK</t>
  </si>
  <si>
    <t xml:space="preserve">&lt;p style="margin: 0px 0px 10px;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style="margin: 0px; padding: 0px; box-sizing: border-box; font-size: 14px;"&gt;&lt;span style="margin: 0px; padding: 0px; box-sizing: border-box; font-family: Arial, Helvetica, sans-serif;"&gt;&lt;span style="margin: 0px; padding: 0px; box-sizing: border-box; color: rgb(0, 0, 0);"&gt;O Stage 260C possui um woofer de cone de policelulose de 6,5" (165 mm) e um tweeter de cúpula de alumínio de 1" (25 mm) com um guia de onda de lente acústica. Uma grade de moldura zero visualmente discreta e fácil instalação permitem que esses alto-falantes sejam ouvidos e não vistos. Elementos, incluindo defletores com suavização acústica e tweeters de lentes acústicas, foram incorporados ao design para garantir que o som seja claro e preciso.&lt;/span&gt;&lt;/span&gt;&lt;/span&gt;&lt;/p&gt;
&lt;p style="margin: 0px 0px 10px;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style="margin: 0px; padding: 0px; box-sizing: border-box; font-size: 14px;"&gt;&lt;span style="margin: 0px; padding: 0px; box-sizing: border-box; font-family: Arial, Helvetica, sans-serif;"&gt;&lt;span style="margin: 0px; padding: 0px; box-sizing: border-box; color: rgb(0, 0, 0);"&gt;Transdutor de alta frequência: &lt;/span&gt;&lt;/span&gt;&lt;/span&gt;&lt;span style="margin: 0px; padding: 0px; box-sizing: border-box; font-size: 14px;"&gt;&lt;span style="margin: 0px; padding: 0px; box-sizing: border-box; font-family: Arial, Helvetica, sans-serif;"&gt;&lt;span style="margin: 0px; padding: 0px; box-sizing: border-box; color: rgb(0, 0, 0);"&gt;Cúpula de alumínio de 1" (25 mm) com lente acústica&lt;/span&gt;&lt;/span&gt;&lt;/span&gt;&lt;/p&gt;
&lt;p style="margin: 0px 0px 10px;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style="margin: 0px; padding: 0px; box-sizing: border-box; font-size: 14px;"&gt;&lt;span style="margin: 0px; padding: 0px; box-sizing: border-box; font-family: Arial, Helvetica, sans-serif;"&gt;&lt;span style="margin: 0px; padding: 0px; box-sizing: border-box; color: rgb(0, 0, 0);"&gt;Transdutor de baixa frequência: &lt;/span&gt;&lt;/span&gt;&lt;/span&gt;&lt;span style="margin: 0px; padding: 0px; box-sizing: border-box; font-size: 14px;"&gt;&lt;span style="margin: 0px; padding: 0px; box-sizing: border-box; font-family: Arial, Helvetica, sans-serif;"&gt;&lt;span style="margin: 0px; padding: 0px; box-sizing: border-box; color: rgb(0, 0, 0);"&gt;Woofer de cone de policelulose de 6,5" (165 mm)&lt;/span&gt;&lt;/span&gt;&lt;/span&gt;&lt;/p&gt;
&lt;p style="margin: 0px 0px 10px;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style="margin: 0px; padding: 0px; box-sizing: border-box; font-size: 14px;"&gt;&lt;span style="margin: 0px; padding: 0px; box-sizing: border-box; font-family: Arial, Helvetica, sans-serif;"&gt;&lt;span style="margin: 0px; padding: 0px; box-sizing: border-box; color: rgb(0, 0, 0);"&gt;Potência recomendada do amplificador (gama total): &lt;/span&gt;&lt;/span&gt;&lt;/span&gt;&lt;span style="margin: 0px; padding: 0px; box-sizing: border-box; font-size: 14px;"&gt;&lt;span style="margin: 0px; padding: 0px; box-sizing: border-box; font-family: Arial, Helvetica, sans-serif;"&gt;&lt;span style="margin: 0px; padding: 0px; box-sizing: border-box; color: rgb(0, 0, 0);"&gt;20-100W RMS&lt;/span&gt;&lt;/span&gt;&lt;/span&gt;&lt;/p&gt;
&lt;p style="margin: 0px 0px 10px;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style="margin: 0px; padding: 0px; box-sizing: border-box; font-size: 14px;"&gt;&lt;span style="margin: 0px; padding: 0px; box-sizing: border-box; font-family: Arial, Helvetica, sans-serif;"&gt;&lt;span style="margin: 0px; padding: 0px; box-sizing: border-box; color: rgb(0, 0, 0);"&gt;Resposta de frequência: &lt;/span&gt;&lt;/span&gt;&lt;/span&gt;&lt;span style="margin: 0px; padding: 0px; box-sizing: border-box; font-size: 14px;"&gt;&lt;span style="margin: 0px; padding: 0px; box-sizing: border-box; font-family: Arial, Helvetica, sans-serif;"&gt;&lt;span style="margin: 0px; padding: 0px; box-sizing: border-box; color: rgb(0, 0, 0);"&gt;50Hz-25kHz (-6dB no eixo)&lt;/span&gt;&lt;/span&gt;&lt;/span&gt;&lt;/p&gt;
&lt;p style="margin: 0px 0px 10px;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style="margin: 0px; padding: 0px; box-sizing: border-box; font-size: 14px;"&gt;&lt;span style="margin: 0px; padding: 0px; box-sizing: border-box; font-family: Arial, Helvetica, sans-serif;"&gt;&lt;span style="margin: 0px; padding: 0px; box-sizing: border-box; color: rgb(0, 0, 0);"&gt;Sensibilidade (2,83V@1m): &lt;/span&gt;&lt;/span&gt;&lt;/span&gt;&lt;span style="margin: 0px; padding: 0px; box-sizing: border-box; font-size: 14px;"&gt;&lt;span style="margin: 0px; padding: 0px; box-sizing: border-box; font-family: Arial, Helvetica, sans-serif;"&gt;&lt;span style="margin: 0px; padding: 0px; box-sizing: border-box; color: rgb(0, 0, 0);"&gt;87dB&lt;/span&gt;&lt;/span&gt;&lt;/span&gt;&lt;/p&gt;
&lt;p style="margin: 0px 0px 10px;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style="margin: 0px; padding: 0px; box-sizing: border-box; font-size: 14px;"&gt;&lt;span style="margin: 0px; padding: 0px; box-sizing: border-box; font-family: Arial, Helvetica, sans-serif;"&gt;&lt;span style="margin: 0px; padding: 0px; box-sizing: border-box; color: rgb(0, 0, 0);"&gt;impedância nominal: &lt;/span&gt;&lt;/span&gt;&lt;/span&gt;&lt;span style="margin: 0px; padding: 0px; box-sizing: border-box; font-size: 14px;"&gt;&lt;span style="margin: 0px; padding: 0px; box-sizing: border-box; font-family: Arial, Helvetica, sans-serif;"&gt;&lt;span style="margin: 0px; padding: 0px; box-sizing: border-box; color: rgb(0, 0, 0);"&gt;8ohm&lt;/span&gt;&lt;/span&gt;&lt;/span&gt;&lt;/p&gt;
&lt;p style="margin: 0px 0px 10px;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style="margin: 0px; padding: 0px; box-sizing: border-box; font-size: 14px;"&gt;&lt;span style="margin: 0px; padding: 0px; box-sizing: border-box; font-family: Arial, Helvetica, sans-serif;"&gt;&lt;span style="margin: 0px; padding: 0px; box-sizing: border-box; color: rgb(0, 0, 0);"&gt;Frequencia cruzada: &lt;/span&gt;&lt;/span&gt;&lt;/span&gt;&lt;span style="margin: 0px; padding: 0px; box-sizing: border-box; font-size: 14px;"&gt;&lt;span style="margin: 0px; padding: 0px; box-sizing: border-box; font-family: Arial, Helvetica, sans-serif;"&gt;&lt;span style="margin: 0px; padding: 0px; box-sizing: border-box; color: rgb(0, 0, 0);"&gt;3000 Hz&lt;/span&gt;&lt;/span&gt;&lt;/span&gt;&lt;/p&gt;
&lt;p style="margin: 0px 0px 10px;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style="margin: 0px; padding: 0px; box-sizing: border-box; font-size: 14px;"&gt;&lt;span style="margin: 0px; padding: 0px; box-sizing: border-box; font-family: Arial, Helvetica, sans-serif;"&gt;&lt;span style="margin: 0px; padding: 0px; box-sizing: border-box; color: rgb(0, 0, 0);"&gt;entradas: &lt;/span&gt;&lt;/span&gt;&lt;/span&gt;&lt;span style="margin: 0px; padding: 0px; box-sizing: border-box; font-size: 14px;"&gt;&lt;span style="margin: 0px; padding: 0px; box-sizing: border-box; font-family: Arial, Helvetica, sans-serif;"&gt;&lt;span style="margin: 0px; padding: 0px; box-sizing: border-box; color: rgb(0, 0, 0);"&gt;Conectores de mola niquelados&lt;/span&gt;&lt;/span&gt;&lt;/span&gt;&lt;/p&gt;
&lt;p style="margin: 0px 0px 10px;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style="margin: 0px; padding: 0px; box-sizing: border-box; font-size: 14px;"&gt;&lt;span style="margin: 0px; padding: 0px; box-sizing: border-box; font-family: Arial, Helvetica, sans-serif;"&gt;&lt;span style="margin: 0px; padding: 0px; box-sizing: border-box; color: rgb(0, 0, 0);"&gt;Dimensões da grade: &lt;/span&gt;&lt;/span&gt;&lt;/span&gt;&lt;span style="margin: 0px; padding: 0px; box-sizing: border-box; font-size: 14px;"&gt;&lt;span style="margin: 0px; padding: 0px; box-sizing: border-box; font-family: Arial, Helvetica, sans-serif;"&gt;&lt;span style="margin: 0px; padding: 0px; box-sizing: border-box; color: rgb(0, 0, 0);"&gt;dia&lt;/span&gt;&lt;/span&gt;&lt;/span&gt;&lt;/p&gt;
&lt;p style="margin: 0px 0px 10px;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style="margin: 0px; padding: 0px; box-sizing: border-box; font-size: 14px;"&gt;&lt;span style="margin: 0px; padding: 0px; box-sizing: border-box; font-family: Arial, Helvetica, sans-serif;"&gt;&lt;span style="margin: 0px; padding: 0px; box-sizing: border-box; color: rgb(0, 0, 0);"&gt;Dimensões do recorte: &lt;/span&gt;&lt;/span&gt;&lt;/span&gt;&lt;span style="margin: 0px; padding: 0px; box-sizing: border-box; font-size: 14px;"&gt;&lt;span style="margin: 0px; padding: 0px; box-sizing: border-box; font-family: Arial, Helvetica, sans-serif;"&gt;&lt;span style="margin: 0px; padding: 0px; box-sizing: border-box; color: rgb(0, 0, 0);"&gt;dia&lt;/span&gt;&lt;/span&gt;&lt;/span&gt;&lt;/p&gt;
&lt;p style="margin: 0px 0px 10px;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style="margin: 0px; padding: 0px; box-sizing: border-box; font-size: 14px;"&gt;&lt;span style="margin: 0px; padding: 0px; box-sizing: border-box; font-family: Arial, Helvetica, sans-serif;"&gt;&lt;span style="margin: 0px; padding: 0px; box-sizing: border-box; color: rgb(0, 0, 0);"&gt;Profundidade de montagem: &lt;/span&gt;&lt;/span&gt;&lt;/span&gt;&lt;span style="margin: 0px; padding: 0px; box-sizing: border-box; font-size: 14px;"&gt;&lt;span style="margin: 0px; padding: 0px; box-sizing: border-box; font-family: Arial, Helvetica, sans-serif;"&gt;&lt;span style="margin: 0px; padding: 0px; box-sizing: border-box; color: rgb(0, 0, 0);"&gt;3,9 pol. (100 mm)&lt;/span&gt;&lt;/span&gt;&lt;/span&gt;&lt;/p&gt;
&lt;p style="margin: 0px 0px 10px;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&lt;/p&gt;
&lt;p style="margin: 0px 0px 10px; padding: 0px; box-sizing: border-box; color: rgb(17, 17, 17); font-family: Montserrat, sans-serif;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&lt;/p&gt;
</t>
  </si>
  <si>
    <t>https://cdn.awsli.com.br/948/948321/produto/257559602/stage-ang-jpg2-1vhbdd8o47.jpg</t>
  </si>
  <si>
    <t>https://cdn.awsli.com.br/948/948321/produto/257559602/rete-setjnngc1l.jpg</t>
  </si>
  <si>
    <t>https://cdn.awsli.com.br/948/948321/produto/257559602/rete1-uhhup0e2hy.jpg</t>
  </si>
  <si>
    <t>https://cdn.awsli.com.br/948/948321/produto/257559602/rete2-ghnc1q50r9.jpg</t>
  </si>
  <si>
    <t>https://cdn.awsli.com.br/948/948321/produto/257559602/rete3-d90x5ghnpt.jpg</t>
  </si>
  <si>
    <t>Caixa Wave WPR2006 Linha Premium</t>
  </si>
  <si>
    <t>W93TRG7UJ</t>
  </si>
  <si>
    <t>Caixa Acústica de Embutir Plana com 200 Watts - Linha PREMIUM WAVE (unidade) Modelo: WPR2006 - Frequência: 40Hz - 23 kHz - Potência: 200 watts - Impedância: 8 ohms - Sensibilidade: 90dB - Woofer: 6,5" prollipopileno composto de minerais</t>
  </si>
  <si>
    <t xml:space="preserve">&lt;p&gt;&lt;span style="color:#000000;"&gt;&lt;span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style="background-color:#ffffff;"&gt;Caixa Acústica de Embutir Plana com 200 Watts - Linha PREMIUM WAVE (unidade)&lt;/span&gt;&lt;/span&gt;&lt;br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style="background-color:#ffffff;"&gt;Modelo: WPR2006&lt;/span&gt;&lt;/span&gt;&lt;br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Frequência: 40Hz - 23 kHz&lt;/span&gt;&lt;/span&gt;&lt;br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Potência: 200 watts&lt;/span&gt;&lt;/span&gt;&lt;br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Impedância: 8 ohms&lt;/span&gt;&lt;/span&gt;&lt;br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Sensibilidade: 90dB&lt;/span&gt;&lt;/span&gt;&lt;br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Woofer: 6,5" prollipopileno composto de minerais&lt;/span&gt;&lt;/span&gt;&lt;br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Tweeter Pivotante: 1" em domo de alumínio puro&lt;/span&gt;&lt;/span&gt;&lt;br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Conjunto magnético: imã de neodymium&lt;/span&gt;&lt;/span&gt;&lt;br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Sistema de fixação: sistema clip on (com travas automáticas por pressão)&lt;/span&gt;&lt;/span&gt;&lt;br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Acabamento: Tela em alumínio microperfurado na cor branca&lt;/span&gt;&lt;/span&gt;&lt;br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Formato: quadrado, borderless&lt;/span&gt;&lt;/span&gt;&lt;br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Medidas do corte: 210 mm&lt;/span&gt;&lt;/span&gt;&lt;br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Profundidade: 10,5cm&lt;/span&gt;&lt;/span&gt;&lt;br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Medidas da tela: 235 x 235 x 5,0mm&lt;/span&gt;&lt;/span&gt;&lt;br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Peso embalado: 1,56kg&lt;/span&gt;&lt;/span&gt;&lt;br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style="background-color:#ffffff;"&gt;Tweeter de 1" em Alumínio Pivotante: O tweeter é voltado para reprodução dos sons agudos, operando em frequências de até 23KHz. Construção ultraleve e rígida de alumínio permite que toque frequências significativas mais altas gerando uma linearidade ótima, dentro da faixa de audição humana (20Hz a 20.000 Hz).&lt;/span&gt;&lt;/span&gt;&lt;br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style="background-color:#ffffff;"&gt;Crossover de Alta Definição com Bobina de Cobre: Fundamental para fornecer uma qualidade de áudio superior. Bobinas feitas de cobre puro, crossover gera desempenho suave e preciso em toda a sua faixa de frequência.&lt;/span&gt;&lt;/span&gt;&lt;br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style="background-color:#ffffff;"&gt;Woofer de Polipropileno Composto de Minerais: Com 6,5" especialmente projetada para eliminar a interferência proporcionando uma melhor dispersão e resposta de áudio.&lt;/span&gt;&lt;/span&gt;&lt;br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style="background-color:#ffffff;"&gt;Conjunto Magnético de Neodymium: Gera maior força magnética (em torno de 3x mais que ferrite). Menor peso, menor tamanho do conjunto motor, ganho de qualidade musical e maior sensibilidade.&lt;/span&gt;&lt;/span&gt;&lt;br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style="background-color:#ffffff;"&gt;Fácil Instalação: Encaixes rápidos, com apenas um toque em cada suporte de fixação já está instalada sem o uso de qualquer ferramenta.&lt;/span&gt;&lt;/span&gt;&lt;/span&gt;&lt;/p&gt;
</t>
  </si>
  <si>
    <t>https://cdn.awsli.com.br/948/948321/produto/257700893/821-908ejwphxc.jpg</t>
  </si>
  <si>
    <t>https://cdn.awsli.com.br/948/948321/produto/257700893/2-czc4q8h40b.jpg</t>
  </si>
  <si>
    <t>https://cdn.awsli.com.br/948/948321/produto/257700893/1-vaihrvf6g5.jpg</t>
  </si>
  <si>
    <t>https://cdn.awsli.com.br/948/948321/produto/257700893/1367100_0-ueek93j9n7.jpg</t>
  </si>
  <si>
    <t>Caixa Wave WPR2008 Linha Premium</t>
  </si>
  <si>
    <t>43UWXR6JN</t>
  </si>
  <si>
    <t xml:space="preserve">&lt;p&gt;&lt;span style="color:#000000;"&gt;&lt;span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style="background-color:#ffffff;"&gt;Caixa Acústica de Embutir Plana com 200 Watts - Linha PREMIUM WAVE (unidade)&lt;/span&gt;&lt;/span&gt;&lt;br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style="background-color:#ffffff;"&gt;Modelo: WPR2008&lt;/span&gt;&lt;/span&gt;&lt;br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Frequência: 35Hz - 23 kHz&lt;/span&gt;&lt;/span&gt;&lt;br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Potência: 200 watts&lt;/span&gt;&lt;/span&gt;&lt;br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Impedância: 8 ohms&lt;/span&gt;&lt;/span&gt;&lt;br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Sensibilidade: 91dB&lt;/span&gt;&lt;/span&gt;&lt;br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Woofer: 8" prollipopileno composto de minerais&lt;/span&gt;&lt;/span&gt;&lt;br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Tweeter Pivotante: 1" em domo de alumínio puro&lt;/span&gt;&lt;/span&gt;&lt;br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Conjunto magnético: imã de neodymium&lt;/span&gt;&lt;/span&gt;&lt;br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Sistema de fixação: sistema clip on (com travas automáticas por pressão)&lt;/span&gt;&lt;/span&gt;&lt;br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Acabamento: Tela em alumínio microperfurado na cor branca&lt;/span&gt;&lt;/span&gt;&lt;br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Formato: quadrado, borderless&lt;/span&gt;&lt;/span&gt;&lt;br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Medidas do corte: 258 mm&lt;/span&gt;&lt;/span&gt;&lt;br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Profundidade: 11,5cm&lt;/span&gt;&lt;/span&gt;&lt;br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Medidas da tela: 275 x 275 x 5,0mm&lt;/span&gt;&lt;/span&gt;&lt;br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 Peso embalado: 2,20kg&lt;/span&gt;&lt;/span&gt;&lt;br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style="background-color:#ffffff;"&gt;Tweeter de 1" em Alumínio Pivotante: O tweeter é voltado para reprodução dos sons agudos, operando em frequências de até 23KHz. Construção ultraleve e rígida de alumínio permite que toque frequências significativas mais altas gerando uma linearidade ótima, dentro da faixa de audição humana (20Hz a 20.000 Hz).&lt;/span&gt;&lt;/span&gt;&lt;br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style="background-color:#ffffff;"&gt;Crossover de Alta Definição com Bobina de Cobre: Fundamental para fornecer uma qualidade de áudio superior. Bobinas feitas de cobre puro, crossover gera desempenho suave e preciso em toda a sua faixa de frequência.&lt;/span&gt;&lt;/span&gt;&lt;br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style="background-color:#ffffff;"&gt;Woofer de Polipropileno Composto de Minerais: Com 8" especialmente projetada para eliminar a interferência proporcionando uma melhor dispersão e resposta de áudio.&lt;/span&gt;&lt;/span&gt;&lt;br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style="background-color:#ffffff;"&gt;Conjunto Magnético de Neodymium: Gera maior força magnética (em torno de 3x mais que ferrite). Menor peso, menor tamanho do conjunto motor, ganho de qualidade musical e maior sensibilidade.&lt;/span&gt;&lt;/span&gt;&lt;br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style="background-color:#ffffff;"&gt;Fácil Instalação: Encaixes rápidos, com apenas um toque em cada suporte de fixação já está instalada sem o uso de qualquer ferramenta.&lt;/span&gt;&lt;/span&gt;&lt;/span&gt;&lt;/p&gt;
</t>
  </si>
  <si>
    <t>https://cdn.awsli.com.br/948/948321/produto/257700986/821-end1w35gi7.jpg</t>
  </si>
  <si>
    <t>https://cdn.awsli.com.br/948/948321/produto/257700986/2-t2fro6jlav.jpg</t>
  </si>
  <si>
    <t>https://cdn.awsli.com.br/948/948321/produto/257700986/1-3zcq6dlrk5.jpg</t>
  </si>
  <si>
    <t>https://cdn.awsli.com.br/948/948321/produto/257700986/1367100_0-t4gqdt4gtc.jpg</t>
  </si>
  <si>
    <t>CENTRAL DE ASPIRAÇÃO - CENTRAL STUDIO TS1</t>
  </si>
  <si>
    <t>XUDHU998K</t>
  </si>
  <si>
    <t xml:space="preserve">&lt;p&gt;&lt;span style="font-size:16px;"&gt;&lt;span style="color: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!important;"&gt;&lt;strong&gt;DESCRIÇÃO&lt;/strong&gt;&lt;br /&gt;
&lt;br /&gt;
A Central Studio TS1 pode ter até 6 Pontos, com uma área recomendada de até 300m² e distância máxima de 25m. A Central Studio TS1 é a opção mais compacta da Linha Studio da Aertecnica, trazendo praticidade e eficiência para cuidar da sua casa!&lt;br /&gt;
&lt;br /&gt;
&lt;strong&gt;CARACTERISTICAS&lt;/strong&gt;&lt;/span&gt;&lt;/span&gt;&lt;br /&gt;
 &lt;/p&gt;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style="text-decoration:none"&gt;Capacidade máxima ar: 207 m³/h&lt;/span&gt;&lt;/span&gt;&lt;/span&gt;&lt;/span&gt;&lt;/span&gt;&lt;/span&gt;&lt;/span&gt;&lt;/span&gt;&lt;/p&gt;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style="text-decoration:none"&gt;Capacidade recipiente de pó: 15lt&lt;/span&gt;&lt;/span&gt;&lt;/span&gt;&lt;/span&gt;&lt;/span&gt;&lt;/span&gt;&lt;/span&gt;&lt;/span&gt;&lt;/p&gt;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style="text-decoration:none"&gt;Depressão máxima: 270mbar&lt;/span&gt;&lt;/span&gt;&lt;/span&gt;&lt;/span&gt;&lt;/span&gt;&lt;/span&gt;&lt;/span&gt;&lt;/span&gt;&lt;/p&gt;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style="text-decoration:none"&gt;Material cartucho filtro: Poliéster&lt;/span&gt;&lt;/span&gt;&lt;/span&gt;&lt;/span&gt;&lt;/span&gt;&lt;/span&gt;&lt;/span&gt;&lt;/span&gt;&lt;/p&gt;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style="text-decoration:none"&gt;Não acompanha: Qualquer acessório (kit, mangueira, tomada)&lt;/span&gt;&lt;/span&gt;&lt;/span&gt;&lt;/span&gt;&lt;/span&gt;&lt;/span&gt;&lt;/span&gt;&lt;/span&gt;&lt;/p&gt;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style="text-decoration:none"&gt;Número máximo de tomadas recomendado: 6&lt;/span&gt;&lt;/span&gt;&lt;/span&gt;&lt;/span&gt;&lt;/span&gt;&lt;/span&gt;&lt;/span&gt;&lt;/span&gt;&lt;/p&gt;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style="text-decoration:none"&gt;Potência de aspiração: 504 Air Watts&lt;/span&gt;&lt;/span&gt;&lt;/span&gt;&lt;/span&gt;&lt;/span&gt;&lt;/span&gt;&lt;/span&gt;&lt;/span&gt;&lt;/p&gt;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style="text-decoration:none"&gt;Potência motor: 1.260W&lt;/span&gt;&lt;/span&gt;&lt;/span&gt;&lt;/span&gt;&lt;/span&gt;&lt;/span&gt;&lt;/span&gt;&lt;/span&gt;&lt;/p&gt;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style="text-decoration:none"&gt;Ruído: 57dB&lt;/span&gt;&lt;/span&gt;&lt;/span&gt;&lt;/span&gt;&lt;/span&gt;&lt;/span&gt;&lt;/span&gt;&lt;/span&gt;&lt;/p&gt;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style="text-decoration:none"&gt;Superfície cartucho filtro: 4.000cm²&lt;/span&gt;&lt;/span&gt;&lt;/span&gt;&lt;/span&gt;&lt;/span&gt;&lt;/span&gt;&lt;/span&gt;&lt;/span&gt;&lt;/p&gt;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style="text-decoration:none"&gt;Superfície máxima: 250m²&lt;/span&gt;&lt;/span&gt;&lt;/span&gt;&lt;/span&gt;&lt;/span&gt;&lt;/span&gt;&lt;/span&gt;&lt;/span&gt;&lt;/p&gt;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style="text-decoration:none"&gt;Altura: 64cm&lt;/span&gt;&lt;/span&gt;&lt;/span&gt;&lt;/span&gt;&lt;/span&gt;&lt;/span&gt;&lt;/span&gt;&lt;/span&gt;&lt;/p&gt;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style="text-decoration:none"&gt;Dimensão: Ø28cm&lt;/span&gt;&lt;/span&gt;&lt;/span&gt;&lt;/span&gt;&lt;/span&gt;&lt;/span&gt;&lt;/span&gt;&lt;/span&gt;&lt;/p&gt;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style="text-decoration:none"&gt;Marca: Aertecnica&lt;/span&gt;&lt;/span&gt;&lt;/span&gt;&lt;/span&gt;&lt;/span&gt;&lt;/span&gt;&lt;/span&gt;&lt;br /&gt;
&lt;br /&gt;
Acompanha: &lt;span style="font-variant: normal; white-space: pre-wrap;"&gt;&lt;span style="font-family:Montserrat,sans-serif"&gt;&lt;span style="color:#000000"&gt;&lt;span style="font-weight:400"&gt;&lt;span style="font-style:normal"&gt;&lt;span style="text-decoration:none"&gt;1 Central De Aspiração Central Studio TS1 6 Pontos Área Recomendada até 300m²&lt;/span&gt;&lt;/span&gt;&lt;/span&gt;&lt;/span&gt;&lt;/span&gt;&lt;/span&gt;&lt;/span&gt;&lt;/p&gt;
&lt;p&gt;&lt;br /&gt;
 &lt;/p&gt;
</t>
  </si>
  <si>
    <t>AERTECNICA</t>
  </si>
  <si>
    <t>https://cdn.awsli.com.br/948/948321/produto/264335741/central-aspiracao-central-studio-ts1-aertecnica-i88348y3ef.PNG</t>
  </si>
  <si>
    <t>CENTRAL DE ASPIRAÇÃO - CENTRAL STUDIO TS2</t>
  </si>
  <si>
    <t>XUDHU998K-PPTOFKJ4J</t>
  </si>
  <si>
    <t xml:space="preserve">&lt;p&gt;&lt;span style="color: rgb(102, 102, 102); font-family: Montserrat,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none;"&gt;&lt;strong&gt;DESCRIÇÃO&lt;/strong&gt;&lt;br /&gt;
&lt;br /&gt;
A Central Studio TS2 pode ter até 10 Pontos, com uma área recomendada de até 500m² e distância máxima de 35m. A Central Studio TS2 é a opção mais compacta da Linha Studio da Aertecnica, trazendo praticidade e eficiência para cuidar da sua casa!&lt;/span&gt;&lt;br /&gt;
 &lt;/p&gt;
&lt;p&gt;&lt;span style="font-size:16px;"&gt;&lt;span style="color: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!important;"&gt;&lt;strong&gt;CARACTERISTICAS&lt;/strong&gt;&lt;/span&gt;&lt;/span&gt;&lt;br /&gt;
 &lt;/p&gt;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style="text-decoration:none"&gt;Capacidade máxima ar: &lt;/span&gt;&lt;/span&gt;&lt;/span&gt;&lt;/span&gt;&lt;/span&gt;&lt;/span&gt;&lt;/span&gt;&lt;/span&gt;&lt;span style="color: rgb(37, 37, 37); font-family: Montserrat, sans-serif; font-size: 0.875em;"&gt;195m³/h&lt;/span&gt;&lt;/p&gt;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style="text-decoration:none"&gt;Capacidade recipiente de pó: 15lt&lt;/span&gt;&lt;/span&gt;&lt;/span&gt;&lt;/span&gt;&lt;/span&gt;&lt;/span&gt;&lt;/span&gt;&lt;/span&gt;&lt;/p&gt;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style="text-decoration:none"&gt;Depressão máxima: 313mbar&lt;/span&gt;&lt;/span&gt;&lt;/span&gt;&lt;/span&gt;&lt;/span&gt;&lt;/span&gt;&lt;/span&gt;&lt;/span&gt;&lt;/p&gt;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style="text-decoration:none"&gt;Material cartucho filtro: Poliéster&lt;/span&gt;&lt;/span&gt;&lt;/span&gt;&lt;/span&gt;&lt;/span&gt;&lt;/span&gt;&lt;/span&gt;&lt;/span&gt;&lt;/p&gt;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style="text-decoration:none"&gt;Não acompanha: Qualquer acessório (kit, mangueira, tomada)&lt;/span&gt;&lt;/span&gt;&lt;/span&gt;&lt;/span&gt;&lt;/span&gt;&lt;/span&gt;&lt;/span&gt;&lt;/span&gt;&lt;/p&gt;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style="text-decoration:none"&gt;Número máximo de tomadas recomendado: 10&lt;/span&gt;&lt;/span&gt;&lt;/span&gt;&lt;/span&gt;&lt;/span&gt;&lt;/span&gt;&lt;/span&gt;&lt;/span&gt;&lt;/p&gt;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style="text-decoration:none"&gt;Potência de aspiração: 653 Air Watts&lt;/span&gt;&lt;/span&gt;&lt;/span&gt;&lt;/span&gt;&lt;/span&gt;&lt;/span&gt;&lt;/span&gt;&lt;/span&gt;&lt;/p&gt;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style="text-decoration:none"&gt;Potência motor: 1.600W&lt;/span&gt;&lt;/span&gt;&lt;/span&gt;&lt;/span&gt;&lt;/span&gt;&lt;/span&gt;&lt;/span&gt;&lt;/span&gt;&lt;/p&gt;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style="text-decoration:none"&gt;Ruído: 55,6dB&lt;/span&gt;&lt;/span&gt;&lt;/span&gt;&lt;/span&gt;&lt;/span&gt;&lt;/span&gt;&lt;/span&gt;&lt;/span&gt;&lt;/p&gt;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style="text-decoration:none"&gt;Superfície cartucho filtro: 8.000cm²&lt;/span&gt;&lt;/span&gt;&lt;/span&gt;&lt;/span&gt;&lt;/span&gt;&lt;/span&gt;&lt;/span&gt;&lt;/span&gt;&lt;/p&gt;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style="text-decoration:none"&gt;Superfície máxima: 400m²&lt;/span&gt;&lt;/span&gt;&lt;/span&gt;&lt;/span&gt;&lt;/span&gt;&lt;/span&gt;&lt;/span&gt;&lt;/span&gt;&lt;/p&gt;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style="text-decoration:none"&gt;Altura: 90cm&lt;/span&gt;&lt;/span&gt;&lt;/span&gt;&lt;/span&gt;&lt;/span&gt;&lt;/span&gt;&lt;/span&gt;&lt;/span&gt;&lt;/p&gt;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style="text-decoration:none"&gt;Dimensão: Ø28cm&lt;/span&gt;&lt;/span&gt;&lt;/span&gt;&lt;/span&gt;&lt;/span&gt;&lt;/span&gt;&lt;/span&gt;&lt;/span&gt;&lt;/p&gt;
&lt;p style="line-height:1.38"&gt;&lt;span style="font-size:16px;"&gt;&lt;span style="font-variant: normal; white-space: pre-wrap;"&gt;&lt;span style="font-family:Montserrat,sans-serif"&gt;&lt;span style="color:#000000"&gt;&lt;span style="background-color:#ffffff"&gt;&lt;span style="font-weight:400"&gt;&lt;span style="font-style:normal"&gt;&lt;span style="text-decoration:none"&gt;Marca: Aertecnica&lt;/span&gt;&lt;/span&gt;&lt;/span&gt;&lt;/span&gt;&lt;/span&gt;&lt;/span&gt;&lt;/span&gt;&lt;br /&gt;
&lt;br /&gt;
Acompanha: &lt;span style="font-variant: normal; white-space: pre-wrap;"&gt;&lt;span style="font-family:Montserrat,sans-serif"&gt;&lt;span style="color:#000000"&gt;&lt;span style="font-weight:400"&gt;&lt;span style="font-style:normal"&gt;&lt;span style="text-decoration:none"&gt;1 Central De Aspiração Central Studio TS2 10 Pontos Área Recomendada até 500m²&lt;/span&gt;&lt;/span&gt;&lt;/span&gt;&lt;/span&gt;&lt;/span&gt;&lt;/span&gt;&lt;/span&gt;&lt;/p&gt;
&lt;p&gt; &lt;/p&gt;
</t>
  </si>
  <si>
    <t>https://cdn.awsli.com.br/948/948321/produto/264336947/central-aspiracao-central-studio-ts2-aertecnica-2v1r535pul.PNG</t>
  </si>
  <si>
    <t>CENTRAL DE ASPIRAÇÃO - CENTRAL STUDIO TS4</t>
  </si>
  <si>
    <t>XUDHU998K-PPTOFKJ4J-P5GXPR0FE</t>
  </si>
  <si>
    <t xml:space="preserve">&lt;p&gt;&lt;strong&gt;DESCRIÇÃO&lt;/strong&gt;&lt;/p&gt;
&lt;p style="line-height:1.38; margin-top:16px; margin-bottom:16px"&gt;&lt;span style="font-size:12pt; font-variant:normal; white-space:pre-wrap"&gt;&lt;span style="font-family:Montserrat,sans-serif"&gt;&lt;span style="color:#666666"&gt;&lt;span style="background-color:#ffffff"&gt;&lt;span style="font-weight:400"&gt;&lt;span style="font-style:normal"&gt;&lt;span style="text-decoration:none"&gt;A Central Studio TS4 pode ter até 25 Pontos, com uma área recomendada de até 1250m² e distância máxima de 45m. A Central Studio TS4 é a opção mais compacta da Linha Studio da Aertecnica, trazendo praticidade e eficiência para cuidar da sua casa!&lt;/span&gt;&lt;/span&gt;&lt;/span&gt;&lt;/span&gt;&lt;/span&gt;&lt;/span&gt;&lt;/span&gt;&lt;br /&gt;
 &lt;/p&gt;
&lt;p style="line-height:1.38; margin-top:16px; margin-bottom:16px"&gt;&lt;span style="font-size:12pt; font-variant:normal; white-space:pre-wrap"&gt;&lt;span style="font-family:Montserrat,sans-serif"&gt;&lt;span style="color:#666666"&gt;&lt;span style="background-color:#ffffff"&gt;&lt;span style="font-weight:700"&gt;&lt;span style="font-style:normal"&gt;&lt;span style="text-decoration:none"&gt;CARACTERISTICAS&lt;/span&gt;&lt;/span&gt;&lt;/span&gt;&lt;/span&gt;&lt;/span&gt;&lt;/span&gt;&lt;/span&gt;&lt;br /&gt;
 &lt;/p&gt;
&lt;p style="line-height:1.656; margin-top:16px; margin-bottom:16px"&gt;&lt;span style="font-size:12pt; font-variant:normal; white-space:pre-wrap"&gt;&lt;span style="font-family:Montserrat,sans-serif"&gt;&lt;span style="color:#000000"&gt;&lt;span style="background-color:#ffffff"&gt;&lt;span style="font-weight:400"&gt;&lt;span style="font-style:normal"&gt;&lt;span style="text-decoration:none"&gt;Capacidade máxima ar: 238 m³/h&lt;/span&gt;&lt;/span&gt;&lt;/span&gt;&lt;/span&gt;&lt;/span&gt;&lt;/span&gt;&lt;/span&gt;&lt;/p&gt;
&lt;p style="line-height:1.656; margin-top:16px; margin-bottom:16px"&gt;&lt;span style="font-size:12pt; font-variant:normal; white-space:pre-wrap"&gt;&lt;span style="font-family:Montserrat,sans-serif"&gt;&lt;span style="color:#000000"&gt;&lt;span style="background-color:#ffffff"&gt;&lt;span style="font-weight:400"&gt;&lt;span style="font-style:normal"&gt;&lt;span style="text-decoration:none"&gt;Capacidade recipiente de pó: 23lt&lt;/span&gt;&lt;/span&gt;&lt;/span&gt;&lt;/span&gt;&lt;/span&gt;&lt;/span&gt;&lt;/span&gt;&lt;/p&gt;
&lt;p style="line-height:1.656; margin-top:16px; margin-bottom:16px"&gt;&lt;span style="font-size:12pt; font-variant:normal; white-space:pre-wrap"&gt;&lt;span style="font-family:Montserrat,sans-serif"&gt;&lt;span style="color:#000000"&gt;&lt;span style="background-color:#ffffff"&gt;&lt;span style="font-weight:400"&gt;&lt;span style="font-style:normal"&gt;&lt;span style="text-decoration:none"&gt;Depressão máxima: 320mbar&lt;/span&gt;&lt;/span&gt;&lt;/span&gt;&lt;/span&gt;&lt;/span&gt;&lt;/span&gt;&lt;/span&gt;&lt;/p&gt;
&lt;p style="line-height:1.656; margin-top:16px; margin-bottom:16px"&gt;&lt;span style="font-size:12pt; font-variant:normal; white-space:pre-wrap"&gt;&lt;span style="font-family:Montserrat,sans-serif"&gt;&lt;span style="color:#000000"&gt;&lt;span style="background-color:#ffffff"&gt;&lt;span style="font-weight:400"&gt;&lt;span style="font-style:normal"&gt;&lt;span style="text-decoration:none"&gt;Material cartucho filtro: Poliéster&lt;/span&gt;&lt;/span&gt;&lt;/span&gt;&lt;/span&gt;&lt;/span&gt;&lt;/span&gt;&lt;/span&gt;&lt;/p&gt;
&lt;p style="line-height:1.656; margin-top:16px; margin-bottom:16px"&gt;&lt;span style="font-size:12pt; font-variant:normal; white-space:pre-wrap"&gt;&lt;span style="font-family:Montserrat,sans-serif"&gt;&lt;span style="color:#000000"&gt;&lt;span style="background-color:#ffffff"&gt;&lt;span style="font-weight:400"&gt;&lt;span style="font-style:normal"&gt;&lt;span style="text-decoration:none"&gt;Não acompanha: Qualquer acessório (kit, mangueira, tomada)&lt;/span&gt;&lt;/span&gt;&lt;/span&gt;&lt;/span&gt;&lt;/span&gt;&lt;/span&gt;&lt;/span&gt;&lt;/p&gt;
&lt;p style="line-height:1.656; margin-top:16px; margin-bottom:16px"&gt;&lt;span style="font-size:12pt; font-variant:normal; white-space:pre-wrap"&gt;&lt;span style="font-family:Montserrat,sans-serif"&gt;&lt;span style="color:#000000"&gt;&lt;span style="background-color:#ffffff"&gt;&lt;span style="font-weight:400"&gt;&lt;span style="font-style:normal"&gt;&lt;span style="text-decoration:none"&gt;Número máximo de tomadas recomendado: 25&lt;/span&gt;&lt;/span&gt;&lt;/span&gt;&lt;/span&gt;&lt;/span&gt;&lt;/span&gt;&lt;/span&gt;&lt;/p&gt;
&lt;p style="line-height:1.656; margin-top:16px; margin-bottom:16px"&gt;&lt;span style="font-size:12pt; font-variant:normal; white-space:pre-wrap"&gt;&lt;span style="font-family:Montserrat,sans-serif"&gt;&lt;span style="color:#000000"&gt;&lt;span style="background-color:#ffffff"&gt;&lt;span style="font-weight:400"&gt;&lt;span style="font-style:normal"&gt;&lt;span style="text-decoration:none"&gt;Potência de aspiração: 690 Air Watts&lt;/span&gt;&lt;/span&gt;&lt;/span&gt;&lt;/span&gt;&lt;/span&gt;&lt;/span&gt;&lt;/span&gt;&lt;/p&gt;
&lt;p style="line-height:1.656; margin-top:16px; margin-bottom:16px"&gt;&lt;span style="font-size:12pt; font-variant:normal; white-space:pre-wrap"&gt;&lt;span style="font-family:Montserrat,sans-serif"&gt;&lt;span style="color:#000000"&gt;&lt;span style="background-color:#ffffff"&gt;&lt;span style="font-weight:400"&gt;&lt;span style="font-style:normal"&gt;&lt;span style="text-decoration:none"&gt;Potência motor: 1.650W&lt;/span&gt;&lt;/span&gt;&lt;/span&gt;&lt;/span&gt;&lt;/span&gt;&lt;/span&gt;&lt;/span&gt;&lt;/p&gt;
&lt;p style="line-height:1.656; margin-top:16px; margin-bottom:16px"&gt;&lt;span style="font-size:12pt; font-variant:normal; white-space:pre-wrap"&gt;&lt;span style="font-family:Montserrat,sans-serif"&gt;&lt;span style="color:#000000"&gt;&lt;span style="background-color:#ffffff"&gt;&lt;span style="font-weight:400"&gt;&lt;span style="font-style:normal"&gt;&lt;span style="text-decoration:none"&gt;Ruído: 58dB&lt;/span&gt;&lt;/span&gt;&lt;/span&gt;&lt;/span&gt;&lt;/span&gt;&lt;/span&gt;&lt;/span&gt;&lt;/p&gt;
&lt;p style="line-height:1.656; margin-top:16px; margin-bottom:16px"&gt;&lt;span style="font-size:12pt; font-variant:normal; white-space:pre-wrap"&gt;&lt;span style="font-family:Montserrat,sans-serif"&gt;&lt;span style="color:#000000"&gt;&lt;span style="background-color:#ffffff"&gt;&lt;span style="font-weight:400"&gt;&lt;span style="font-style:normal"&gt;&lt;span style="text-decoration:none"&gt;Superfície cartucho filtro: 8.000cm²&lt;/span&gt;&lt;/span&gt;&lt;/span&gt;&lt;/span&gt;&lt;/span&gt;&lt;/span&gt;&lt;/span&gt;&lt;/p&gt;
&lt;p style="line-height:1.656; margin-top:16px; margin-bottom:16px"&gt;&lt;span style="font-size:12pt; font-variant:normal; white-space:pre-wrap"&gt;&lt;span style="font-family:Montserrat,sans-serif"&gt;&lt;span style="color:#000000"&gt;&lt;span style="background-color:#ffffff"&gt;&lt;span style="font-weight:400"&gt;&lt;span style="font-style:normal"&gt;&lt;span style="text-decoration:none"&gt;Superfície máxima: 700m²&lt;/span&gt;&lt;/span&gt;&lt;/span&gt;&lt;/span&gt;&lt;/span&gt;&lt;/span&gt;&lt;/span&gt;&lt;/p&gt;
&lt;p style="line-height:1.656; margin-top:16px; margin-bottom:16px"&gt;&lt;span style="font-size:12pt; font-variant:normal; white-space:pre-wrap"&gt;&lt;span style="font-family:Montserrat,sans-serif"&gt;&lt;span style="color:#000000"&gt;&lt;span style="background-color:#ffffff"&gt;&lt;span style="font-weight:400"&gt;&lt;span style="font-style:normal"&gt;&lt;span style="text-decoration:none"&gt;Altura: 103cm&lt;/span&gt;&lt;/span&gt;&lt;/span&gt;&lt;/span&gt;&lt;/span&gt;&lt;/span&gt;&lt;/span&gt;&lt;/p&gt;
&lt;p style="line-height:1.656; margin-top:16px; margin-bottom:16px"&gt;&lt;span style="font-size:12pt; font-variant:normal; white-space:pre-wrap"&gt;&lt;span style="font-family:Montserrat,sans-serif"&gt;&lt;span style="color:#000000"&gt;&lt;span style="background-color:#ffffff"&gt;&lt;span style="font-weight:400"&gt;&lt;span style="font-style:normal"&gt;&lt;span style="text-decoration:none"&gt;Dimensão: Ø32cm&lt;/span&gt;&lt;/span&gt;&lt;/span&gt;&lt;/span&gt;&lt;/span&gt;&lt;/span&gt;&lt;/span&gt;&lt;/p&gt;
&lt;p style="line-height:2.4; margin-top:16px; margin-bottom:16px"&gt;&lt;span style="font-size:12pt; font-variant:normal; white-space:pre-wrap"&gt;&lt;span style="font-family:Montserrat,sans-serif"&gt;&lt;span style="color:#000000"&gt;&lt;span style="background-color:#ffffff"&gt;&lt;span style="font-weight:400"&gt;&lt;span style="font-style:normal"&gt;&lt;span style="text-decoration:none"&gt;Marca: Aertecnica&lt;/span&gt;&lt;/span&gt;&lt;/span&gt;&lt;/span&gt;&lt;/span&gt;&lt;/span&gt;&lt;/span&gt;&lt;br /&gt;
&lt;span style="font-size:12pt; font-variant:normal; white-space:pre-wrap"&gt;&lt;span style="font-family:Montserrat,sans-serif"&gt;&lt;span style="color:#000000"&gt;&lt;span style="background-color:#ffffff"&gt;&lt;span style="font-weight:400"&gt;&lt;span style="font-style:normal"&gt;&lt;span style="text-decoration:none"&gt;Acompanha: 1 Central De Aspiração Central Studio TS4 25 Pontos Área Recomendada até 1250m²&lt;/span&gt;&lt;/span&gt;&lt;/span&gt;&lt;/span&gt;&lt;/span&gt;&lt;/span&gt;&lt;/span&gt;&lt;/p&gt;
&lt;p style="line-height:1.38"&gt;&lt;br /&gt;
&lt;br /&gt;
 &lt;/p&gt;
</t>
  </si>
  <si>
    <t>https://cdn.awsli.com.br/948/948321/produto/264337534/central-aspiracao-central-studio-ts4-aertecnica-cbzbmu6y6i.PNG</t>
  </si>
  <si>
    <t>ESCOVA PARA TAPETE COM RODAS</t>
  </si>
  <si>
    <t>FJV6WFRGB</t>
  </si>
  <si>
    <t xml:space="preserve">&lt;p&gt;Ponta para aspiração de tapetes, com rodas. &lt;/p&gt;
</t>
  </si>
  <si>
    <t>Aspiração Central</t>
  </si>
  <si>
    <t>https://cdn.awsli.com.br/948/948321/produto/264342089/escova-para-carpetes-c8jjlulr8r.png</t>
  </si>
  <si>
    <t>MANGUEIRA PARA ASPIRAÇÃO CENTRAL 32mm DE 9mts COM REGULAGOR DE PRESSÃO - AERTECNICA</t>
  </si>
  <si>
    <t>ZZPQJDC52</t>
  </si>
  <si>
    <t xml:space="preserve">&lt;p&gt;&lt;span style="font-size:16px;"&gt;&lt;span style="font-family: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!important;"&gt;&lt;strong&gt;DESCRIÇÃO&lt;/strong&gt;&lt;/span&gt;&lt;br /&gt;
&lt;br /&gt;
&lt;span style="color: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!important;"&gt;A mangueira para aspiração central 32mm de 9mts com regulador de pressão é a opção perfeita para sua central de aspiração Aertecnica, trazendo praticidade e conforto no seu dia a dia.&lt;/span&gt;&lt;br /&gt;
&lt;br /&gt;
&lt;strong&gt;CARACTERISTICAS&lt;/strong&gt;&lt;br /&gt;
&lt;br /&gt;
Diametro: 32cm&lt;br /&gt;
Comprimento: 9 mts&lt;br /&gt;
Marca: Aertecinca&lt;br /&gt;
Conteudo: 1 mangueira &lt;span style="color: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!important;"&gt;para aspiração central 32mm de 9mts com regulador de pressão&lt;/span&gt;&lt;/span&gt;&lt;/p&gt;
</t>
  </si>
  <si>
    <t>https://cdn.awsli.com.br/948/948321/produto/264696751/mangueira-32mm-9mt-com-regulador-de-pressao-bg05hcq12c.png</t>
  </si>
  <si>
    <t>KIT DE ACESSÓRIOS BÁSICO PARA ASPIRAÇÃO CENTRAL - AERTÉCNICA</t>
  </si>
  <si>
    <t>JPFFU6RMC</t>
  </si>
  <si>
    <t xml:space="preserve">&lt;dl class="grupo-carac grupo-carac-caracs clearfix" style="box-sizing: border-box; margin: 0px; padding: 0px; border: 0px; font-style: normal; font-variant-ligatures: normal; font-variant-caps: normal; font-variant-numeric: inherit; font-variant-east-asian: inherit; font-variant-alternates: inherit; font-variant-position: inherit; font-weight: 400; font-stretch: inherit; line-height: inherit; font-family: Montserrat, sans-serif; font-optical-sizing: inherit; font-kerning: inherit; font-feature-settings: inherit; font-variation-settings: inherit; font-size: 16px; vertical-align: baseline; color: var(--cor-texto); letter-spacing: normal; orphans: 2; text-align: start; text-indent: 0px; text-transform: none; widows: 2; word-spacing: 0px; -webkit-text-stroke-width: 0px; white-space: normal; background-color: rgb(255, 255, 255); text-decoration-thickness: initial; text-decoration-style: initial; text-decoration-color: initial;"&gt;
	&lt;dd class="odd" style="box-sizing: border-box; margin: 0px; padding: 4px 10px; border: 0px; font-style: inherit; font-variant: inherit; font-weight: inherit; font-stretch: inherit; line-height: inherit; font-family: inherit; font-optical-sizing: inherit; font-kerning: inherit; font-feature-settings: inherit; font-variation-settings: inherit; font-size: 14px; vertical-align: middle; position: relative; display: table-cell; width: 719.203px; height: 20px; text-align: left; background: var(--color-gray-50); float: none; word-break: break-word; color: var(--cor-texto-secundario);"&gt;&lt;span class="table flex justify-center caract-composto-por" style="box-sizing: border-box; margin: 0px; padding: 0px; border: 0px; font-style: inherit; font-variant: inherit; font-weight: inherit; font-stretch: inherit; line-height: inherit; font-family: inherit; font-optical-sizing: inherit; font-kerning: inherit; font-feature-settings: inherit; font-variation-settings: inherit; font-size: 0.875em; vertical-align: baseline; display: table; justify-content: center; width: 1240px; min-height: 10px; color: var(--cor-texto); border-collapse: collapse;"&gt;&lt;span style="font-size:16px;"&gt;&lt;span style="font-family:Arial,Helvetica,sans-serif;"&gt;&lt;strong&gt;DESCRIÇÃO&lt;/strong&gt;&lt;br /&gt;
	&lt;br /&gt;
	Kit para aspiração central, contendo os seguintes produtos:&lt;br /&gt;
	1 - Tubò Bag;&lt;br style="box-sizing: border-box;" /&gt;
	1 - Conjunto de escovas para limpar: cantos, vestuário, colchões, escova universal com cerdas para pavimento com 30cm;&lt;br style="box-sizing: border-box;" /&gt;
	1 - Extensão telescópica cromada Advanced;&lt;br style="box-sizing: border-box;" /&gt;
	1 - Suporte de parede.&lt;br /&gt;
	&lt;br /&gt;
	Marca: Aertecnica&lt;/span&gt;&lt;/span&gt;&lt;/span&gt;&lt;/dd&gt;
&lt;/dl&gt;
</t>
  </si>
  <si>
    <t>https://cdn.awsli.com.br/948/948321/produto/265340247/kit-acessorios-basicos-aertecnica-j5uf2rr47f.png</t>
  </si>
  <si>
    <t>KIT DE ACESSÓRIOS STANDARD PARA ASPIRAÇÃO CENTRAL - AERTÉCNICA</t>
  </si>
  <si>
    <t>JPFFU6RMC-IB5P7ZQV4</t>
  </si>
  <si>
    <t xml:space="preserve">&lt;dl class="grupo-carac grupo-carac-caracs clearfix" style="box-sizing: border-box; margin: 0px; padding: 0px; border: 0px; font-style: normal; font-variant-ligatures: normal; font-variant-caps: normal; font-variant-numeric: inherit; font-variant-east-asian: inherit; font-variant-alternates: inherit; font-variant-position: inherit; font-weight: 400; font-stretch: inherit; line-height: inherit; font-family: Montserrat, sans-serif; font-optical-sizing: inherit; font-kerning: inherit; font-feature-settings: inherit; font-variation-settings: inherit; font-size: 16px; vertical-align: baseline; color: var(--cor-texto); letter-spacing: normal; orphans: 2; text-align: start; text-indent: 0px; text-transform: none; widows: 2; word-spacing: 0px; -webkit-text-stroke-width: 0px; white-space: normal; background-color: rgb(255, 255, 255); text-decoration-thickness: initial; text-decoration-style: initial; text-decoration-color: initial;"&gt;
	&lt;dd class="odd" style="box-sizing: border-box; margin: 0px; padding: 4px 10px; border: 0px; font-style: inherit; font-variant: inherit; font-weight: inherit; font-stretch: inherit; line-height: inherit; font-family: inherit; font-optical-sizing: inherit; font-kerning: inherit; font-feature-settings: inherit; font-variation-settings: inherit; font-size: 14px; vertical-align: middle; position: relative; display: table-cell; width: 719.203px; height: 20px; text-align: left; background: var(--color-gray-50); float: none; word-break: break-word; color: var(--cor-texto-secundario);"&gt;&lt;span class="table flex justify-center caract-composto-por" style="box-sizing: border-box; margin: 0px; padding: 0px; border: 0px; font-style: inherit; font-variant: inherit; font-weight: inherit; font-stretch: inherit; line-height: inherit; font-optical-sizing: inherit; font-kerning: inherit; font-feature-settings: inherit; font-variation-settings: inherit; font-size: 0.875em; vertical-align: baseline; display: table; justify-content: center; width: 1240px; min-height: 10px; border-collapse: collapse;"&gt;&lt;span style="font-size:16px;"&gt;&lt;strong&gt;DESCRIÇÃO&lt;/strong&gt;&lt;br /&gt;
	&lt;br /&gt;
	Kit para aspiração central, contendo os seguintes produtos:&lt;/span&gt;&lt;/span&gt;&lt;br /&gt;
	&lt;br /&gt;
	&lt;span style="font-size:16px;"&gt;&lt;span style="font-family: Montserrat, sans-serif;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!important;"&gt;1 - Tubò Easy Sack;&lt;/span&gt;&lt;br style="box-sizing: border-box; color: rgb(102, 102, 102); font-family: Montserrat, sans-serif; font-size: 14px;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/&gt;
	&lt;span style="font-family: Montserrat, sans-serif;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!important;"&gt;1 - Conjunto de escovas: articulada para limpar pó, cantos, radiadores, vestuário, colchões, tapeçaria com feltro, escova universal com cerdas para pavimento com 30cm e com rodas;&lt;/span&gt;&lt;br style="box-sizing: border-box; color: rgb(102, 102, 102); font-family: Montserrat, sans-serif; font-size: 14px;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/&gt;
	&lt;span style="font-family: Montserrat, sans-serif;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!important;"&gt;1 - Extensão telescópica cromada Advanced;&lt;/span&gt;&lt;br style="box-sizing: border-box; color: rgb(102, 102, 102); font-family: Montserrat, sans-serif; font-size: 14px;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/&gt;
	&lt;span style="font-family: Montserrat, sans-serif;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!important;"&gt;1 - Suporte de parede.&lt;/span&gt;&lt;br /&gt;
	&lt;span class="table flex justify-center caract-composto-por" style="box-sizing: border-box; margin: 0px; padding: 0px; border: 0px; font-style: inherit; font-variant: inherit; font-weight: inherit; font-stretch: inherit; line-height: inherit; font-optical-sizing: inherit; font-kerning: inherit; font-feature-settings: inherit; font-variation-settings: inherit; vertical-align: baseline; display: table; justify-content: center; width: 1240px; min-height: 10px; border-collapse: collapse;"&gt;Marca: Aertecnica&lt;/span&gt;&lt;/span&gt;&lt;/dd&gt;
&lt;/dl&gt;
</t>
  </si>
  <si>
    <t>https://cdn.awsli.com.br/948/948321/produto/265340790/kit-acessorios-standard-aertecnica-73wz805yzy.png</t>
  </si>
  <si>
    <t>AMPLIFICADOR DE POTÊNCIA AAT PM-1 G2</t>
  </si>
  <si>
    <t>PZ728CT9L</t>
  </si>
  <si>
    <t xml:space="preserve">&lt;p&gt;&lt;span style="font-size:16px;"&gt;&lt;strong&gt;DESCRIÇÃO&lt;/strong&gt;&lt;br /&gt;
&lt;br /&gt;
Indicado para uso em sistemas estéreo de Home Teather ou segunda zone de áudio, com excepcional performace e custo beneficio, o Amplificador AAT PM-1 G2 trás um visual slim e novos módulos de amplificação, Loop OUT, Tigger ON e Operação em estéreo, mono e bridge.&lt;br /&gt;
&lt;br /&gt;
&lt;strong&gt;CARACTERÍSTICAS&lt;/strong&gt;&lt;br /&gt;
&lt;br /&gt;
Potência MAX.: 360W RMS (180RMS por canal)&lt;br /&gt;
Potência CONT.: 180W RMS (90RMS por canal)&lt;br /&gt;
Impedancia: 4 - 8 OHMS&lt;br /&gt;
Resposta de Frequência: 10 Hz - 100 KHz&lt;br /&gt;
Dimenssões (L X P X A): 432 x 385 x 103 mm&lt;br /&gt;
Peso: 9,1 Kg&lt;br /&gt;
Voltagem: Bi-Volt&lt;br /&gt;
Conteúdo: Amplificador AAT PM-1 G2&lt;/span&gt;&lt;/p&gt;
</t>
  </si>
  <si>
    <t>AAT</t>
  </si>
  <si>
    <t>https://cdn.awsli.com.br/948/948321/produto/265691930/banner-zoom-pm-1-g2-brfl3fkz5p.PNG</t>
  </si>
  <si>
    <t>AMPLIFICADOR DE POTÊNCIA AAT PM-2</t>
  </si>
  <si>
    <t>PZ728CT9L-5JXCLPMBA</t>
  </si>
  <si>
    <t>8518.40.00</t>
  </si>
  <si>
    <t xml:space="preserve">&lt;p&gt;&lt;span style="font-size:16px;"&gt;&lt;strong&gt;DESCRIÇÃO&lt;/strong&gt;&lt;br /&gt;
&lt;br /&gt;
Indicado para uso em sistemas estéreo de Home Teather ou segunda zone de áudio, com a capacidade de entregar até 430W RMS contínuos, o Amplificador AAT PM-2 com elevada dinâmica, baixa distorção, Tigger ON e Auto ON, se torna uma ótima opção.&lt;br /&gt;
&lt;br /&gt;
&lt;strong&gt;CARACTERÍSTICAS&lt;/strong&gt;&lt;br /&gt;
&lt;br /&gt;
Potência MAX.: 860W RMS (430RMS por canal)&lt;br /&gt;
Potência CONT.: 430W RMS (215RMS por canal)&lt;br /&gt;
Impedancia: 4 - 8 OHMS&lt;br /&gt;
Resposta de Frequência: 10 Hz - 100 KHz&lt;br /&gt;
Dimenssões (L X P X A): 432 x 445 x 105 mm&lt;br /&gt;
Peso: 16 Kg&lt;br /&gt;
Voltagem: Bi-Volt&lt;br /&gt;
Conteúdo: Amplificador AAT PM-2&lt;/span&gt;&lt;/p&gt;
</t>
  </si>
  <si>
    <t>https://cdn.awsli.com.br/948/948321/produto/265697567/banner-zoom-pm-2-lzgnuevjpy.png</t>
  </si>
  <si>
    <t>AMPLIFICADOR DE POTÊNCIA AAT PM-4 G2</t>
  </si>
  <si>
    <t>PZ728CT9L-MCFQD43K7</t>
  </si>
  <si>
    <t xml:space="preserve">&lt;p&gt;&lt;span style="font-size:16px;"&gt;&lt;strong&gt;DESCRIÇÃO&lt;/strong&gt;&lt;br /&gt;
&lt;br /&gt;
Indicado para uso em sistemas estéreo de Home Teather ou segunda zone de áudio, com excepcional performace e custo beneficio, o Amplificador AAT PM-4 G2 trás um visual slim e novos módulos de amplificação, Loop OUT, Tigger ON e Operação em estéreo, mono e bridge.&lt;br /&gt;
&lt;br /&gt;
&lt;strong&gt;CARACTERÍSTICAS&lt;/strong&gt;&lt;br /&gt;
&lt;br /&gt;
Potência MAX.: 720W RMS (180RMS por canal)&lt;br /&gt;
Potência CONT.: 360W RMS (90RMS por canal)&lt;br /&gt;
Impedancia: 4 - 8 OHMS&lt;br /&gt;
Resposta de Frequência: 10 Hz - 100 KHz&lt;br /&gt;
Dimenssões (L X P X A): 432 x 375 x 103 mm&lt;br /&gt;
Peso: 12 Kg&lt;br /&gt;
Voltagem: Bi-Volt&lt;br /&gt;
Conteúdo: Amplificador AAT PM-4 G2&lt;/span&gt;&lt;/p&gt;
</t>
  </si>
  <si>
    <t>https://cdn.awsli.com.br/948/948321/produto/265729123/banner-zoom-pm-4-g2-9zk7gmqwig.PNG</t>
  </si>
  <si>
    <t>AMPLIFICADOR DE POTÊNCIA AAT PM-5</t>
  </si>
  <si>
    <t>PZ728CT9L-5JXCLPMBA-Q9KKEWXCF</t>
  </si>
  <si>
    <t xml:space="preserve">&lt;p&gt;&lt;span style="font-size:16px;"&gt;&lt;strong&gt;DESCRIÇÃO&lt;/strong&gt;&lt;br /&gt;
&lt;br /&gt;
Indicado para uso em sistemas estéreo de Home Teather ou segunda zone de áudio, com a capacidade de entregar até 300W RMS contínuos, o Amplificador AAT PM-5 com elevada dinâmica, baixa distorção, Tigger ON e Auto ON, se torna uma ótima opção.&lt;br /&gt;
&lt;br /&gt;
&lt;strong&gt;CARACTERÍSTICAS&lt;/strong&gt;&lt;br /&gt;
&lt;br /&gt;
Potência MAX.: 600W RMS (300RMS por canal)&lt;br /&gt;
Potência CONT.: 300W RMS (150RMS por canal)&lt;br /&gt;
Impedancia: 4 - 8 OHMS&lt;br /&gt;
Resposta de Frequência: 10 Hz - 100 KHz&lt;br /&gt;
Dimenssões (L X P X A): 432 x 450 x 105 mm&lt;br /&gt;
Peso: 14 Kg&lt;br /&gt;
Voltagem: Bi-Volt&lt;br /&gt;
Conteúdo: Amplificador AAT PM-5&lt;/span&gt;&lt;/p&gt;
</t>
  </si>
  <si>
    <t>https://cdn.awsli.com.br/948/948321/produto/266140946/banner-zoom-pm-5-m4bg6hgjqc.png</t>
  </si>
  <si>
    <t>AMPLIFICADOR DE POTÊNCIA COMPACTO AAT PA-60</t>
  </si>
  <si>
    <t>PZ728CT9L-5JXCLPMBA-Q9KKEWXCF-HEK6KZRHI</t>
  </si>
  <si>
    <t xml:space="preserve">&lt;p&gt;&lt;span style="font-size:16px;"&gt;&lt;strong&gt;DESCRIÇÃO&lt;/strong&gt;&lt;br /&gt;
&lt;br /&gt;
Indicado para uso em espaços de dimensão reduzida, com a capacidade de entregar até 30W RMS contínuos, o Amplificador AAT PA-60 possui um controlador e entrada Tigger  ON 12V, o que permite o controle por automação.&lt;br /&gt;
&lt;br /&gt;
&lt;strong&gt;CARACTERÍSTICAS&lt;/strong&gt;&lt;br /&gt;
&lt;br /&gt;
Potência MAX.: 60W RMS (30RMS por canal)&lt;br /&gt;
Potência CONT.: 30W RMS (15RMS por canal)&lt;br /&gt;
Impedancia: 4 - 8 OHMS&lt;br /&gt;
Resposta de Frequência: 20 Hz - 25 KHz&lt;br /&gt;
Dimenssões (L X P X A): 190 x 140 x 40 mm&lt;br /&gt;
Peso: 1 Kg&lt;br /&gt;
Voltagem: Bi-Volt&lt;br /&gt;
Conteúdo: Amplificador AAT PA-60&lt;/span&gt;&lt;/p&gt;
</t>
  </si>
  <si>
    <t>https://cdn.awsli.com.br/948/948321/produto/266142344/banner-zoom-pa-60-1yyktd8str.PNG</t>
  </si>
  <si>
    <t>AMPLIFICADOR MULTIROOM ANALÓGICO 4 ZONAS AAT PMR-1</t>
  </si>
  <si>
    <t>PZ728CT9L-5JXCLPMBA-Q9KKEWXCF-HEK6KZRHI-2C1KCDHXJ</t>
  </si>
  <si>
    <t xml:space="preserve">&lt;p&gt;&lt;span style="font-size:16px;"&gt;&lt;strong&gt;DESCRIÇÃO&lt;/strong&gt;&lt;br /&gt;
&lt;br /&gt;
Projetado para ser usado em até 4 ambientes indepedentes (8 canais), o amplificador conta com controladores de volume na parte frontal, 2 entradas analógicas que podem ser chavedas para mono ou estéreo, Auto ON e Tigger ON para automação.&lt;br /&gt;
&lt;br /&gt;
&lt;strong&gt;CARACTERÍSTICAS&lt;/strong&gt;&lt;br /&gt;
&lt;br /&gt;
Potência MAX.: 800W RMS (100RMS por canal)&lt;br /&gt;
Potência CONT.: 400W RMS (50RMS por canal)&lt;br /&gt;
Impedancia: 4 - 16 OHMS&lt;br /&gt;
Resposta de Frequência: 7 Hz - 50 KHz&lt;br /&gt;
Dimenssões (L X P X A): 432 x 360 x 75 mm&lt;br /&gt;
Peso: 10 Kg&lt;br /&gt;
Voltagem: Bi-Volt&lt;br /&gt;
Conteúdo: Amplificador AAT PMR-1&lt;/span&gt;&lt;/p&gt;
</t>
  </si>
  <si>
    <t>https://cdn.awsli.com.br/948/948321/produto/266149055/banner-zoom-pmr-1-v2-ko33zz2nd3.PNG</t>
  </si>
  <si>
    <t>AMPLIFICADOR MULTIROOM ANALÓGICO 2 ZONAS AAT PMR-2</t>
  </si>
  <si>
    <t>PZ728CT9L-5JXCLPMBA-Q9KKEWXCF-HEK6KZRHI-2C1KCDHXJ-Z31JJHRWC</t>
  </si>
  <si>
    <t xml:space="preserve">&lt;p&gt;&lt;span style="font-size:16px;"&gt;&lt;strong&gt;DESCRIÇÃO&lt;/strong&gt;&lt;br /&gt;
&lt;br /&gt;
Projetado para ser usado em até 2 ambientes indepedentes (4 canais), o amplificador conta com controladores de volume na parte frontal, 2 entradas analógicas que podem ser chavedas para mono ou estéreo, Auto ON e Tigger ON para automação.&lt;br /&gt;
&lt;br /&gt;
&lt;strong&gt;CARACTERÍSTICAS&lt;/strong&gt;&lt;br /&gt;
&lt;br /&gt;
Potência MAX.: 400W RMS (100RMS por canal)&lt;br /&gt;
Potência CONT.: 200W RMS (50RMS por canal)&lt;br /&gt;
Impedancia: 4 - 16 OHMS&lt;br /&gt;
Resposta de Frequência: 7 Hz - 50 KHz&lt;br /&gt;
Dimenssões (L X P X A): 432 x 360 x 75 mm&lt;br /&gt;
Peso: 8 Kg&lt;br /&gt;
Voltagem: Bi-Volt&lt;br /&gt;
Conteúdo: Amplificador AAT PMR-2&lt;/span&gt;&lt;/p&gt;
</t>
  </si>
  <si>
    <t>https://cdn.awsli.com.br/948/948321/produto/266151852/banner-zoom-pmr-2-v2-7v15q15q2u.png</t>
  </si>
  <si>
    <t>Subwoofer WSW12 - 250w - Wave Sound</t>
  </si>
  <si>
    <t>014-135-XFEYTVJCR</t>
  </si>
  <si>
    <t>8518.21.00</t>
  </si>
  <si>
    <t xml:space="preserve">&lt;p&gt;&lt;span style="font-size:16px;"&gt;&lt;span style="font-family:verdana,geneva,sans-serif;"&gt;O subwoofer ativo de 12” modelo WSW12 da Wave é compacto e cabe muito bem em sistemas home theater de baixa e média potência. Com 250 watts de potência e resposta de frequência que vai de 35 Hz- 200 Hz, este modelo produz graves de impactantes complementando seu sistema de som e proporcionando mais realismo às cenas de um filme ou musicais. Um diferencial é a opção de entrada/saída em nível alto para caixa de som que facilita em alguns modos de instalação. Modelo disponível em preto.&lt;/span&gt;&lt;/span&gt;&lt;/p&gt;
&lt;p&gt;&lt;span style="font-size:16px;"&gt;&lt;span style="font-family:verdana,geneva,sans-serif;"&gt;&lt;strong&gt;Detalhes técnicos:&lt;/strong&gt;&lt;/span&gt;&lt;/span&gt;&lt;/p&gt;
&lt;p&gt;&lt;span style="font-size:16px;"&gt;&lt;span style="font-family:verdana,geneva,sans-serif;"&gt;- Modelo: WSW12&lt;br /&gt;
- Resposta de frequência: 35Hz-200Hz&lt;br /&gt;
- Nível Baixo: RCA estereo in/out Pre Amp 500mV&lt;br /&gt;
- Tensão de entrada: 120 Volts - 50/60Hz&lt;br /&gt;
- Potência: 250 Watts&lt;br /&gt;
- Woofer: ativo de 12”&lt;br /&gt;
- Dimensões (A x L x P) mm: 380 x 400 x 433 mm&lt;br /&gt;
- Peso Bruto: 25 Kg&lt;/span&gt;&lt;/span&gt;&lt;/p&gt;
</t>
  </si>
  <si>
    <t>https://cdn.awsli.com.br/948/948321/produto/267400654/sub-wave-12-3ppxxt3kij.PNG</t>
  </si>
  <si>
    <t>https://cdn.awsli.com.br/948/948321/produto/267400654/2-sub-wave-12-4qjhs9noa9.PNG</t>
  </si>
  <si>
    <t>https://cdn.awsli.com.br/948/948321/produto/267400654/3-sub-wave-12-rpgriwcyjd.PNG</t>
  </si>
  <si>
    <t>Soundbar Wave Pacific Ocean</t>
  </si>
  <si>
    <t>455CVUK64</t>
  </si>
  <si>
    <t>85198190</t>
  </si>
  <si>
    <t xml:space="preserve">&lt;p&gt;&lt;span style="font-size:14px;"&gt;&lt;strong&gt;&lt;span style="line-height:1.38;"&gt;&lt;span style="font-variant: normal; white-space: pre-wrap;"&gt;&lt;span style="font-family:Arial,sans-serif;"&gt;&lt;span style="color:#000000;"&gt;&lt;span style="font-weight:400;"&gt;&lt;span style="font-style:normal;"&gt;&lt;span style="text-decoration:none;"&gt;Soundbar 2.1 canais com Subwoofer Wireless&lt;/span&gt;&lt;/span&gt;&lt;/span&gt;&lt;/span&gt;&lt;/span&gt;&lt;/span&gt;&lt;/span&gt;&lt;/strong&gt;&lt;/span&gt;&lt;/p&gt;
&lt;p&gt; &lt;/p&gt;
&lt;p style="line-height: 1.38;"&gt;&lt;span style="font-size:14px;"&gt;&lt;span style="font-variant: normal; white-space: pre-wrap;"&gt;&lt;span style="font-family:Arial,sans-serif"&gt;&lt;span style="color:#000000"&gt;&lt;span style="font-weight:400"&gt;&lt;span style="font-style:normal"&gt;&lt;span style="text-decoration:none"&gt;Adaptador de Energia&lt;span style="white-space:pre"&gt; : &lt;/span&gt;&lt;/span&gt;&lt;/span&gt;&lt;/span&gt;&lt;/span&gt;&lt;/span&gt;&lt;/span&gt;&lt;span style="font-variant: normal; white-space: pre-wrap;"&gt;&lt;span style="font-family:Arial,sans-serif"&gt;&lt;span style="color:#000000"&gt;&lt;span style="font-weight:400"&gt;&lt;span style="font-style:normal"&gt;&lt;span style="text-decoration:none"&gt;Incluso&lt;/span&gt;&lt;/span&gt;&lt;/span&gt;&lt;/span&gt;&lt;/span&gt;&lt;/span&gt;&lt;/span&gt;&lt;/p&gt;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style="text-decoration:none"&gt;Bateria Control. Remoto : &lt;/span&gt;&lt;/span&gt;&lt;/span&gt;&lt;/span&gt;&lt;/span&gt;&lt;/span&gt;&lt;span style="font-variant: normal; white-space: pre-wrap;"&gt;&lt;span style="font-family:Arial,sans-serif"&gt;&lt;span style="color:#000000"&gt;&lt;span style="font-weight:400"&gt;&lt;span style="font-style:normal"&gt;&lt;span style="text-decoration:none"&gt;2 x AAA / R03 (não incluso&lt;/span&gt;&lt;/span&gt;&lt;/span&gt;&lt;/span&gt;&lt;/span&gt;&lt;/span&gt;&lt;/span&gt;&lt;/p&gt;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style="text-decoration:none"&gt;Distância Control. Remoto : &lt;/span&gt;&lt;/span&gt;&lt;/span&gt;&lt;/span&gt;&lt;/span&gt;&lt;/span&gt;&lt;span style="font-variant: normal; white-space: pre-wrap;"&gt;&lt;span style="font-family:Arial,sans-serif"&gt;&lt;span style="color:#000000"&gt;&lt;span style="font-weight:400"&gt;&lt;span style="font-style:normal"&gt;&lt;span style="text-decoration:none"&gt;até 6m (ângulo ≤ 30°)&lt;/span&gt;&lt;/span&gt;&lt;/span&gt;&lt;/span&gt;&lt;/span&gt;&lt;/span&gt;&lt;/span&gt;&lt;/p&gt;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style="text-decoration:none"&gt;Suporte de Frequência de Entrada Coaxial/Optica: &lt;/span&gt;&lt;/span&gt;&lt;/span&gt;&lt;/span&gt;&lt;/span&gt;&lt;/span&gt;&lt;span style="font-variant: normal; white-space: pre-wrap;"&gt;&lt;span style="font-family:Arial,sans-serif"&gt;&lt;span style="color:#000000"&gt;&lt;span style="font-weight:400"&gt;&lt;span style="font-style:normal"&gt;&lt;span style="text-decoration:none"&gt;96KHz 16/20/24 Bit&lt;/span&gt;&lt;/span&gt;&lt;/span&gt;&lt;/span&gt;&lt;/span&gt;&lt;/span&gt;&lt;/span&gt;&lt;/p&gt;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style="text-decoration:none"&gt;Potência Sonora Total : 300 W&lt;/span&gt;&lt;/span&gt;&lt;/span&gt;&lt;/span&gt;&lt;/span&gt;&lt;/span&gt;&lt;/span&gt;&lt;/p&gt;
&lt;p style="line-height: 1.38;"&gt; &lt;/p&gt;
&lt;p style="line-height: 1.38;"&gt;&lt;span style="font-size:14px;"&gt;&lt;span style="font-variant: normal; white-space: pre-wrap;"&gt;&lt;span style="font-family:Arial,sans-serif"&gt;&lt;span style="color:#000000"&gt;&lt;span style="font-weight:400"&gt;&lt;span style="font-style:normal"&gt;&lt;span style="text-decoration:none"&gt;Soundbar&lt;br /&gt;
Entrada de Energia : AC 100-240V~50/60Hz&lt;/span&gt;&lt;/span&gt;&lt;/span&gt;&lt;/span&gt;&lt;/span&gt;&lt;/span&gt;&lt;/span&gt;&lt;/p&gt;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style="text-decoration:none"&gt;Saída : DC 20V/1.8A&lt;/span&gt;&lt;/span&gt;&lt;/span&gt;&lt;/span&gt;&lt;/span&gt;&lt;/span&gt;&lt;/span&gt;&lt;/p&gt;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style="text-decoration:none"&gt;Potência Sonora Frontal : &lt;/span&gt;&lt;/span&gt;&lt;/span&gt;&lt;/span&gt;&lt;/span&gt;&lt;/span&gt;&lt;span style="font-variant: normal; white-space: pre-wrap;"&gt;&lt;span style="font-family:Arial,sans-serif"&gt;&lt;span style="color:#000000"&gt;&lt;span style="font-weight:400"&gt;&lt;span style="font-style:normal"&gt;&lt;span style="text-decoration:none"&gt;60W (30W x 2)&lt;/span&gt;&lt;/span&gt;&lt;/span&gt;&lt;/span&gt;&lt;/span&gt;&lt;/span&gt;&lt;/span&gt;&lt;/p&gt;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style="text-decoration:none"&gt;Resposta de Frequência : &lt;/span&gt;&lt;/span&gt;&lt;/span&gt;&lt;/span&gt;&lt;/span&gt;&lt;/span&gt;&lt;span style="font-variant: normal; white-space: pre-wrap;"&gt;&lt;span style="font-family:Arial,sans-serif"&gt;&lt;span style="color:#000000"&gt;&lt;span style="font-weight:400"&gt;&lt;span style="font-style:normal"&gt;&lt;span style="text-decoration:none"&gt;30Hz-18KHz&lt;/span&gt;&lt;/span&gt;&lt;/span&gt;&lt;/span&gt;&lt;/span&gt;&lt;/span&gt;&lt;/span&gt;&lt;/p&gt;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style="text-decoration:none"&gt;Dimensão do Produto : &lt;/span&gt;&lt;/span&gt;&lt;/span&gt;&lt;/span&gt;&lt;/span&gt;&lt;/span&gt;&lt;span style="font-variant: normal; white-space: pre-wrap;"&gt;&lt;span style="font-family:Arial,sans-serif"&gt;&lt;span style="color:#000000"&gt;&lt;span style="font-weight:400"&gt;&lt;span style="font-style:normal"&gt;&lt;span style="text-decoration:none"&gt;1000 (L) x 115 (P) x 56 (A) mm&lt;/span&gt;&lt;/span&gt;&lt;/span&gt;&lt;/span&gt;&lt;/span&gt;&lt;/span&gt;&lt;/span&gt;&lt;/p&gt;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style="text-decoration:none"&gt;Peso Líquido : 3 kg&lt;/span&gt;&lt;/span&gt;&lt;/span&gt;&lt;/span&gt;&lt;/span&gt;&lt;/span&gt;&lt;/span&gt;&lt;/p&gt;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style="text-decoration:none"&gt;Cor : Preto&lt;/span&gt;&lt;/span&gt;&lt;/span&gt;&lt;/span&gt;&lt;/span&gt;&lt;/span&gt;&lt;/span&gt;&lt;/p&gt;
&lt;p style="line-height: 1.38;"&gt; &lt;/p&gt;
&lt;p style="line-height: 1.38;"&gt;&lt;span style="font-size:14px;"&gt;&lt;strong&gt;&lt;span style="font-variant: normal; white-space: pre-wrap;"&gt;&lt;span style="font-family:Arial,sans-serif"&gt;&lt;span style="color:#000000"&gt;&lt;span style="font-weight:400"&gt;&lt;span style="font-style:normal"&gt;&lt;span style="text-decoration:none"&gt;Subwoofer &lt;/span&gt;&lt;/span&gt;&lt;/span&gt;&lt;/span&gt;&lt;/span&gt;&lt;/span&gt;&lt;/strong&gt;&lt;/span&gt;&lt;/p&gt;
&lt;p style="line-height: 1.38;"&gt;&lt;span style="font-size:14px;"&gt;&lt;span style="font-variant: normal; white-space: pre-wrap;"&gt;&lt;span style="font-family:Arial,sans-serif"&gt;&lt;span style="color:#000000"&gt;&lt;span style="font-weight:400"&gt;&lt;span style="font-style:normal"&gt;&lt;span style="text-decoration:none"&gt;Entrada de Energia : AC 100-240V~50/60Hz&lt;/span&gt;&lt;/span&gt;&lt;/span&gt;&lt;/span&gt;&lt;/span&gt;&lt;/span&gt;&lt;/span&gt;&lt;/p&gt;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style="text-decoration:none"&gt;Potência Sonora : &lt;/span&gt;&lt;/span&gt;&lt;/span&gt;&lt;/span&gt;&lt;/span&gt;&lt;/span&gt;&lt;span style="font-variant: normal; white-space: pre-wrap;"&gt;&lt;span style="font-family:Arial,sans-serif"&gt;&lt;span style="color:#000000"&gt;&lt;span style="font-weight:400"&gt;&lt;span style="font-style:normal"&gt;&lt;span style="text-decoration:none"&gt;150W&lt;/span&gt;&lt;/span&gt;&lt;/span&gt;&lt;/span&gt;&lt;/span&gt;&lt;/span&gt;&lt;/span&gt;&lt;/p&gt;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style="text-decoration:none"&gt;Resposta de Frequência : &lt;/span&gt;&lt;/span&gt;&lt;/span&gt;&lt;/span&gt;&lt;/span&gt;&lt;/span&gt;&lt;span style="font-variant: normal; white-space: pre-wrap;"&gt;&lt;span style="font-family:Arial,sans-serif"&gt;&lt;span style="color:#000000"&gt;&lt;span style="font-weight:400"&gt;&lt;span style="font-style:normal"&gt;&lt;span style="text-decoration:none"&gt;30Hz-18KHz&lt;/span&gt;&lt;/span&gt;&lt;/span&gt;&lt;/span&gt;&lt;/span&gt;&lt;/span&gt;&lt;/span&gt;&lt;/p&gt;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style="text-decoration:none"&gt;Dimensão do Produto : &lt;/span&gt;&lt;/span&gt;&lt;/span&gt;&lt;/span&gt;&lt;/span&gt;&lt;/span&gt;&lt;span style="font-variant: normal; white-space: pre-wrap;"&gt;&lt;span style="font-family:Arial,sans-serif"&gt;&lt;span style="color:#000000"&gt;&lt;span style="font-weight:400"&gt;&lt;span style="font-style:normal"&gt;&lt;span style="text-decoration:none"&gt;250(L) x 305(P) x 326 (A) mm&lt;/span&gt;&lt;/span&gt;&lt;/span&gt;&lt;/span&gt;&lt;/span&gt;&lt;/span&gt;&lt;/span&gt;&lt;/p&gt;
&lt;p style="line-height: 1.38;"&gt;Peso Liquido : 6,4 KG&lt;/p&gt;
&lt;p style="line-height: 1.38;"&gt;&lt;span style="font-size:14px;"&gt;&lt;span style="font-variant: normal; white-space: pre-wrap;"&gt;&lt;span style="font-family:Arial,sans-serif"&gt;&lt;span style="color:#000000"&gt;&lt;span style="font-weight:400"&gt;&lt;span style="font-style:normal"&gt;&lt;span style="text-decoration:none"&gt;Cor : Preto&lt;/span&gt;&lt;/span&gt;&lt;/span&gt;&lt;/span&gt;&lt;/span&gt;&lt;/span&gt;&lt;/span&gt;&lt;/p&gt;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style="text-decoration:none"&gt;Bluetooth : V5.0&lt;/span&gt;&lt;/span&gt;&lt;/span&gt;&lt;/span&gt;&lt;/span&gt;&lt;/span&gt;&lt;/span&gt;&lt;/p&gt;
&lt;p style="line-height: 1.38;"&gt; &lt;/p&gt;
&lt;p style="line-height:1.38"&gt; &lt;/p&gt;
&lt;p&gt; &lt;/p&gt;
</t>
  </si>
  <si>
    <t>https://cdn.awsli.com.br/948/948321/produto/268156213/soundbar-pacific-ocean-evp0l753y3.png</t>
  </si>
  <si>
    <t>https://cdn.awsli.com.br/948/948321/produto/268156213/soundbar-pacific-4wxglegni0.png</t>
  </si>
  <si>
    <t>Soundbar Wave Atlantic Ocean</t>
  </si>
  <si>
    <t>455CVUK64-MYS0HNYJ0</t>
  </si>
  <si>
    <t xml:space="preserve">&lt;p&gt;&lt;span style="font-size:14px;"&gt;&lt;strong&gt;&lt;span style="line-height:1.38;"&gt;&lt;span style="font-variant: normal; white-space: pre-wrap;"&gt;&lt;span style="font-family:Arial,sans-serif;"&gt;&lt;span style="color:#000000;"&gt;&lt;span style="font-weight:400;"&gt;&lt;span style="font-style:normal;"&gt;&lt;span style="text-decoration:none;"&gt;Soundbar 5.1 com Subwoofer Wireless e Caixas Surround&lt;/span&gt;&lt;/span&gt;&lt;/span&gt;&lt;/span&gt;&lt;/span&gt;&lt;/span&gt;&lt;/span&gt;&lt;/strong&gt;&lt;/span&gt;&lt;/p&gt;
&lt;p&gt; &lt;/p&gt;
&lt;p style="line-height: 1.38;"&gt;&lt;span style="font-size:14px;"&gt;&lt;span style="font-variant: normal; white-space: pre-wrap;"&gt;&lt;span style="font-family:Arial,sans-serif"&gt;&lt;span style="color:#000000"&gt;&lt;span style="font-weight:400"&gt;&lt;span style="font-style:normal"&gt;&lt;span style="text-decoration:none"&gt;Adaptador de Energia&lt;span style="white-space:pre"&gt; : &lt;/span&gt;&lt;/span&gt;&lt;/span&gt;&lt;/span&gt;&lt;/span&gt;&lt;/span&gt;&lt;/span&gt;&lt;span style="font-variant: normal; white-space: pre-wrap;"&gt;&lt;span style="font-family:Arial,sans-serif"&gt;&lt;span style="color:#000000"&gt;&lt;span style="font-weight:400"&gt;&lt;span style="font-style:normal"&gt;&lt;span style="text-decoration:none"&gt;Incluso&lt;/span&gt;&lt;/span&gt;&lt;/span&gt;&lt;/span&gt;&lt;/span&gt;&lt;/span&gt;&lt;/span&gt;&lt;/p&gt;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style="text-decoration:none"&gt;Bateria Control. Remoto : &lt;/span&gt;&lt;/span&gt;&lt;/span&gt;&lt;/span&gt;&lt;/span&gt;&lt;/span&gt;&lt;span style="font-variant: normal; white-space: pre-wrap;"&gt;&lt;span style="font-family:Arial,sans-serif"&gt;&lt;span style="color:#000000"&gt;&lt;span style="font-weight:400"&gt;&lt;span style="font-style:normal"&gt;&lt;span style="text-decoration:none"&gt;2 x AAA / R03 (não incluso&lt;/span&gt;&lt;/span&gt;&lt;/span&gt;&lt;/span&gt;&lt;/span&gt;&lt;/span&gt;&lt;/span&gt;&lt;/p&gt;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style="text-decoration:none"&gt;Distância Control. Remoto : &lt;/span&gt;&lt;/span&gt;&lt;/span&gt;&lt;/span&gt;&lt;/span&gt;&lt;/span&gt;&lt;span style="font-variant: normal; white-space: pre-wrap;"&gt;&lt;span style="font-family:Arial,sans-serif"&gt;&lt;span style="color:#000000"&gt;&lt;span style="font-weight:400"&gt;&lt;span style="font-style:normal"&gt;&lt;span style="text-decoration:none"&gt;até 6m (ângulo ≤ 30°)&lt;/span&gt;&lt;/span&gt;&lt;/span&gt;&lt;/span&gt;&lt;/span&gt;&lt;/span&gt;&lt;/span&gt;&lt;/p&gt;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style="text-decoration:none"&gt;Suporte de Frequência de Entrada Coaxial/Optica: &lt;/span&gt;&lt;/span&gt;&lt;/span&gt;&lt;/span&gt;&lt;/span&gt;&lt;/span&gt;&lt;span style="font-variant: normal; white-space: pre-wrap;"&gt;&lt;span style="font-family:Arial,sans-serif"&gt;&lt;span style="color:#000000"&gt;&lt;span style="font-weight:400"&gt;&lt;span style="font-style:normal"&gt;&lt;span style="text-decoration:none"&gt;96KHz 16/20/24 Bit&lt;/span&gt;&lt;/span&gt;&lt;/span&gt;&lt;/span&gt;&lt;/span&gt;&lt;/span&gt;&lt;/span&gt;&lt;/p&gt;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style="text-decoration:none"&gt;Potência Sonora Total : 300 W&lt;/span&gt;&lt;/span&gt;&lt;/span&gt;&lt;/span&gt;&lt;/span&gt;&lt;/span&gt;&lt;/span&gt;&lt;/p&gt;
&lt;p style="line-height: 1.38;"&gt; &lt;/p&gt;
&lt;p style="line-height: 1.38;"&gt;&lt;span style="font-size:14px;"&gt;&lt;span style="font-variant: normal; white-space: pre-wrap;"&gt;&lt;span style="font-family:Arial,sans-serif"&gt;&lt;span style="color:#000000"&gt;&lt;span style="font-weight:400"&gt;&lt;span style="font-style:normal"&gt;&lt;span style="text-decoration:none"&gt;Soundbar&lt;/span&gt;&lt;/span&gt;&lt;/span&gt;&lt;/span&gt;&lt;/span&gt;&lt;/span&gt;&lt;/span&gt;&lt;/p&gt;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style="text-decoration:none"&gt;Potência Sonora Central : &lt;/span&gt;&lt;/span&gt;&lt;/span&gt;&lt;/span&gt;&lt;/span&gt;&lt;/span&gt;&lt;span style="font-variant: normal; white-space: pre-wrap;"&gt;&lt;span style="font-family:Arial,sans-serif"&gt;&lt;span style="color:#000000"&gt;&lt;span style="font-weight:400"&gt;&lt;span style="font-style:normal"&gt;&lt;span style="text-decoration:none"&gt;30W&lt;/span&gt;&lt;/span&gt;&lt;/span&gt;&lt;/span&gt;&lt;/span&gt;&lt;/span&gt;&lt;/span&gt;&lt;/p&gt;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style="text-decoration:none"&gt;Potência Sonora Frontal : &lt;/span&gt;&lt;/span&gt;&lt;/span&gt;&lt;/span&gt;&lt;/span&gt;&lt;/span&gt;&lt;span style="font-variant: normal; white-space: pre-wrap;"&gt;&lt;span style="font-family:Arial,sans-serif"&gt;&lt;span style="color:#000000"&gt;&lt;span style="font-weight:400"&gt;&lt;span style="font-style:normal"&gt;&lt;span style="text-decoration:none"&gt;60W (30W x 2)&lt;/span&gt;&lt;/span&gt;&lt;/span&gt;&lt;/span&gt;&lt;/span&gt;&lt;/span&gt;&lt;/span&gt;&lt;/p&gt;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style="text-decoration:none"&gt;Resposta de Frequência : &lt;/span&gt;&lt;/span&gt;&lt;/span&gt;&lt;/span&gt;&lt;/span&gt;&lt;/span&gt;&lt;span style="font-variant: normal; white-space: pre-wrap;"&gt;&lt;span style="font-family:Arial,sans-serif"&gt;&lt;span style="color:#000000"&gt;&lt;span style="font-weight:400"&gt;&lt;span style="font-style:normal"&gt;&lt;span style="text-decoration:none"&gt;30Hz-18KHz&lt;/span&gt;&lt;/span&gt;&lt;/span&gt;&lt;/span&gt;&lt;/span&gt;&lt;/span&gt;&lt;/span&gt;&lt;/p&gt;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style="text-decoration:none"&gt;Dimensão do Produto : &lt;/span&gt;&lt;/span&gt;&lt;/span&gt;&lt;/span&gt;&lt;/span&gt;&lt;/span&gt;&lt;span style="font-variant: normal; white-space: pre-wrap;"&gt;&lt;span style="font-family:Arial,sans-serif"&gt;&lt;span style="color:#000000"&gt;&lt;span style="font-weight:400"&gt;&lt;span style="font-style:normal"&gt;&lt;span style="text-decoration:none"&gt;1000 (L) x 115 (P) x 56 (A) mm&lt;/span&gt;&lt;/span&gt;&lt;/span&gt;&lt;/span&gt;&lt;/span&gt;&lt;/span&gt;&lt;/span&gt;&lt;/p&gt;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style="text-decoration:none"&gt;Peso Líquido : 3 kg&lt;/span&gt;&lt;/span&gt;&lt;/span&gt;&lt;/span&gt;&lt;/span&gt;&lt;/span&gt;&lt;/span&gt;&lt;/p&gt;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style="text-decoration:none"&gt;Cor : Preto&lt;/span&gt;&lt;/span&gt;&lt;/span&gt;&lt;/span&gt;&lt;/span&gt;&lt;/span&gt;&lt;/span&gt;&lt;/p&gt;
&lt;p style="line-height: 1.38;"&gt; &lt;/p&gt;
&lt;p style="line-height: 1.38;"&gt;&lt;span style="font-size:14px;"&gt;&lt;span style="font-variant: normal; white-space: pre-wrap;"&gt;&lt;span style="font-family:Arial,sans-serif"&gt;&lt;span style="color:#000000"&gt;&lt;span style="font-weight:400"&gt;&lt;span style="font-style:normal"&gt;&lt;span style="text-decoration:none"&gt;Surround&lt;/span&gt;&lt;/span&gt;&lt;/span&gt;&lt;/span&gt;&lt;/span&gt;&lt;/span&gt;&lt;/span&gt;&lt;/p&gt;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style="text-decoration:none"&gt;Potência Sonora : &lt;/span&gt;&lt;/span&gt;&lt;/span&gt;&lt;/span&gt;&lt;/span&gt;&lt;/span&gt;&lt;span style="font-variant: normal; white-space: pre-wrap;"&gt;&lt;span style="font-family:Arial,sans-serif"&gt;&lt;span style="color:#000000"&gt;&lt;span style="font-weight:400"&gt;&lt;span style="font-style:normal"&gt;&lt;span style="text-decoration:none"&gt;60W (30W x 2)&lt;/span&gt;&lt;/span&gt;&lt;/span&gt;&lt;/span&gt;&lt;/span&gt;&lt;/span&gt;&lt;/span&gt;&lt;/p&gt;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style="text-decoration:none"&gt;Resposta de Frequência : &lt;/span&gt;&lt;/span&gt;&lt;/span&gt;&lt;/span&gt;&lt;/span&gt;&lt;/span&gt;&lt;span style="font-variant: normal; white-space: pre-wrap;"&gt;&lt;span style="font-family:Arial,sans-serif"&gt;&lt;span style="color:#000000"&gt;&lt;span style="font-weight:400"&gt;&lt;span style="font-style:normal"&gt;&lt;span style="text-decoration:none"&gt;30Hz - 18KHz&lt;/span&gt;&lt;/span&gt;&lt;/span&gt;&lt;/span&gt;&lt;/span&gt;&lt;/span&gt;&lt;/span&gt;&lt;/p&gt;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style="text-decoration:none"&gt;Dimensão do Produto : &lt;/span&gt;&lt;/span&gt;&lt;/span&gt;&lt;/span&gt;&lt;/span&gt;&lt;/span&gt;&lt;span style="font-variant: normal; white-space: pre-wrap;"&gt;&lt;span style="font-family:Arial,sans-serif"&gt;&lt;span style="color:#000000"&gt;&lt;span style="font-weight:400"&gt;&lt;span style="font-style:normal"&gt;&lt;span style="text-decoration:none"&gt;90(L) x 90(P) x 150 (A) mm&lt;/span&gt;&lt;/span&gt;&lt;/span&gt;&lt;/span&gt;&lt;/span&gt;&lt;/span&gt;&lt;/span&gt;&lt;/p&gt;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style="text-decoration:none"&gt;Cor : Preto&lt;/span&gt;&lt;/span&gt;&lt;/span&gt;&lt;/span&gt;&lt;/span&gt;&lt;/span&gt;&lt;/span&gt;&lt;/p&gt;
&lt;p style="line-height: 1.38;"&gt; &lt;/p&gt;
&lt;p style="line-height: 1.38;"&gt;&lt;span style="font-size:14px;"&gt;&lt;strong&gt;&lt;span style="font-variant: normal; white-space: pre-wrap;"&gt;&lt;span style="font-family:Arial,sans-serif"&gt;&lt;span style="color:#000000"&gt;&lt;span style="font-weight:400"&gt;&lt;span style="font-style:normal"&gt;&lt;span style="text-decoration:none"&gt;Subwoofer &lt;/span&gt;&lt;/span&gt;&lt;/span&gt;&lt;/span&gt;&lt;/span&gt;&lt;/span&gt;&lt;/strong&gt;&lt;/span&gt;&lt;/p&gt;
&lt;p style="line-height: 1.38;"&gt;&lt;span style="font-size:14px;"&gt;&lt;span style="font-variant: normal; white-space: pre-wrap;"&gt;&lt;span style="font-family:Arial,sans-serif"&gt;&lt;span style="color:#000000"&gt;&lt;span style="font-weight:400"&gt;&lt;span style="font-style:normal"&gt;&lt;span style="text-decoration:none"&gt;Potência Sonora : &lt;/span&gt;&lt;/span&gt;&lt;/span&gt;&lt;/span&gt;&lt;/span&gt;&lt;/span&gt;&lt;span style="font-variant: normal; white-space: pre-wrap;"&gt;&lt;span style="font-family:Arial,sans-serif"&gt;&lt;span style="color:#000000"&gt;&lt;span style="font-weight:400"&gt;&lt;span style="font-style:normal"&gt;&lt;span style="text-decoration:none"&gt;150W&lt;/span&gt;&lt;/span&gt;&lt;/span&gt;&lt;/span&gt;&lt;/span&gt;&lt;/span&gt;&lt;/span&gt;&lt;/p&gt;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style="text-decoration:none"&gt;Resposta de Frequência : &lt;/span&gt;&lt;/span&gt;&lt;/span&gt;&lt;/span&gt;&lt;/span&gt;&lt;/span&gt;&lt;span style="font-variant: normal; white-space: pre-wrap;"&gt;&lt;span style="font-family:Arial,sans-serif"&gt;&lt;span style="color:#000000"&gt;&lt;span style="font-weight:400"&gt;&lt;span style="font-style:normal"&gt;&lt;span style="text-decoration:none"&gt;30Hz-18KHz&lt;/span&gt;&lt;/span&gt;&lt;/span&gt;&lt;/span&gt;&lt;/span&gt;&lt;/span&gt;&lt;/span&gt;&lt;/p&gt;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style="text-decoration:none"&gt;Dimensão do Produto : &lt;/span&gt;&lt;/span&gt;&lt;/span&gt;&lt;/span&gt;&lt;/span&gt;&lt;/span&gt;&lt;span style="font-variant: normal; white-space: pre-wrap;"&gt;&lt;span style="font-family:Arial,sans-serif"&gt;&lt;span style="color:#000000"&gt;&lt;span style="font-weight:400"&gt;&lt;span style="font-style:normal"&gt;&lt;span style="text-decoration:none"&gt;250(L) x 300(P) x 315 (A) mm&lt;/span&gt;&lt;/span&gt;&lt;/span&gt;&lt;/span&gt;&lt;/span&gt;&lt;/span&gt;&lt;/span&gt;&lt;/p&gt;
&lt;p style="line-height: 1.38;"&gt;&lt;span style="font-size:14px;"&gt;&lt;span style="font-variant: normal; white-space: pre-wrap;"&gt;&lt;span style="font-family:Arial,sans-serif"&gt;&lt;span style="color:#000000"&gt;&lt;span style="font-weight:400"&gt;&lt;span style="font-style:normal"&gt;&lt;span style="text-decoration:none"&gt;Cor : Preto&lt;/span&gt;&lt;/span&gt;&lt;/span&gt;&lt;/span&gt;&lt;/span&gt;&lt;/span&gt;&lt;/span&gt;&lt;/p&gt;
&lt;p style="line-height:1.38"&gt; &lt;/p&gt;
&lt;p&gt; &lt;/p&gt;
</t>
  </si>
  <si>
    <t>https://cdn.awsli.com.br/948/948321/produto/268172487/soundbar-atlantic-0sbdb8z5w5.png</t>
  </si>
  <si>
    <t>https://cdn.awsli.com.br/948/948321/produto/268172487/soundbar-atlantic--su99ewlb46.png</t>
  </si>
  <si>
    <t>PAR DE CAIXA ACÚSTICA TORRE YAMAHA NS-555, PRETO</t>
  </si>
  <si>
    <t>9FZLDMYEB</t>
  </si>
  <si>
    <t xml:space="preserve">&lt;p style="box-sizing: border-box; margin: 0px; padding: 0px; border: 0px; font-style: normal; font-variant-ligatures: normal; font-variant-caps: normal; font-variant-numeric: inherit; font-variant-east-asian: inherit; font-variant-alternates: inherit; font-variant-position: inherit; font-stretch: inherit; line-height: inherit; font-family: &amp;quot;Nunito Sans&amp;quot;, sans-serif; font-optical-sizing: inherit; font-kerning: inherit; font-feature-settings: inherit; font-variation-settings: inherit; vertical-align: baseline; letter-spacing: normal; orphans: 2; text-align: left; text-indent: 0px; text-transform: none; widows: 2; word-spacing: 0px; -webkit-text-stroke-width: 0px; white-space: normal; background-color: rgb(255, 255, 255); text-decoration-thickness: initial; text-decoration-style: initial; text-decoration-color: initial; font-weight: bold !important; font-size: 24px !important; color: rgb(105, 105, 105) !important;"&gt;&lt;span style="color:#000000;"&gt;&lt;span style="font-size:14px;"&gt;Caixa Acústica Yamaha NS-555 Torre 3-Vias, 4-Falantes Bass-Reflex Preta Par&lt;/span&gt;&lt;/span&gt;&lt;/p&gt;
&lt;p style="box-sizing: border-box; margin: 0px 0px 15px; padding: 0px; border: 0px; font-style: normal; font-variant-ligatures: normal; font-variant-caps: normal; font-variant-numeric: inherit; font-variant-east-asian: inherit; font-variant-alternates: inherit; font-variant-position: inherit; font-weight: inherit; font-stretch: inherit; line-height: inherit; font-family: &amp;quot;Nunito Sans&amp;quot;, sans-serif; font-optical-sizing: inherit; font-kerning: inherit; font-feature-settings: inherit; font-variation-settings: inherit; font-size: 16px; vertical-align: baseline; color: rgb(105, 105, 105); letter-spacing: normal; orphans: 2; text-align: left; text-indent: 0px; text-transform: none; widows: 2; word-spacing: 0px; -webkit-text-stroke-width: 0px; white-space: normal; background-color: rgb(255, 255, 255); text-decoration-thickness: initial; text-decoration-style: initial; text-decoration-color: initial;"&gt;&lt;span style="color:#000000;"&gt;&lt;span style="font-size:14px;"&gt;Sistema de alto-falantes de 3 vias em torre Bass-Reflex. A série EF (Elliptical Form) possui cornetas Waveguides, woofers PMD (Polymer-injected Mica Diaphragm) e cabeamento interno da mais alta qualidade (Monster Cable) para diversão total com sons de filmes digitais ou músicas, em um gabinete com acabamento elegante de pianos tradicionais Yamaha.&lt;/span&gt;&lt;/span&gt;&lt;/p&gt;
&lt;p style="box-sizing: border-box; margin: 0px 0px 15px; padding: 0px; border: 0px; font-style: normal; font-variant-ligatures: normal; font-variant-caps: normal; font-variant-numeric: inherit; font-variant-east-asian: inherit; font-variant-alternates: inherit; font-variant-position: inherit; font-weight: inherit; font-stretch: inherit; line-height: inherit; font-family: &amp;quot;Nunito Sans&amp;quot;, sans-serif; font-optical-sizing: inherit; font-kerning: inherit; font-feature-settings: inherit; font-variation-settings: inherit; font-size: 16px; vertical-align: baseline; color: rgb(105, 105, 105); letter-spacing: normal; orphans: 2; text-align: left; text-indent: 0px; text-transform: none; widows: 2; word-spacing: 0px; -webkit-text-stroke-width: 0px; white-space: normal; background-color: rgb(255, 255, 255); text-decoration-thickness: initial; text-decoration-style: initial; text-decoration-color: initial;"&gt;&lt;span style="color:#000000;"&gt;&lt;strong&gt;Características:&lt;/strong&gt;&lt;/span&gt;&lt;/p&gt;
&lt;p style="box-sizing: border-box; margin: 0px 0px 15px; padding: 0px; border: 0px; font-style: normal; font-variant-ligatures: normal; font-variant-caps: normal; font-variant-numeric: inherit; font-variant-east-asian: inherit; font-variant-alternates: inherit; font-variant-position: inherit; font-weight: inherit; font-stretch: inherit; line-height: inherit; font-family: &amp;quot;Nunito Sans&amp;quot;, sans-serif; font-optical-sizing: inherit; font-kerning: inherit; font-feature-settings: inherit; font-variation-settings: inherit; font-size: 16px; vertical-align: baseline; color: rgb(105, 105, 105); letter-spacing: normal; orphans: 2; text-align: left; text-indent: 0px; text-transform: none; widows: 2; word-spacing: 0px; -webkit-text-stroke-width: 0px; white-space: normal; background-color: rgb(255, 255, 255); text-decoration-thickness: initial; text-decoration-style: initial; text-decoration-color: initial;"&gt;&lt;span style="color:#000000;"&gt;&lt;span style="font-size:14px;"&gt;Marca: YAMANHA&lt;br /&gt;
Modelo: NS-555&lt;br /&gt;
Potência: 100 - 250W&lt;br /&gt;
Impedância: 6 ohms&lt;br /&gt;
Resposta de Frequência: 35hz - 35khz&lt;br /&gt;
Sensibilidade: 88db&lt;br /&gt;
Dimensão: &lt;span style="font-family: inherit; font-style: inherit; font-variant-ligatures: inherit; font-variant-caps: inherit; font-weight: inherit;"&gt;98 x 22,2 x 34,5 cm (und)&lt;/span&gt;&lt;/span&gt;&lt;br /&gt;
&lt;span style="font-size:14px;"&gt;&lt;span style="font-family: inherit; font-style: inherit; font-variant-ligatures: inherit; font-variant-caps: inherit; font-weight: inherit;"&gt;Peso: 20kg (und)&lt;/span&gt;&lt;/span&gt;&lt;/span&gt;&lt;/p&gt;
&lt;p style="box-sizing: border-box; margin: 0px 0px 15px; padding: 0px; border: 0px; font-style: normal; font-variant-ligatures: normal; font-variant-caps: normal; font-variant-numeric: inherit; font-variant-east-asian: inherit; font-variant-alternates: inherit; font-variant-position: inherit; font-weight: inherit; font-stretch: inherit; line-height: inherit; font-family: &amp;quot;Nunito Sans&amp;quot;, sans-serif; font-optical-sizing: inherit; font-kerning: inherit; font-feature-settings: inherit; font-variation-settings: inherit; font-size: 16px; vertical-align: baseline; color: rgb(105, 105, 105); letter-spacing: normal; orphans: 2; text-align: left;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 inherit; font-style: inherit; font-variant-ligatures: inherit; font-variant-caps: inherit; font-weight: inherit;"&gt;Conteúdo: 2 &lt;/span&gt;Yamaha NS-555 Torre&lt;/span&gt;&lt;/span&gt;&lt;/p&gt;
</t>
  </si>
  <si>
    <t>YAMAHA</t>
  </si>
  <si>
    <t>https://cdn.awsli.com.br/948/948321/produto/268956684/kit-5-0-yamaha-1x-ns-c444-2x-ns-333-2x-ns-555-2283-i8r3jd8kay.PNG</t>
  </si>
  <si>
    <t>https://cdn.awsli.com.br/948/948321/produto/268956684/yamaha-ns-555-caixa-acustica-torre-3-vias-4-falantes-preto-par-794-xvcmsemqxu.png</t>
  </si>
  <si>
    <t>CAIXA ACÚSTICA CENTRAL - YAMAHA NS-C444 - PRETO</t>
  </si>
  <si>
    <t>XHQHLFB2H</t>
  </si>
  <si>
    <t xml:space="preserve">&lt;p style="box-sizing: border-box; margin: 0px; padding: 0px; border: 0px; font-style: normal; font-variant-ligatures: normal; font-variant-caps: normal; font-variant-numeric: inherit; font-variant-east-asian: inherit; font-variant-alternates: inherit; font-variant-position: inherit; font-stretch: inherit; line-height: inherit; font-family: &amp;quot;Nunito Sans&amp;quot;, sans-serif; font-optical-sizing: inherit; font-kerning: inherit; font-feature-settings: inherit; font-variation-settings: inherit; vertical-align: baseline; letter-spacing: normal; orphans: 2; text-align: left; text-indent: 0px; text-transform: none; widows: 2; word-spacing: 0px; -webkit-text-stroke-width: 0px; white-space: normal; background-color: rgb(255, 255, 255); text-decoration-thickness: initial; text-decoration-style: initial; text-decoration-color: initial; font-weight: bold !important; font-size: 24px !important; color: rgb(105, 105, 105) !important;"&gt;&lt;span style="font-size:14px;"&gt;Caixa Acústica Yamaha Ns-C444 Central 2-Vias Preta&lt;/span&gt;&lt;/p&gt;
&lt;p style="box-sizing: border-box; margin: 0px 0px 15px; padding: 0px; border: 0px; font-style: normal; font-variant-ligatures: normal; font-variant-caps: normal; font-variant-numeric: inherit; font-variant-east-asian: inherit; font-variant-alternates: inherit; font-variant-position: inherit; font-weight: inherit; font-stretch: inherit; line-height: inherit; font-family: &amp;quot;Nunito Sans&amp;quot;, sans-serif; font-optical-sizing: inherit; font-kerning: inherit; font-feature-settings: inherit; font-variation-settings: inherit; font-size: 16px; vertical-align: baseline; color: rgb(105, 105, 105); letter-spacing: normal; orphans: 2; text-align: left; text-indent: 0px; text-transform: none; widows: 2; word-spacing: 0px; -webkit-text-stroke-width: 0px; white-space: normal; background-color: rgb(255, 255, 255); text-decoration-thickness: initial; text-decoration-style: initial; text-decoration-color: initial;"&gt;&lt;span style="font-size:14px;"&gt;Sistema de alto-falantes dual woofer, com duas vias suspensão acústica e canal central.&lt;br style="box-sizing: border-box;" /&gt;
A série EF (Elliptical Form) possui cornetas Waveguide, woofers com diafragma de polímero de mica injetado PMD (Polymer-injected Mica Diaphragm) e a mais alta qualidade interna no cabeamento (Monster Cable) para diversão total com o som de cinema digital ou em música, mais a elegância do gabinete com acabamento dos pianos tradicionais Yamaha.&lt;/span&gt;&lt;/p&gt;
&lt;p style="box-sizing: border-box; margin: 0px 0px 15px; padding: 0px; border: 0px; font-style: normal; font-variant-ligatures: normal; font-variant-caps: normal; font-variant-numeric: inherit; font-variant-east-asian: inherit; font-variant-alternates: inherit; font-variant-position: inherit; font-weight: inherit; font-stretch: inherit; line-height: inherit; font-family: &amp;quot;Nunito Sans&amp;quot;, sans-serif; font-optical-sizing: inherit; font-kerning: inherit; font-feature-settings: inherit; font-variation-settings: inherit; font-size: 16px; vertical-align: baseline; color: rgb(105, 105, 105); letter-spacing: normal; orphans: 2; text-align: left; text-indent: 0px; text-transform: none; widows: 2; word-spacing: 0px; -webkit-text-stroke-width: 0px; white-space: normal; background-color: rgb(255, 255, 255); text-decoration-thickness: initial; text-decoration-style: initial; text-decoration-color: initial;"&gt;&lt;strong&gt;Característica:&lt;/strong&gt;&lt;br /&gt;
Marca: Yamaha&lt;br /&gt;
Modelo: NS C444&lt;br /&gt;
Potência: 100 / 250W&lt;br /&gt;
Impêdancia: 6 ohms&lt;br /&gt;
Resposta de Frequência: 55hz - 35khz&lt;br /&gt;
Sensibilidade: 89db&lt;br /&gt;
Dimensão: 19 x 51,4 x 21,3 cm&lt;br /&gt;
Peso: 7,3 kg&lt;br /&gt;
&lt;br /&gt;
Conteudo: 1 &lt;span style="font-size:14px;"&gt;Yamaha Ns-C444 Central&lt;/span&gt;&lt;/p&gt;
</t>
  </si>
  <si>
    <t>https://cdn.awsli.com.br/948/948321/produto/268964239/caixa-acustica-yamaha-ns-c444-central-2-vias-preta-2241-w7atjf5sys.PNG</t>
  </si>
  <si>
    <t>https://cdn.awsli.com.br/948/948321/produto/268964239/kit-5-0-yamaha-01-ns-c444-central-04-ns-333-bookshelfs-2272-vog849mja2.PNG</t>
  </si>
  <si>
    <t>https://cdn.awsli.com.br/948/948321/produto/268964239/kit-5-0-yamaha-01-ns-c444-central-04-ns-333-bookshelfs-2274-d7zi3hq29l.PNG</t>
  </si>
  <si>
    <t>PAR DE CAIXA ACÚSTICA BOOKSHELF - YAMAHA NS-333 - PRETA</t>
  </si>
  <si>
    <t>FGQ4S2ENR</t>
  </si>
  <si>
    <t xml:space="preserve">&lt;p style="box-sizing: border-box; margin: 0px; padding: 0px; border: 0px; font-style: normal; font-variant-ligatures: normal; font-variant-caps: normal; font-variant-numeric: inherit; font-variant-east-asian: inherit; font-variant-alternates: inherit; font-variant-position: inherit; font-weight: bold; font-stretch: inherit; line-height: inherit; font-family: &amp;quot;Open Sans&amp;quot;, sans-serif; font-optical-sizing: inherit; font-kerning: inherit; font-feature-settings: inherit; font-variation-settings: inherit; font-size: 1.0625em; vertical-align: baseline; color: var(--cor-texto);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style="font-size:14px;"&gt;Caixa Acústica Yamaha Ns-333 Bookshelf 2-Vias Preta Par&lt;/span&gt;&lt;/span&gt;&lt;/p&gt;
&lt;p style="box-sizing: border-box; margin: 4px 0px 0px; padding: 0px; border: 0px; font-style: normal; font-variant-ligatures: normal; font-variant-caps: normal; font-variant-numeric: inherit; font-variant-east-asian: inherit; font-variant-alternates: inherit; font-variant-position: inherit; font-weight: 400; font-stretch: inherit; line-height: 22px; font-family: &amp;quot;Open Sans&amp;quot;, sans-serif; font-optical-sizing: inherit; font-kerning: inherit; font-feature-settings: inherit; font-variation-settings: inherit; font-size: 0.875em; vertical-align: baseline; color: var(--cor-texto-secundario);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style="font-size:14px;"&gt;Sistema de alto-falantes de 2 vias em torre Bass-Reflex.&lt;br style="box-sizing: border-box;" /&gt;
A série EF (Elliptical Form) possui cornetas Waveguides, woofers PMD (Polymer-injected Mica Diaphragm) e cabeamento interno da mais alta qualidade (Monster Cable) para diversão total com sons de filmes digitais ou músicas, em um gabinete com acabamento elegante de pianos tradicionais Yamaha.&lt;/span&gt;&lt;/span&gt;&lt;/p&gt;
&lt;p style="box-sizing: border-box; margin: 4px 0px 0px; padding: 0px; border: 0px; font-style: normal; font-variant-ligatures: normal; font-variant-caps: normal; font-variant-numeric: inherit; font-variant-east-asian: inherit; font-variant-alternates: inherit; font-variant-position: inherit; font-weight: 400; font-stretch: inherit; line-height: 22px; font-family: &amp;quot;Open Sans&amp;quot;, sans-serif; font-optical-sizing: inherit; font-kerning: inherit; font-feature-settings: inherit; font-variation-settings: inherit; font-size: 0.875em; vertical-align: baseline; color: var(--cor-texto-secundario); letter-spacing: normal; orphans: 2; text-align: start; text-indent: 0px; text-transform: none; widows: 2; word-spacing: 0px; -webkit-text-stroke-width: 0px; white-space: normal; background-color: rgb(255, 255, 255); text-decoration-thickness: initial; text-decoration-style: initial; text-decoration-color: initial;"&gt; &lt;/p&gt;
&lt;p style="box-sizing: border-box; margin: 4px 0px 0px; padding: 0px; border: 0px; font-style: normal; font-variant-ligatures: normal; font-variant-caps: normal; font-variant-numeric: inherit; font-variant-east-asian: inherit; font-variant-alternates: inherit; font-variant-position: inherit; font-weight: 400; font-stretch: inherit; line-height: 22px; font-family: &amp;quot;Open Sans&amp;quot;, sans-serif; font-optical-sizing: inherit; font-kerning: inherit; font-feature-settings: inherit; font-variation-settings: inherit; vertical-align: baseline; color: var(--cor-texto-secundario);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style="font-size:14px;"&gt;&lt;strong&gt;Caracteísticas:&lt;/strong&gt;&lt;/span&gt;&lt;/span&gt;&lt;/p&gt;
&lt;p style="box-sizing: border-box; margin: 4px 0px 0px; padding: 0px; border: 0px; font-style: normal; font-variant-ligatures: normal; font-variant-caps: normal; font-variant-numeric: inherit; font-variant-east-asian: inherit; font-variant-alternates: inherit; font-variant-position: inherit; font-weight: 400; font-stretch: inherit; line-height: 22px; font-family: &amp;quot;Open Sans&amp;quot;, sans-serif; font-optical-sizing: inherit; font-kerning: inherit; font-feature-settings: inherit; font-variation-settings: inherit; vertical-align: baseline; color: var(--cor-texto-secundario);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style="font-size:14px;"&gt;Marca: Yamaha&lt;br /&gt;
Modelo: NS 333&lt;br /&gt;
Impedância: 6 Ohms&lt;br /&gt;
Resposta de Frequência: 60hz - 35khz&lt;br /&gt;
Sensibilidade 87db&lt;br /&gt;
Dimensão: 20 x 32 x 21 cm (und)&lt;br /&gt;
Peso: 5,5kg (und)&lt;br /&gt;
Conteúdo: 2 Yamaha Ns-333 Bookshelf&lt;br /&gt;
&lt;br /&gt;
&lt;strong&gt;Informações adicionais:&lt;/strong&gt;&lt;/span&gt;&lt;/span&gt;&lt;/p&gt;
&lt;p style="box-sizing: border-box; margin: 4px 0px 0px; padding: 0px; border: 0px; font-style: normal; font-variant-ligatures: normal; font-variant-caps: normal; font-variant-numeric: inherit; font-variant-east-asian: inherit; font-variant-alternates: inherit; font-variant-position: inherit; font-weight: 400; font-stretch: inherit; line-height: 22px; font-family: &amp;quot;Open Sans&amp;quot;, sans-serif; font-optical-sizing: inherit; font-kerning: inherit; font-feature-settings: inherit; font-variation-settings: inherit; vertical-align: baseline; color: var(--cor-texto-secundario); letter-spacing: normal; orphans: 2; text-align: start; text-indent: 0px; text-transform: none; widows: 2; word-spacing: 0px; -webkit-text-stroke-width: 0px; white-space: normal; background-color: rgb(255, 255, 255); text-decoration-thickness: initial; text-decoration-style: initial; text-decoration-color: initial;"&gt; &lt;/p&gt;
&lt;p style="box-sizing: border-box; margin: 4px 0px 0px; padding: 0px; border: 0px; font-style: normal; font-variant-ligatures: normal; font-variant-caps: normal; font-variant-numeric: inherit; font-variant-east-asian: inherit; font-variant-alternates: inherit; font-variant-position: inherit; font-weight: 400; font-stretch: inherit; line-height: 22px; font-family: &amp;quot;Open Sans&amp;quot;, sans-serif; font-optical-sizing: inherit; font-kerning: inherit; font-feature-settings: inherit; font-variation-settings: inherit; vertical-align: baseline; color: var(--cor-texto-secundario);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style="color:#000000;"&gt;&lt;span style="font-size:14px;"&gt;&lt;span style="font-family: &amp;quot;Nunito Sans&amp;quot;,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 Tipo: 2-Vias Bass System Reflex Speaker&lt;/span&gt;&lt;br style="box-sizing: border-box; color: rgb(102, 102, 102); font-family: &amp;quot;Nunito Sans&amp;quot;, sans-serif; font-size: 14px;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/&gt;
&lt;span style="font-family: &amp;quot;Nunito Sans&amp;quot;,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 Woofers: 13 centímetros PMD cone&lt;/span&gt;&lt;br style="box-sizing: border-box; color: rgb(102, 102, 102); font-family: &amp;quot;Nunito Sans&amp;quot;, sans-serif; font-size: 14px;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/&gt;
&lt;span style="font-family: &amp;quot;Nunito Sans&amp;quot;,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 Tweeter: Cúpula de alumínio de 2,5 centímetros com Waveguide horn&lt;/span&gt;&lt;br style="box-sizing: border-box; color: rgb(102, 102, 102); font-family: &amp;quot;Nunito Sans&amp;quot;, sans-serif; font-size: 14px;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/&gt;
&lt;span style="font-family: &amp;quot;Nunito Sans&amp;quot;,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 Potência de entrada nominal: 60w&lt;/span&gt;&lt;br style="box-sizing: border-box; color: rgb(102, 102, 102); font-family: &amp;quot;Nunito Sans&amp;quot;, sans-serif; font-size: 14px;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/&gt;
&lt;span style="font-family: &amp;quot;Nunito Sans&amp;quot;,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 Potência Máxima de Entrada: 150 W&lt;/span&gt;&lt;/span&gt;&lt;/span&gt;&lt;/p&gt;
</t>
  </si>
  <si>
    <t>https://cdn.awsli.com.br/948/948321/produto/268969334/kit-5-0-yamaha-01-ns-c444-central-04-ns-333-bookshelfs-2275-fnb5utss1c.PNG</t>
  </si>
  <si>
    <t>Serra Circular com Coletor de Pó</t>
  </si>
  <si>
    <t>NZU3AF54W</t>
  </si>
  <si>
    <t>Serra Circular para Gesso</t>
  </si>
  <si>
    <t>Serra multiuso para corte redondo, muito utilizado em gesso e drywall. Tenha cortes precisos em até 30seg e ganhe tempo para mais atividades!</t>
  </si>
  <si>
    <t xml:space="preserve">&lt;p&gt;&lt;span style="font-size:14px;"&gt;&lt;strong&gt;Descrição&lt;/strong&gt;&lt;br /&gt;
Serra multiuso para corte redondo, muito utilizado em gesso e drywall. Tenha cortes precisos em até 30seg e ganhe tempo para mais atividades!&lt;/span&gt;&lt;br /&gt;
 &lt;/p&gt;
&lt;p&gt;&lt;strong&gt;&lt;span style="font-size:14px;"&gt;Características&lt;/span&gt;&lt;/strong&gt;&lt;br /&gt;
&lt;br /&gt;
&lt;span style="font-size:14px;"&gt;Diâmetro de Corte: 4cm à 30cm&lt;br /&gt;
Coletor de Pó: Acrílico&lt;br /&gt;
Uso: Em Parafusadeira&lt;br /&gt;
Acompanha: 2 pares de lâminas&lt;/span&gt;&lt;br /&gt;
&lt;br /&gt;
 &lt;/p&gt;
</t>
  </si>
  <si>
    <t>https://cdn.awsli.com.br/948/948321/produto/269307445/design-sem-nome-l1r805mryt.png</t>
  </si>
  <si>
    <t>PAR DE CAIXA ACÚSTICA BOOKSHELF - JBL STAGE 250B</t>
  </si>
  <si>
    <t>AQYEKTTV3</t>
  </si>
  <si>
    <t>CAIXA BOOKSHELF 2 VIAS JBL STAGE 250B (PAR) Caixa bookshelf de 2 vias de 130mm (5,25 pol.) Projetada em nosso mundialmente famoso Centro de Excelência em Engenharia Acústica em Northridge, Califórnia, a Stage 250B é nossa maior bookshefl da série JB.</t>
  </si>
  <si>
    <t>&lt;h2 style="box-sizing: border-box; margin: 0px 0px 15px; padding: 0px; border: 0px; font-style: normal; font-variant-ligatures: normal; font-variant-caps: normal; font-variant-numeric: inherit; font-variant-east-asian: inherit; font-variant-alternates: inherit; font-variant-position: inherit; font-weight: inherit; font-stretch: inherit; line-height: inherit; font-family: &amp;quot;Nunito Sans&amp;quot;, sans-serif; font-optical-sizing: inherit; font-kerning: inherit; font-feature-settings: inherit; font-variation-settings: inherit; font-size: 16px; vertical-align: baseline; color: rgb(105, 105, 105); letter-spacing: normal; orphans: 2; text-align: left; text-indent: 0px; text-transform: none; widows: 2; word-spacing: 0px; -webkit-text-stroke-width: 0px; white-space: normal; background-color: rgb(255, 255, 255); text-decoration-thickness: initial; text-decoration-style: initial; text-decoration-color: initial;"&gt;&lt;span style="color:#000000;"&gt;&lt;span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!important;"&gt;CAIXA BOOKSHELF 2 VIAS JBL STAGE 250B (PAR)&lt;/span&gt;&lt;br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!important;"&gt;Caixa bookshelf de 2 vias de 130mm (5,25 pol.)&lt;/span&gt;&lt;br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!important;"&gt;Projetada em nosso mundialmente famoso Centro de Excelência em Engenharia Acústica em Northridge, Califórnia, a Stage 250B é nossa maior bookshefl da série JBL Stage. Ela oferece um desempenho impressionante em uma pegada compacta. As 250Bs são versáteis o suficiente para serem usadas como caixas de som principais ou surround. Esta caixa de som torre apresenta um design de 2 vias, de guia de ondas HDI™ patenteada de nova geração, tweeter de cúpula de alumínio de 25 mm (1 pol.) e um woofer cônico de policelulose de 130 mm (5,25 pol.) que fornecem graves profundos e exclusivos da JBL.&lt;/span&gt;&lt;br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!important;"&gt;WOOFER EM CONE CANELADO DE POLICELULOSE DE 130 MM (5,25 POL.)&lt;/span&gt;&lt;br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!important;"&gt;Cada caixa da série Stage 2 apresenta woofers de cone canelados de policelulose. Este cone de polpa pura tem uma mistura exclusiva de outros materiais adicionados para melhorar sua rigidez e os frisos lembram os lendários designs da JBL. Esses woofers produzem graves profundos, precisos e que preenchem a sala.&lt;/span&gt;&lt;br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!important;"&gt;TWEETER DE ALUMÍNIO ANODIZADO DE 25MM (1POL.) EM UMA GUIA DE ONDAS HDI™ DE ÚLTIMA GERAÇÃO&lt;/span&gt;&lt;br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!important;"&gt;Por meio de intensa pesquisa de designs de guias de ondas anteriores, a JBL desenvolveu uma nova geometria complexa que melhora a diretividade, a difração reduzida e uma resposta geral de frequência neutra dentro e fora do eixo. A corneta HDI da Stage 2 é acoplada a um tweeter em cúpula de alumínio anodizado para aumentar a eficiência e a dinâmica. Este novo projeto oferece uma resposta de frequência neutra tanto no eixo quanto fora dele.&lt;/span&gt;&lt;br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!important;"&gt;CROSSOVER PRECISO DE 2 VIAS&lt;/span&gt;&lt;br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!important;"&gt;Componentes premium são usados para construir os crossovers ajustados à linha Stage 2. A seção de alta frequência apresenta indutores de núcleo de ar e capacitores mylar que reduzem a distorção e melhoram o desempenho sônico. A seção de baixa frequência inclui indutores de núcleo laminado e capacitores eletrolíticos. Esses materiais premium podem lidar com mais potência e transmitir energia com maior desempenho e velocidade.&lt;/span&gt;&lt;br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!important;"&gt;ESPECIFICAÇÕES&lt;/span&gt;&lt;br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Tipo: Sistema de caixas bookshelf&lt;/span&gt;&lt;br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Driver de baixa frequência: cone canelado de policelulose de 130 mm (5,25 pol.)&lt;/span&gt;&lt;br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Driver de alta frequência: alumínio anodizado de 25mm (1 pol.)&lt;/span&gt;&lt;br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Guia de ondas: Nova geração de HDI™&lt;/span&gt;&lt;br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Potência recomendada do amplificador: 20 a 150 W&lt;/span&gt;&lt;br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Resposta de frequência ± 6dB: 50Hz a 25kHz&lt;/span&gt;&lt;br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Sensibilidade de 1 M, 2,83 V: 86 dB&lt;/span&gt;&lt;br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Impedância nominal: 6 Ohms&lt;/span&gt;&lt;br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Frequências de crossover: 1,7 Khz&lt;/span&gt;&lt;br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Afinamento do gabinete: Bass-Reflex via duplo duto traseiro sintonizado&lt;/span&gt;&lt;br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Acabamento: Espresso&lt;/span&gt;&lt;br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Dimensões (AxLxP): 353 mm x 535 mm x 438 mm (12,6 pol. x 7,9 pol. x 9,5 pol.)&lt;/span&gt;&lt;br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Peso do produto: 5,6 kg (12,4 lb)&lt;/span&gt;&lt;br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Peso de envio: 13,6 kg (30,0 lb)&lt;/span&gt;&lt;br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Qual o conteúdo da caixa?&lt;/span&gt;&lt;br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!important;"&gt;2x Bookshelf 250B&lt;/span&gt;&lt;br style="margin: 0px; padding: 0px; box-sizing: border-box; color: rgb(255, 255, 255); font-family: Montserrat; font-size: 15px; font-style: normal; font-variant-ligatures: normal; font-variant-caps: normal; font-weight: 400; letter-spaci</t>
  </si>
  <si>
    <t>https://cdn.awsli.com.br/948/948321/produto/269547643/11-bp4bel615z.jpg</t>
  </si>
  <si>
    <t>https://cdn.awsli.com.br/948/948321/produto/269547643/13-aglg67vkhm.jpg</t>
  </si>
  <si>
    <t>https://cdn.awsli.com.br/948/948321/produto/269547643/12-g2z9m3vedf.jpg</t>
  </si>
  <si>
    <t>CENTRAL DE ASPIRAÇÃO - AS530V ASPIRVAC</t>
  </si>
  <si>
    <t>KEAPH7KEU</t>
  </si>
  <si>
    <t xml:space="preserve">&lt;p class="descricao-titulo padrao-desc" style="margin-top: 0px; margin-right: 0px; margin-left: 0px; padding: 0px 0px 10px; border-bottom: 2px solid rgb(239, 239, 239); line-height: inherit;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margin-bottom: 30px !important;"&gt;&lt;span style="font-size:16px;"&gt;&lt;span style="margin: 0px; padding: 0px; 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!important;"&gt;A AS530V ASPIRVAC pode ter até 7 Pontos, com distância máxima de 25m. A AS530V é a opção mais compacta da Aspirvac, trazendo praticidade e eficiência para cuidar da sua casa!&lt;/span&gt;&lt;/span&gt;&lt;/p&gt;
&lt;div class="box-descricao" style="margin: 0px; padding: 0px;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&lt;div class="span12" style="margin: 0px; padding: 0px; width: 1140px; float: left; min-height: 30px; display: block; box-sizing: border-box;"&gt;
&lt;div class="abas-custom" style="margin: 0px; padding: 0px;"&gt;
&lt;div class="tab-content" style="margin: 0px; padding: 0px; overflow: auto; box-shadow: none;"&gt;
&lt;div class="tab-pane active" id="descricao" itemprop="description" style="margin: 0px; padding: 0px; display: block;"&gt;
&lt;p style="margin: 0px 0px 10px; padding: 0px;"&gt;&lt;span style="font-size:16px;"&gt;&lt;span style="margin: 0px; padding: 0px;"&gt;&lt;span style="margin: 0px; padding: 0px; 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!important;"&gt;&lt;strong style="margin: 0px; padding: 0px; font-weight: bold;"&gt;CARACTERISTICAS&lt;/strong&gt;&lt;/span&gt;&lt;/span&gt;&lt;/span&gt;&lt;br style="margin: 0px; padding: 0px;" /&gt;
 &lt;/p&gt;
&lt;p style="margin: 0px 0px 10px; padding: 0px; line-height: 1.38;"&gt; &lt;/p&gt;
&lt;div&gt;
&lt;p width="198"&gt; &lt;/p&gt;
&lt;p width="104"&gt; &lt;/p&gt;
&lt;table style="border:none; border-collapse:collapse" width="302"&gt;
	&lt;colgroup&gt;
	&lt;/colgroup&gt;
	&lt;tbody&gt;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style="text-decoration:none"&gt;Alimentação (V)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style="text-decoration:none"&gt;220 &lt;/span&gt;&lt;/span&gt;&lt;/span&gt;&lt;/span&gt;&lt;/span&gt;&lt;/span&gt;&lt;/span&gt;&lt;/span&gt;&lt;/span&gt;&lt;/p&gt;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style="text-decoration:none"&gt;Potência (W)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style="text-decoration:none"&gt;1550 &lt;/span&gt;&lt;/span&gt;&lt;/span&gt;&lt;/span&gt;&lt;/span&gt;&lt;/span&gt;&lt;/span&gt;&lt;/span&gt;&lt;/span&gt;&lt;/p&gt;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style="text-decoration:none"&gt;Material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style="text-decoration:none"&gt;Plástico &lt;/span&gt;&lt;/span&gt;&lt;/span&gt;&lt;/span&gt;&lt;/span&gt;&lt;/span&gt;&lt;/span&gt;&lt;/span&gt;&lt;/span&gt;&lt;/p&gt;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style="text-decoration:none"&gt;Motor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style="text-decoration:none"&gt;Thru-Flow &lt;/span&gt;&lt;/span&gt;&lt;/span&gt;&lt;/span&gt;&lt;/span&gt;&lt;/span&gt;&lt;/span&gt;&lt;/span&gt;&lt;/span&gt;&lt;/p&gt;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style="text-decoration:none"&gt;Marca do motor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style="text-decoration:none"&gt;Domel &lt;/span&gt;&lt;/span&gt;&lt;/span&gt;&lt;/span&gt;&lt;/span&gt;&lt;/span&gt;&lt;/span&gt;&lt;/span&gt;&lt;/span&gt;&lt;/p&gt;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style="text-decoration:none"&gt;Turbinas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style="text-decoration:none"&gt;01 &lt;/span&gt;&lt;/span&gt;&lt;/span&gt;&lt;/span&gt;&lt;/span&gt;&lt;/span&gt;&lt;/span&gt;&lt;/span&gt;&lt;/span&gt;&lt;/p&gt;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style="text-decoration:none"&gt;AirWatts (W)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style="text-decoration:none"&gt;582 &lt;/span&gt;&lt;/span&gt;&lt;/span&gt;&lt;/span&gt;&lt;/span&gt;&lt;/span&gt;&lt;/span&gt;&lt;/span&gt;&lt;/span&gt;&lt;/p&gt;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style="text-decoration:none"&gt;Depressão (mm/H2O)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style="text-decoration:none"&gt;3100 &lt;/span&gt;&lt;/span&gt;&lt;/span&gt;&lt;/span&gt;&lt;/span&gt;&lt;/span&gt;&lt;/span&gt;&lt;/span&gt;&lt;/span&gt;&lt;/p&gt;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style="text-decoration:none"&gt;Tipo de filtro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style="text-decoration:none"&gt;Saco &lt;/span&gt;&lt;/span&gt;&lt;/span&gt;&lt;/span&gt;&lt;/span&gt;&lt;/span&gt;&lt;/span&gt;&lt;/span&gt;&lt;/span&gt;&lt;/p&gt;
			&lt;p style="line-height: 1.2; text-align: center;"&gt;&lt;strong&gt;&lt;span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style="text-decoration:none"&gt;descartável&lt;/span&gt;&lt;/span&gt;&lt;/span&gt;&lt;/span&gt;&lt;/span&gt;&lt;/span&gt;&lt;/span&gt;&lt;/span&gt;&lt;/span&gt;&lt;/strong&gt;&lt;/p&gt;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style="text-decoration:none"&gt;Dimensões do filtro (A x Ø)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style="text-decoration:none"&gt;54 x 25 cm &lt;/span&gt;&lt;/span&gt;&lt;/span&gt;&lt;/span&gt;&lt;/span&gt;&lt;/span&gt;&lt;/span&gt;&lt;/span&gt;&lt;/span&gt;&lt;/p&gt;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style="text-decoration:none"&gt;Altura (mm)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style="text-decoration:none"&gt;490 &lt;/span&gt;&lt;/span&gt;&lt;/span&gt;&lt;/span&gt;&lt;/span&gt;&lt;/span&gt;&lt;/span&gt;&lt;/span&gt;&lt;/span&gt;&lt;/p&gt;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style="text-decoration:none"&gt;Diâmetro (mm)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style="text-decoration:none"&gt;300 &lt;/span&gt;&lt;/span&gt;&lt;/span&gt;&lt;/span&gt;&lt;/span&gt;&lt;/span&gt;&lt;/span&gt;&lt;/span&gt;&lt;/span&gt;&lt;/p&gt;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style="text-decoration:none"&gt;Depósito (L)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style="text-decoration:none"&gt;12 &lt;/span&gt;&lt;/span&gt;&lt;/span&gt;&lt;/span&gt;&lt;/span&gt;&lt;/span&gt;&lt;/span&gt;&lt;/span&gt;&lt;/span&gt;&lt;/p&gt;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style="text-decoration:none"&gt;Ligação à rede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style="text-decoration:none"&gt;Lado esquerdo &lt;/span&gt;&lt;/span&gt;&lt;/span&gt;&lt;/span&gt;&lt;/span&gt;&lt;/span&gt;&lt;/span&gt;&lt;/span&gt;&lt;/span&gt;&lt;/p&gt;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style="text-decoration:none"&gt;Saída de ar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style="text-decoration:none"&gt;Lado direito &lt;/span&gt;&lt;/span&gt;&lt;/span&gt;&lt;/span&gt;&lt;/span&gt;&lt;/span&gt;&lt;/span&gt;&lt;/span&gt;&lt;/span&gt;&lt;/p&gt;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style="text-decoration:none"&gt;Distância máxima tomada (m)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style="text-decoration:none"&gt;25 &lt;/span&gt;&lt;/span&gt;&lt;/span&gt;&lt;/span&gt;&lt;/span&gt;&lt;/span&gt;&lt;/span&gt;&lt;/span&gt;&lt;/span&gt;&lt;/p&gt;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 1.2; text-align: center;"&gt;&lt;span style="font-size:16px;"&gt;&lt;span style="overflow:hidden"&gt;&lt;span style="overflow-wrap:break-word"&gt;&lt;span style="font-variant: normal; white-space: pre-wrap;"&gt;&lt;span style="font-family:Arial,sans-serif"&gt;&lt;span style="color:#000000"&gt;&lt;span style="font-weight:700"&gt;&lt;span style="font-style:normal"&gt;&lt;span style="text-decoration:none"&gt;Número de tomadas &lt;/span&gt;&lt;/span&gt;&lt;/span&gt;&lt;/span&gt;&lt;/span&gt;&lt;/span&gt;&lt;/span&gt;&lt;/span&gt;&lt;/span&gt;&lt;/p&gt;
			&lt;/td&gt;
			&lt;td style="border-bottom:1px solid #000000; vertical-align:top; padding:7px 7px 7px 7px; border-top:1px solid #000000; border-right:1px solid #000000; border-left:1px solid #000000; width:104px"&gt;
			&lt;p style="line-height: 1.2; text-align: center;"&gt;&lt;span style="font-size:16px;"&gt;&lt;span style="overflow:hidden"&gt;&lt;span style="overflow-wrap:break-word"&gt;&lt;span style="font-variant: normal; white-space: pre-wrap;"&gt;&lt;span style="font-family:Arial,sans-serif"&gt;&lt;span style="color:#000000"&gt;&lt;span style="font-weight:400"&gt;&lt;span style="font-style:normal"&gt;&lt;span style="text-decoration:none"&gt;6/7 &lt;/span&gt;&lt;/span&gt;&lt;/span&gt;&lt;/span&gt;&lt;/span&gt;&lt;/span&gt;&lt;/span&gt;&lt;/span&gt;&lt;/span&gt;&lt;/p&gt;
			&lt;/td&gt;
		&lt;/tr&gt;
	&lt;/tbody&gt;
&lt;/table&gt;
&lt;/div&gt;
&lt;p&gt; &lt;/p&gt;
&lt;p style="margin: 0px 0px 10px; padding: 0px;"&gt;&lt;br /&gt;
 &lt;/p&gt;
&lt;/div&gt;
&lt;/div&gt;
&lt;/div&gt;
&lt;/div&gt;
&lt;/div&gt;
</t>
  </si>
  <si>
    <t>aspirvac</t>
  </si>
  <si>
    <t>https://cdn.awsli.com.br/948/948321/produto/290325601/as-530-c-val-0awp1574wb.png</t>
  </si>
  <si>
    <t>CENTRAL DE ASPIRAÇÃO - AS230 ASPIRVAC</t>
  </si>
  <si>
    <t>KEAPH7KEU-GIMHUSTHE</t>
  </si>
  <si>
    <t xml:space="preserve">&lt;p class="descricao-titulo padrao-desc" style="margin-top: 0px; margin-right: 0px; margin-left: 0px; padding: 0px 0px 10px; border-bottom: 2px solid rgb(239, 239, 239); line-height: inherit;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margin-bottom: 30px !important;"&gt;&lt;span style="font-size:16px;"&gt;&lt;span style="margin: 0px; padding: 0px; 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!important;"&gt;A AS230 ASPIRVAC pode ter até 14 Pontos, com distância máxima de 50m. A AS230 é uma opção potente e compacta da Aspirvac, trazendo praticidade e eficiência para cuidar da sua casa!&lt;/span&gt;&lt;/span&gt;&lt;/p&gt;
&lt;div class="box-descricao" style="margin: 0px; padding: 0px;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&lt;div class="span12" style="margin: 0px; padding: 0px; width: 1140px; float: left; min-height: 30px; display: block; box-sizing: border-box;"&gt;
&lt;div class="abas-custom" style="margin: 0px; padding: 0px;"&gt;
&lt;div class="tab-content" style="margin: 0px; padding: 0px; overflow: auto; box-shadow: none;"&gt;
&lt;div class="tab-pane active" id="descricao" itemprop="description" style="margin: 0px; padding: 0px; display: block;"&gt;
&lt;p style="margin: 0px 0px 10px; padding: 0px;"&gt;&lt;span style="font-size:16px;"&gt;&lt;span style="margin: 0px; padding: 0px;"&gt;&lt;span style="margin: 0px; padding: 0px; 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!important;"&gt;&lt;strong style="margin: 0px; padding: 0px; font-weight: bold;"&gt;CARACTERISTICAS&lt;/strong&gt;&lt;/span&gt;&lt;/span&gt;&lt;/span&gt;&lt;br style="margin: 0px; padding: 0px;" /&gt;
 &lt;/p&gt;
&lt;div&gt;
&lt;table style="border:none; border-collapse:collapse" width="311"&gt;
	&lt;colgroup&gt;
		&lt;col width="198" /&gt;
		&lt;col width="113" /&gt;
	&lt;/colgroup&gt;
	&lt;tbody&gt;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style="text-decoration:none"&gt;Alimentação (V)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style="text-decoration:none"&gt;220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style="text-decoration:none"&gt;Potência (W)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style="text-decoration:none"&gt;1750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style="text-decoration:none"&gt;Material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style="text-decoration:none"&gt;Plástico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style="text-decoration:none"&gt;Motor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style="text-decoration:none"&gt;Thru-Flow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style="text-decoration:none"&gt;Marca do motor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style="text-decoration:none"&gt;Domel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style="text-decoration:none"&gt;Turbinas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style="text-decoration:none"&gt;02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style="text-decoration:none"&gt;AirWatts (W)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style="text-decoration:none"&gt;618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style="text-decoration:none"&gt;Depressão (mm/H2O)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style="text-decoration:none"&gt;3500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style="text-decoration:none"&gt;Tipo de filtro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style="text-decoration:none"&gt;Filtro HEPA &lt;/span&gt;&lt;/span&gt;&lt;/span&gt;&lt;/span&gt;&lt;/span&gt;&lt;/span&gt;&lt;/span&gt;&lt;/span&gt;&lt;/p&gt;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style="text-decoration:none"&gt;lavável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style="text-decoration:none"&gt;Dimensões do filtro (A x Ø)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style="text-decoration:none"&gt;200 x 130 mm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style="text-decoration:none"&gt;Altura (mm)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style="text-decoration:none"&gt;795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style="text-decoration:none"&gt;Diâmetro (mm)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style="text-decoration:none"&gt;300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style="text-decoration:none"&gt;Depósito (L)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style="text-decoration:none"&gt;17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style="text-decoration:none"&gt;Ligação à rede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style="text-decoration:none"&gt;Lado direito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style="text-decoration:none"&gt;Saída de ar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style="text-decoration:none"&gt;Lado esquerdo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style="text-decoration:none"&gt;Distância máxima tomada (m)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style="text-decoration:none"&gt;50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style="text-decoration:none"&gt;Número de tomadas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style="text-decoration:none"&gt;12/14 &lt;/span&gt;&lt;/span&gt;&lt;/span&gt;&lt;/span&gt;&lt;/span&gt;&lt;/span&gt;&lt;/span&gt;&lt;/span&gt;&lt;/p&gt;
			&lt;/td&gt;
		&lt;/tr&gt;
	&lt;/tbody&gt;
&lt;/table&gt;
&lt;/div&gt;
&lt;/div&gt;
&lt;/div&gt;
&lt;/div&gt;
&lt;/div&gt;
&lt;/div&gt;
</t>
  </si>
  <si>
    <t>https://cdn.awsli.com.br/948/948321/produto/290328523/as230--1--um3n15e43t.jpg</t>
  </si>
  <si>
    <t>CENTRAL DE ASPIRAÇÃO - AS350 ASPIRVAC</t>
  </si>
  <si>
    <t>KEAPH7KEU-GIMHUSTHE-22IEM7EFU</t>
  </si>
  <si>
    <t xml:space="preserve">&lt;p class="descricao-titulo padrao-desc" style="margin-top: 0px; margin-right: 0px; margin-left: 0px; padding: 0px 0px 10px; border-bottom: 2px solid rgb(239, 239, 239); line-height: inherit;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margin-bottom: 30px !important;"&gt;&lt;span style="font-size:16px;"&gt;&lt;span style="margin: 0px; padding: 0px; 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!important;"&gt;A AS350 ASPIRVAC pode ter até 12 Pontos, com distância máxima de 40m. A AS350 é uma opção para trazer praticidade e eficiência nocuidado da sua casa!&lt;/span&gt;&lt;/span&gt;&lt;/p&gt;
&lt;div class="box-descricao" style="margin: 0px; padding: 0px;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&lt;div class="span12" style="margin: 0px; padding: 0px; width: 1140px; float: left; min-height: 30px; display: block; box-sizing: border-box;"&gt;
&lt;div class="abas-custom" style="margin: 0px; padding: 0px;"&gt;
&lt;div class="tab-content" style="margin: 0px; padding: 0px; overflow: auto; box-shadow: none;"&gt;
&lt;div class="tab-pane active" id="descricao" itemprop="description" style="margin: 0px; padding: 0px; display: block;"&gt;
&lt;p style="margin: 0px 0px 10px; padding: 0px;"&gt;&lt;span style="font-size:16px;"&gt;&lt;span style="margin: 0px; padding: 0px;"&gt;&lt;span style="margin: 0px; padding: 0px; 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!important;"&gt;&lt;strong style="margin: 0px; padding: 0px; font-weight: bold;"&gt;CARACTERISTICAS&lt;/strong&gt;&lt;/span&gt;&lt;/span&gt;&lt;/span&gt;&lt;br style="margin: 0px; padding: 0px;" /&gt;
&lt;br /&gt;
 &lt;/p&gt;
&lt;div&gt;
&lt;table style="border:none; border-collapse:collapse" width="302"&gt;
	&lt;colgroup&gt;
		&lt;col width="198" /&gt;
		&lt;col width="104" /&gt;
	&lt;/colgroup&gt;
	&lt;tbody&gt;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style="text-decoration:none"&gt;Alimentação (V)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style="text-decoration:none"&gt;220&lt;/span&gt;&lt;/span&gt;&lt;/span&gt;&lt;/span&gt;&lt;/span&gt;&lt;/span&gt;&lt;/span&gt;&lt;/span&gt;&lt;/p&gt;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style="text-decoration:none"&gt;Potência (W)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style="text-decoration:none"&gt;2100&lt;/span&gt;&lt;/span&gt;&lt;/span&gt;&lt;/span&gt;&lt;/span&gt;&lt;/span&gt;&lt;/span&gt;&lt;/span&gt;&lt;/p&gt;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style="text-decoration:none"&gt;Material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style="text-decoration:none"&gt;Plástico&lt;/span&gt;&lt;/span&gt;&lt;/span&gt;&lt;/span&gt;&lt;/span&gt;&lt;/span&gt;&lt;/span&gt;&lt;/span&gt;&lt;/p&gt;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style="text-decoration:none"&gt;Motor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style="text-decoration:none"&gt;Thru-Flow&lt;/span&gt;&lt;/span&gt;&lt;/span&gt;&lt;/span&gt;&lt;/span&gt;&lt;/span&gt;&lt;/span&gt;&lt;/span&gt;&lt;/p&gt;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style="text-decoration:none"&gt;Marca do motor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style="text-decoration:none"&gt;Domel&lt;/span&gt;&lt;/span&gt;&lt;/span&gt;&lt;/span&gt;&lt;/span&gt;&lt;/span&gt;&lt;/span&gt;&lt;/span&gt;&lt;/p&gt;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style="text-decoration:none"&gt;Turbinas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style="text-decoration:none"&gt;01&lt;/span&gt;&lt;/span&gt;&lt;/span&gt;&lt;/span&gt;&lt;/span&gt;&lt;/span&gt;&lt;/span&gt;&lt;/span&gt;&lt;/p&gt;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style="text-decoration:none"&gt;AirWatts (W)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style="text-decoration:none"&gt;832&lt;/span&gt;&lt;/span&gt;&lt;/span&gt;&lt;/span&gt;&lt;/span&gt;&lt;/span&gt;&lt;/span&gt;&lt;/span&gt;&lt;/p&gt;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style="text-decoration:none"&gt;Depressão (mm/H2O)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style="text-decoration:none"&gt;3900&lt;/span&gt;&lt;/span&gt;&lt;/span&gt;&lt;/span&gt;&lt;/span&gt;&lt;/span&gt;&lt;/span&gt;&lt;/span&gt;&lt;/p&gt;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style="text-decoration:none"&gt;Tipo de filtro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style="text-decoration:none"&gt;Filtro HEPA &lt;/span&gt;&lt;/span&gt;&lt;/span&gt;&lt;/span&gt;&lt;/span&gt;&lt;/span&gt;&lt;/span&gt;&lt;/span&gt;&lt;/p&gt;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style="text-decoration:none"&gt;lavável&lt;/span&gt;&lt;/span&gt;&lt;/span&gt;&lt;/span&gt;&lt;/span&gt;&lt;/span&gt;&lt;/span&gt;&lt;/span&gt;&lt;/p&gt;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style="text-decoration:none"&gt;Dimensões do filtro (A x Ø)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style="text-decoration:none"&gt;200 x 130 mm&lt;/span&gt;&lt;/span&gt;&lt;/span&gt;&lt;/span&gt;&lt;/span&gt;&lt;/span&gt;&lt;/span&gt;&lt;/span&gt;&lt;/p&gt;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style="text-decoration:none"&gt;Altura (mm)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style="text-decoration:none"&gt;800&lt;/span&gt;&lt;/span&gt;&lt;/span&gt;&lt;/span&gt;&lt;/span&gt;&lt;/span&gt;&lt;/span&gt;&lt;/span&gt;&lt;/p&gt;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style="text-decoration:none"&gt;Diâmetro (mm)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style="text-decoration:none"&gt;300&lt;/span&gt;&lt;/span&gt;&lt;/span&gt;&lt;/span&gt;&lt;/span&gt;&lt;/span&gt;&lt;/span&gt;&lt;/span&gt;&lt;/p&gt;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style="text-decoration:none"&gt;Depósito (L)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style="text-decoration:none"&gt;17&lt;/span&gt;&lt;/span&gt;&lt;/span&gt;&lt;/span&gt;&lt;/span&gt;&lt;/span&gt;&lt;/span&gt;&lt;/span&gt;&lt;/p&gt;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style="text-decoration:none"&gt;Ligação à rede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style="text-decoration:none"&gt;Lado direito&lt;/span&gt;&lt;/span&gt;&lt;/span&gt;&lt;/span&gt;&lt;/span&gt;&lt;/span&gt;&lt;/span&gt;&lt;/span&gt;&lt;/p&gt;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style="text-decoration:none"&gt;Saída de ar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style="text-decoration:none"&gt;Lado esquerdo&lt;/span&gt;&lt;/span&gt;&lt;/span&gt;&lt;/span&gt;&lt;/span&gt;&lt;/span&gt;&lt;/span&gt;&lt;/span&gt;&lt;/p&gt;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style="text-decoration:none"&gt;Distância máxima tomada (m)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style="text-decoration:none"&gt;40&lt;/span&gt;&lt;/span&gt;&lt;/span&gt;&lt;/span&gt;&lt;/span&gt;&lt;/span&gt;&lt;/span&gt;&lt;/span&gt;&lt;/p&gt;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style="text-decoration:none"&gt;Número de tomadas &lt;/span&gt;&lt;/span&gt;&lt;/span&gt;&lt;/span&gt;&lt;/span&gt;&lt;/span&gt;&lt;/span&gt;&lt;/span&gt;&lt;/p&gt;
			&lt;/td&gt;
			&lt;td style="border-bottom:1px solid #000000; vertical-align:top; padding:7px 7px 7px 7px; border-top:1px solid #000000; border-right:1px solid #000000; border-left:1px solid #000000; width:104px"&gt;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style="text-decoration:none"&gt;10/12&lt;/span&gt;&lt;/span&gt;&lt;/span&gt;&lt;/span&gt;&lt;/span&gt;&lt;/span&gt;&lt;/span&gt;&lt;/span&gt;&lt;/p&gt;
			&lt;/td&gt;
		&lt;/tr&gt;
	&lt;/tbody&gt;
&lt;/table&gt;
&lt;/div&gt;
&lt;/div&gt;
&lt;/div&gt;
&lt;/div&gt;
&lt;/div&gt;
&lt;/div&gt;
</t>
  </si>
  <si>
    <t>https://cdn.awsli.com.br/948/948321/produto/290334064/as350-0tthmo9mn7.jpg</t>
  </si>
  <si>
    <t>CENTRAL DE ASPIRAÇÃO - AS530 ASPIRVAC</t>
  </si>
  <si>
    <t>KEAPH7KEU-GIMHUSTHE-QLBE7E74I</t>
  </si>
  <si>
    <t xml:space="preserve">&lt;p class="descricao-titulo padrao-desc" style="margin-top: 0px; margin-right: 0px; margin-left: 0px; padding: 0px 0px 10px; border-bottom: 2px solid rgb(239, 239, 239); line-height: inherit;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margin-bottom: 30px !important;"&gt;&lt;span style="font-size:16px;"&gt;&lt;span style="margin: 0px; padding: 0px; 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!important;"&gt;A AS530 ASPIRVAC pode ter até 7 Pontos, com distância máxima de 25m. A AS530 é uma opção para trazer praticidade e eficiência para cuidar da sua casa!&lt;/span&gt;&lt;/span&gt;&lt;/p&gt;
&lt;div class="box-descricao" style="margin: 0px; padding: 0px;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&lt;div class="span12" style="margin: 0px; padding: 0px; width: 1140px; float: left; min-height: 30px; display: block; box-sizing: border-box;"&gt;
&lt;div class="abas-custom" style="margin: 0px; padding: 0px;"&gt;
&lt;div class="tab-content" style="margin: 0px; padding: 0px; overflow: auto; box-shadow: none;"&gt;
&lt;div class="tab-pane active" id="descricao" itemprop="description" style="margin: 0px; padding: 0px; display: block;"&gt;
&lt;p style="margin: 0px 0px 10px; padding: 0px;"&gt;&lt;span style="font-size:16px;"&gt;&lt;span style="margin: 0px; padding: 0px;"&gt;&lt;span style="margin: 0px; padding: 0px; 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!important;"&gt;&lt;strong style="margin: 0px; padding: 0px; font-weight: bold;"&gt;CARACTERISTICAS&lt;/strong&gt;&lt;/span&gt;&lt;/span&gt;&lt;/span&gt;&lt;br style="margin: 0px; padding: 0px;" /&gt;
&lt;br /&gt;
 &lt;/p&gt;
&lt;div style="margin-left:28px"&gt;
&lt;table style="border:none; border-collapse:collapse" width="314"&gt;
	&lt;colgroup&gt;
		&lt;col width="201" /&gt;
		&lt;col width="113" /&gt;
	&lt;/colgroup&gt;
	&lt;tbody&gt;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style="text-decoration:none"&gt;Alimentação (V)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style="text-decoration:none"&gt;220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style="text-decoration:none"&gt;Potência (W)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style="text-decoration:none"&gt;1550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style="text-decoration:none"&gt;Material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style="text-decoration:none"&gt;Plástico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style="text-decoration:none"&gt;Motor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style="text-decoration:none"&gt;Thru-Flow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style="text-decoration:none"&gt;Marca do motor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style="text-decoration:none"&gt;Domel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style="text-decoration:none"&gt;Turbinas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style="text-decoration:none"&gt;01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style="text-decoration:none"&gt;AirWatts (W)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style="text-decoration:none"&gt;582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style="text-decoration:none"&gt;Depressão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style="text-decoration:none"&gt;3100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style="text-decoration:none"&gt;Filtro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style="text-decoration:none"&gt;Saco &lt;/span&gt;&lt;/span&gt;&lt;/span&gt;&lt;/span&gt;&lt;/span&gt;&lt;/span&gt;&lt;/span&gt;&lt;/span&gt;&lt;/p&gt;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style="text-decoration:none"&gt;descartável&lt;/span&gt;&lt;/span&gt;&lt;/span&gt;&lt;/span&gt;&lt;/span&gt;&lt;/span&gt;&lt;/span&gt;&lt;/span&gt;&lt;/p&gt;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style="text-decoration:none"&gt;Dimensões do filtro (A x Ø)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style="text-decoration:none"&gt;54 x 25 cm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style="text-decoration:none"&gt;Altura (mm)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style="text-decoration:none"&gt;490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style="text-decoration:none"&gt;Diâmetro (mm)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style="text-decoration:none"&gt;300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style="text-decoration:none"&gt;Depósito (L)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style="text-decoration:none"&gt;12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style="text-decoration:none"&gt;Ligação à rede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style="text-decoration:none"&gt;Lado esquerdo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style="text-decoration:none"&gt;Saída de ar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style="text-decoration:none"&gt;Lado direito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style="text-decoration:none"&gt;Distância máxima tomada (m)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style="text-decoration:none"&gt;25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style="text-decoration:none"&gt;Número de tomadas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style="text-decoration:none"&gt;6/7 &lt;/span&gt;&lt;/span&gt;&lt;/span&gt;&lt;/span&gt;&lt;/span&gt;&lt;/span&gt;&lt;/span&gt;&lt;/span&gt;&lt;/p&gt;
			&lt;/td&gt;
		&lt;/tr&gt;
	&lt;/tbody&gt;
&lt;/table&gt;
&lt;/div&gt;
&lt;/div&gt;
&lt;/div&gt;
&lt;/div&gt;
&lt;/div&gt;
&lt;/div&gt;
</t>
  </si>
  <si>
    <t>https://cdn.awsli.com.br/948/948321/produto/290585593/as-530-s-val-v3prufr2jd.png</t>
  </si>
  <si>
    <t>CENTRAL DE ASPIRAÇÃO - AS240 ASPIRVAC</t>
  </si>
  <si>
    <t>KEAPH7KEU-GIMHUSTHE-QLBE7E74I-7JT56X7P8</t>
  </si>
  <si>
    <t xml:space="preserve">&lt;p class="descricao-titulo padrao-desc" style="margin-top: 0px; margin-right: 0px; margin-left: 0px; padding: 0px 0px 10px; border-bottom: 2px solid rgb(239, 239, 239); line-height: inherit;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margin-bottom: 30px !important;"&gt;&lt;span style="font-size:16px;"&gt;&lt;span style="margin: 0px; padding: 0px; 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!important;"&gt;A AS240 ASPIRVAC pode ter até 10 Pontos, com distância máxima de 35m. A AS240 é uma opção para trazer praticidade e eficiência para cuidar da sua casa!&lt;/span&gt;&lt;/span&gt;&lt;/p&gt;
&lt;div class="box-descricao" style="margin: 0px; padding: 0px;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&lt;div class="span12" style="margin: 0px; padding: 0px; width: 1140px; float: left; min-height: 30px; display: block; box-sizing: border-box;"&gt;
&lt;div class="abas-custom" style="margin: 0px; padding: 0px;"&gt;
&lt;div class="tab-content" style="margin: 0px; padding: 0px; overflow: auto; box-shadow: none;"&gt;
&lt;div class="tab-pane active" id="descricao" itemprop="description" style="margin: 0px; padding: 0px; display: block;"&gt;
&lt;p style="margin: 0px 0px 10px; padding: 0px;"&gt;&lt;span style="font-size:16px;"&gt;&lt;span style="margin: 0px; padding: 0px;"&gt;&lt;span style="margin: 0px; padding: 0px; 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!important;"&gt;&lt;strong style="margin: 0px; padding: 0px; font-weight: bold;"&gt;CARACTERISTICAS&lt;/strong&gt;&lt;/span&gt;&lt;/span&gt;&lt;/span&gt;&lt;br style="margin: 0px; padding: 0px;" /&gt;
 &lt;/p&gt;
&lt;div style="margin-left:28px"&gt;
&lt;table style="border:none; border-collapse:collapse" width="314"&gt;
	&lt;colgroup&gt;
		&lt;col width="201" /&gt;
		&lt;col width="113" /&gt;
	&lt;/colgroup&gt;
	&lt;tbody&gt;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style="text-decoration:none"&gt;Alimentação (V)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style="text-decoration:none"&gt;220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style="text-decoration:none"&gt;Potência (W)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style="text-decoration:none"&gt;1750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style="text-decoration:none"&gt;Material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style="text-decoration:none"&gt;Plástico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style="text-decoration:none"&gt;Motor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style="text-decoration:none"&gt;Thru- Flow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style="text-decoration:none"&gt;Marca do motor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style="text-decoration:none"&gt;Domel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style="text-decoration:none"&gt;Turbinas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style="text-decoration:none"&gt;01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style="text-decoration:none"&gt;AirWatts (W)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style="text-decoration:none"&gt;550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style="text-decoration:none"&gt;Depressão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style="text-decoration:none"&gt;3650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style="text-decoration:none"&gt;Filtro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style="text-decoration:none"&gt;Filtro HEPA &lt;/span&gt;&lt;/span&gt;&lt;/span&gt;&lt;/span&gt;&lt;/span&gt;&lt;/span&gt;&lt;/span&gt;&lt;/span&gt;&lt;/p&gt;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style="text-decoration:none"&gt;lavável&lt;/span&gt;&lt;/span&gt;&lt;/span&gt;&lt;/span&gt;&lt;/span&gt;&lt;/span&gt;&lt;/span&gt;&lt;/span&gt;&lt;/p&gt;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style="text-decoration:none"&gt;Dimensões do filtro (A x Ø)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style="text-decoration:none"&gt;140 x 130 mm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style="text-decoration:none"&gt;Altura (mm)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style="text-decoration:none"&gt;795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style="text-decoration:none"&gt;Diâmetro (mm)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style="text-decoration:none"&gt;300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style="text-decoration:none"&gt;Depósito (L)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style="text-decoration:none"&gt;17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style="text-decoration:none"&gt;Ligação à rede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style="text-decoration:none"&gt;Lado direito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style="text-decoration:none"&gt;Saída de ar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style="text-decoration:none"&gt;Lado esquerdo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style="text-decoration:none"&gt;Distância máxima tomada (m)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style="text-decoration:none"&gt;35 &lt;/span&gt;&lt;/span&gt;&lt;/span&gt;&lt;/span&gt;&lt;/span&gt;&lt;/span&gt;&lt;/span&gt;&lt;/span&gt;&lt;/p&gt;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style="text-decoration:none"&gt;Número de tomadas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style="text-decoration:none"&gt;8/10 &lt;/span&gt;&lt;/span&gt;&lt;/span&gt;&lt;/span&gt;&lt;/span&gt;&lt;/span&gt;&lt;/span&gt;&lt;/span&gt;&lt;/p&gt;
			&lt;/td&gt;
		&lt;/tr&gt;
	&lt;/tbody&gt;
&lt;/table&gt;
&lt;/div&gt;
&lt;/div&gt;
&lt;/div&gt;
&lt;/div&gt;
&lt;/div&gt;
&lt;/div&gt;
</t>
  </si>
  <si>
    <t>https://cdn.awsli.com.br/948/948321/produto/290586211/as240-j5vp2yfo22.jpg</t>
  </si>
  <si>
    <t>Desumidificador de Armário - Cabo Calefator</t>
  </si>
  <si>
    <t>2FJZ49MN2</t>
  </si>
  <si>
    <t xml:space="preserve">&lt;p&gt;&lt;span style="font-size:16px;"&gt;&lt;strong&gt;&lt;span style="color:#e74c3c;"&gt;PRODUTO SOB ENCOMENDA - VENDIDO POR METRO LINEAR, ENTRE EM CONTATO PARA MAIS INFORMAÇÕES! &lt;/span&gt;&lt;br /&gt;
&lt;br /&gt;
Desumidificador de Armário com Tecnologia de Cabo Calefator&lt;/strong&gt;&lt;/span&gt;&lt;/p&gt;
&lt;p&gt;&lt;span style="font-size:16px;"&gt;Diga adeus ao mofo, à umidade e aos danos causados pelo excesso de umidade nos seus armários com o &lt;strong&gt;Desumidificador de Armário com Tecnologia de Cabo Calefator&lt;/strong&gt;. Ao contrário dos desumidificadores tradicionais, que ocupam espaço e precisam ser recarregados ou trocados regularmente, nosso produto é uma solução definitiva e discreta.&lt;/span&gt;&lt;/p&gt;
&lt;p&gt;&lt;span style="font-size:16px;"&gt;&lt;strong&gt;Como Funciona:&lt;/strong&gt;&lt;br /&gt;
Este desumidificador é composto por um cabo calefator que é instalado de forma simples e prática na parte traseira do seu armário. Ele aquece suavemente o ambiente interno, mantendo a umidade controlada e prevenindo a formação de mofo, fungos e odores desagradáveis. Além disso, protege roupas, calçados e outros objetos de valor contra os danos causados pela umidade excessiva.&lt;/span&gt;&lt;/p&gt;
&lt;p&gt;&lt;span style="font-size:16px;"&gt;&lt;strong&gt;Benefícios:&lt;/strong&gt;&lt;/span&gt;&lt;/p&gt;
&lt;ul&gt;
	&lt;li&gt;&lt;span style="font-size:16px;"&gt;&lt;strong&gt;Proteção Eficaz:&lt;/strong&gt; Previne a proliferação de mofo, fungos e ácaros, mantendo seus pertences secos e protegidos.&lt;/span&gt;&lt;/li&gt;
	&lt;li&gt;&lt;span style="font-size:16px;"&gt;&lt;strong&gt;Instalação Discreta:&lt;/strong&gt; O cabo calefator é instalado na parte traseira do armário, permanecendo fora de vista e sem ocupar espaço útil.&lt;/span&gt;&lt;/li&gt;
	&lt;li&gt;&lt;span style="font-size:16px;"&gt;&lt;strong&gt;Manutenção Simples:&lt;/strong&gt; Ao contrário de desumidificadores tradicionais, não requer recargas ou substituições frequentes.&lt;/span&gt;&lt;/li&gt;
	&lt;li&gt;&lt;span style="font-size:16px;"&gt;&lt;strong&gt;Economia de Energia:&lt;/strong&gt; Projetado para operar de forma eficiente, consumindo pouca energia enquanto mantém o ambiente interno seco.&lt;/span&gt;&lt;/li&gt;
	&lt;li&gt;&lt;span style="font-size:16px;"&gt;&lt;strong&gt;Versatilidade:&lt;/strong&gt; Pode ser utilizado em diversos tipos de armários, como guarda-roupas, armários de cozinha e outros espaços fechados que necessitam de controle de umidade.&lt;br /&gt;
	&lt;br /&gt;
	&lt;strong&gt;&lt;span style="color:#e74c3c;"&gt;PRODUTO SOB ENCOMENDA - VENDIDO POR METRO LINEAR, ENTRE EM CONTATO PARA MAIS INFORMAÇÕES! &lt;/span&gt;&lt;/strong&gt;&lt;/span&gt;&lt;/li&gt;
&lt;/ul&gt;
</t>
  </si>
  <si>
    <t>https://cdn.awsli.com.br/948/948321/produto/292174215/1000323569-1apipadsqc.jpg</t>
  </si>
  <si>
    <t>https://cdn.awsli.com.br/948/948321/produto/292174215/1000323567-yuux2ft1ye.jpg</t>
  </si>
  <si>
    <t>https://cdn.awsli.com.br/948/948321/produto/292174215/1000323568-cf3l7eqeg8.jpg</t>
  </si>
  <si>
    <t>CENTRAL DE ASPIRAÇÃO - AS320 ASPIRVAC</t>
  </si>
  <si>
    <t>KEAPH7KEU-GIMHUSTHE-QLBE7E74I-7JT56X7P8-MRETSQRL7</t>
  </si>
  <si>
    <t xml:space="preserve">&lt;p class="descricao-titulo padrao-desc" style="margin-top: 0px; margin-right: 0px; margin-left: 0px; padding: 0px 0px 10px; border-bottom: 2px solid rgb(239, 239, 239); line-height: inherit;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margin-bottom: 30px !important;"&gt;&lt;span style="font-size:16px;"&gt;&lt;span style="margin: 0px; padding: 0px; 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!important;"&gt;A AS320 ASPIRVAC pode ter até 8 Pontos, com distância máxima de 25m. A AS320 é uma opção para trazer praticidade e eficiência para cuidar da sua casa!&lt;/span&gt;&lt;/span&gt;&lt;/p&gt;
&lt;div class="box-descricao" style="margin: 0px; padding: 0px;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&lt;div class="span12" style="margin: 0px; padding: 0px; width: 1140px; float: left; min-height: 30px; display: block; box-sizing: border-box;"&gt;
&lt;div class="abas-custom" style="margin: 0px; padding: 0px;"&gt;
&lt;div class="tab-content" style="margin: 0px; padding: 0px; overflow: auto; box-shadow: none;"&gt;
&lt;div class="tab-pane active" id="descricao" itemprop="description" style="margin: 0px; padding: 0px; display: block;"&gt;
&lt;p style="margin: 0px 0px 10px; padding: 0px;"&gt;&lt;span style="font-size:16px;"&gt;&lt;span style="margin: 0px; padding: 0px;"&gt;&lt;span style="margin: 0px; padding: 0px; 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!important;"&gt;&lt;strong style="margin: 0px; padding: 0px; font-weight: bold;"&gt;CARACTERISTICAS&lt;/strong&gt;&lt;/span&gt;&lt;/span&gt;&lt;/span&gt;&lt;br style="margin: 0px; padding: 0px;" /&gt;
 &lt;/p&gt;
&lt;div&gt;
&lt;table style="border:none; border-collapse:collapse" width="311"&gt;
	&lt;colgroup&gt;
		&lt;col width="198" /&gt;
		&lt;col width="113" /&gt;
	&lt;/colgroup&gt;
	&lt;tbody&gt;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style="text-decoration:none"&gt;Alimentação (V)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style="text-decoration:none"&gt;220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style="text-decoration:none"&gt;Potência (W)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style="text-decoration:none"&gt;1550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style="text-decoration:none"&gt;Material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style="text-decoration:none"&gt;Plástico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style="text-decoration:none"&gt;Motor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style="text-decoration:none"&gt;Thru-Flow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style="text-decoration:none"&gt;Marca do motor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style="text-decoration:none"&gt;Domel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style="text-decoration:none"&gt;Turbinas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style="text-decoration:none"&gt;01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style="text-decoration:none"&gt;AirWatts (W)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style="text-decoration:none"&gt;570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style="text-decoration:none"&gt;Depressão (mm/H2O)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style="text-decoration:none"&gt;3180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style="text-decoration:none"&gt;Tipo de filtro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style="text-decoration:none"&gt;Filtro HEPA &lt;/span&gt;&lt;/span&gt;&lt;/span&gt;&lt;/span&gt;&lt;/span&gt;&lt;/span&gt;&lt;/span&gt;&lt;/span&gt;&lt;/p&gt;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style="text-decoration:none"&gt;lavável&lt;/span&gt;&lt;/span&gt;&lt;/span&gt;&lt;/span&gt;&lt;/span&gt;&lt;/span&gt;&lt;/span&gt;&lt;/span&gt;&lt;/p&gt;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style="text-decoration:none"&gt;Dimensões do filtro (A x Ø)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style="text-decoration:none"&gt;140 x 130 mm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style="text-decoration:none"&gt;Altura (mm)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style="text-decoration:none"&gt;740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style="text-decoration:none"&gt;Diâmetro (mm)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style="text-decoration:none"&gt;300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style="text-decoration:none"&gt;Depósito (L)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style="text-decoration:none"&gt;15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style="text-decoration:none"&gt;Ligação à rede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style="text-decoration:none"&gt;Lado direito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style="text-decoration:none"&gt;Saída de ar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style="text-decoration:none"&gt;Lado esquerdo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style="text-decoration:none"&gt;Distância máxima tomada (m)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style="text-decoration:none"&gt;25 &lt;/span&gt;&lt;/span&gt;&lt;/span&gt;&lt;/span&gt;&lt;/span&gt;&lt;/span&gt;&lt;/span&gt;&lt;/span&gt;&lt;/p&gt;
			&lt;/td&gt;
		&lt;/tr&gt;
		&lt;tr&gt;
			&lt;td style="border-bottom:1px solid #000000; vertical-align:top; padding:7px 7px 7px 7px; border-top:1px solid #000000; border-right:1px solid #000000; border-left:1px solid #000000; width:198px"&gt;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style="text-decoration:none"&gt;Número de tomadas &lt;/span&gt;&lt;/span&gt;&lt;/span&gt;&lt;/span&gt;&lt;/span&gt;&lt;/span&gt;&lt;/span&gt;&lt;/span&gt;&lt;/p&gt;
			&lt;/td&gt;
			&lt;td style="border-bottom:1px solid #000000; vertical-align:top; padding:7px 7px 7px 7px; border-top:1px solid #000000; border-right:1px solid #000000; border-left:1px solid #000000; width:113px"&gt;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style="text-decoration:none"&gt;6/8 &lt;/span&gt;&lt;/span&gt;&lt;/span&gt;&lt;/span&gt;&lt;/span&gt;&lt;/span&gt;&lt;/span&gt;&lt;/span&gt;&lt;/p&gt;
			&lt;/td&gt;
		&lt;/tr&gt;
	&lt;/tbody&gt;
&lt;/table&gt;
&lt;/div&gt;
&lt;/div&gt;
&lt;/div&gt;
&lt;/div&gt;
&lt;/div&gt;
&lt;/div&gt;
</t>
  </si>
  <si>
    <t>https://cdn.awsli.com.br/948/948321/produto/292488865/as320--1--pzszxjuuyo.jpg</t>
  </si>
  <si>
    <t>CENTRAL DE ASPIRAÇÃO - AS370 ASPIRVAC</t>
  </si>
  <si>
    <t>KEAPH7KEU-GIMHUSTHE-QLBE7E74I-7JT56X7P8-MRETSQRL7-8FAA9IB4Q</t>
  </si>
  <si>
    <t xml:space="preserve">&lt;p class="descricao-titulo padrao-desc" style="margin-top: 0px; margin-right: 0px; margin-left: 0px; padding: 0px 0px 10px; border-bottom: 2px solid rgb(239, 239, 239); line-height: inherit;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margin-bottom: 30px !important;"&gt;&lt;span style="font-size:16px;"&gt;&lt;span style="margin: 0px; padding: 0px; 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!important;"&gt;A AS370 ASPIRVAC pode ter até 16 Pontos, com distância máxima de 50m. A AS370 é uma opção para trazer praticidade e eficiência para cuidar da sua casa!&lt;/span&gt;&lt;/span&gt;&lt;/p&gt;
&lt;div class="box-descricao" style="margin: 0px; padding: 0px;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&lt;div class="span12" style="margin: 0px; padding: 0px; width: 1140px; float: left; min-height: 30px; display: block; box-sizing: border-box;"&gt;
&lt;div class="abas-custom" style="margin: 0px; padding: 0px;"&gt;
&lt;div class="tab-content" style="margin: 0px; padding: 0px; overflow: auto; box-shadow: none;"&gt;
&lt;div class="tab-pane active" id="descricao" itemprop="description" style="margin: 0px; padding: 0px; display: block;"&gt;
&lt;p style="margin: 0px 0px 10px; padding: 0px;"&gt;&lt;span style="font-size:16px;"&gt;&lt;span style="margin: 0px; padding: 0px;"&gt;&lt;span style="margin: 0px; padding: 0px; color: rgb(102, 102, 102); font-family: Montserrat,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!important;"&gt;&lt;strong style="margin: 0px; padding: 0px; font-weight: bold;"&gt;CARACTERISTICAS&lt;/strong&gt;&lt;/span&gt;&lt;/span&gt;&lt;/span&gt;&lt;/p&gt;
&lt;div style="margin-left:28px"&gt;
&lt;table style="border:none; border-collapse:collapse" width="350"&gt;
	&lt;colgroup&gt;
		&lt;col width="201" /&gt;
		&lt;col width="149" /&gt;
	&lt;/colgroup&gt;
	&lt;tbody&gt;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style="text-decoration:none"&gt;Alimentação (V)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style="text-decoration:none"&gt;220&lt;/span&gt;&lt;/span&gt;&lt;/span&gt;&lt;/span&gt;&lt;/span&gt;&lt;/span&gt;&lt;/span&gt;&lt;/span&gt;&lt;/p&gt;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style="text-decoration:none"&gt;Potência (W)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style="text-decoration:none"&gt;1900&lt;/span&gt;&lt;/span&gt;&lt;/span&gt;&lt;/span&gt;&lt;/span&gt;&lt;/span&gt;&lt;/span&gt;&lt;/span&gt;&lt;/p&gt;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style="text-decoration:none"&gt;Material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style="text-decoration:none"&gt;Plástico&lt;/span&gt;&lt;/span&gt;&lt;/span&gt;&lt;/span&gt;&lt;/span&gt;&lt;/span&gt;&lt;/span&gt;&lt;/span&gt;&lt;/p&gt;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style="text-decoration:none"&gt;Motor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style="text-decoration:none"&gt;By-Pass&lt;/span&gt;&lt;/span&gt;&lt;/span&gt;&lt;/span&gt;&lt;/span&gt;&lt;/span&gt;&lt;/span&gt;&lt;/span&gt;&lt;/p&gt;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style="text-decoration:none"&gt;Marca do motor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style="text-decoration:none"&gt;Domel&lt;/span&gt;&lt;/span&gt;&lt;/span&gt;&lt;/span&gt;&lt;/span&gt;&lt;/span&gt;&lt;/span&gt;&lt;/span&gt;&lt;/p&gt;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style="text-decoration:none"&gt;Turbinas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style="text-decoration:none"&gt;03&lt;/span&gt;&lt;/span&gt;&lt;/span&gt;&lt;/span&gt;&lt;/span&gt;&lt;/span&gt;&lt;/span&gt;&lt;/span&gt;&lt;/p&gt;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style="text-decoration:none"&gt;AirWatts (W)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style="text-decoration:none"&gt;633&lt;/span&gt;&lt;/span&gt;&lt;/span&gt;&lt;/span&gt;&lt;/span&gt;&lt;/span&gt;&lt;/span&gt;&lt;/span&gt;&lt;/p&gt;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style="text-decoration:none"&gt;Depressão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style="text-decoration:none"&gt;3800&lt;/span&gt;&lt;/span&gt;&lt;/span&gt;&lt;/span&gt;&lt;/span&gt;&lt;/span&gt;&lt;/span&gt;&lt;/span&gt;&lt;/p&gt;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style="text-decoration:none"&gt;Filtro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style="text-decoration:none"&gt;Filtro HEPA &lt;/span&gt;&lt;/span&gt;&lt;/span&gt;&lt;/span&gt;&lt;/span&gt;&lt;/span&gt;&lt;/span&gt;&lt;/span&gt;&lt;/p&gt;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style="text-decoration:none"&gt;lavável&lt;/span&gt;&lt;/span&gt;&lt;/span&gt;&lt;/span&gt;&lt;/span&gt;&lt;/span&gt;&lt;/span&gt;&lt;/span&gt;&lt;/p&gt;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style="text-decoration:none"&gt;Dimensões do filtro (A x Ø)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style="text-decoration:none"&gt;200 x 130 mm&lt;/span&gt;&lt;/span&gt;&lt;/span&gt;&lt;/span&gt;&lt;/span&gt;&lt;/span&gt;&lt;/span&gt;&lt;/span&gt;&lt;/p&gt;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style="text-decoration:none"&gt;Altura (mm)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style="text-decoration:none"&gt;870&lt;/span&gt;&lt;/span&gt;&lt;/span&gt;&lt;/span&gt;&lt;/span&gt;&lt;/span&gt;&lt;/span&gt;&lt;/span&gt;&lt;/p&gt;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style="text-decoration:none"&gt;Diâmetro (mm)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style="text-decoration:none"&gt;300&lt;/span&gt;&lt;/span&gt;&lt;/span&gt;&lt;/span&gt;&lt;/span&gt;&lt;/span&gt;&lt;/span&gt;&lt;/span&gt;&lt;/p&gt;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style="text-decoration:none"&gt;Depósito (L)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style="text-decoration:none"&gt;17&lt;/span&gt;&lt;/span&gt;&lt;/span&gt;&lt;/span&gt;&lt;/span&gt;&lt;/span&gt;&lt;/span&gt;&lt;/span&gt;&lt;/p&gt;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style="text-decoration:none"&gt;Ligação à rede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style="text-decoration:none"&gt;Lado direito / esquerdo&lt;/span&gt;&lt;/span&gt;&lt;/span&gt;&lt;/span&gt;&lt;/span&gt;&lt;/span&gt;&lt;/span&gt;&lt;/span&gt;&lt;/p&gt;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style="text-decoration:none"&gt;Saída de ar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style="text-decoration:none"&gt;Lado direito&lt;/span&gt;&lt;/span&gt;&lt;/span&gt;&lt;/span&gt;&lt;/span&gt;&lt;/span&gt;&lt;/span&gt;&lt;/span&gt;&lt;/p&gt;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style="text-decoration:none"&gt;Distância máxima tomada (m)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style="text-decoration:none"&gt;50&lt;/span&gt;&lt;/span&gt;&lt;/span&gt;&lt;/span&gt;&lt;/span&gt;&lt;/span&gt;&lt;/span&gt;&lt;/span&gt;&lt;/p&gt;
			&lt;/td&gt;
		&lt;/tr&gt;
		&lt;tr&gt;
			&lt;td style="border-bottom:1px solid #000000; vertical-align:top; padding:7px 7px 7px 7px; border-top:1px solid #000000; border-right:1px solid #000000; border-left:1px solid #000000; width:201px"&gt;
			&lt;p style="line-height:1.2; text-align:center"&gt;&lt;span style="overflow:hidden"&gt;&lt;span style="overflow-wrap:break-word"&gt;&lt;span style="font-size:9.960000038146973pt; font-variant:normal; white-space:pre-wrap"&gt;&lt;span style="font-family:Arial,sans-serif"&gt;&lt;span style="color:#000000"&gt;&lt;span style="font-weight:700"&gt;&lt;span style="font-style:normal"&gt;&lt;span style="text-decoration:none"&gt;Número de tomadas &lt;/span&gt;&lt;/span&gt;&lt;/span&gt;&lt;/span&gt;&lt;/span&gt;&lt;/span&gt;&lt;/span&gt;&lt;/span&gt;&lt;/p&gt;
			&lt;/td&gt;
			&lt;td style="border-bottom:1px solid #000000; vertical-align:top; padding:7px 7px 7px 7px; border-top:1px solid #000000; border-right:1px solid #000000; border-left:1px solid #000000; width:149px"&gt;
			&lt;p style="line-height:1.2; text-align:center"&gt;&lt;span style="overflow:hidden"&gt;&lt;span style="overflow-wrap:break-word"&gt;&lt;span style="font-size:9.960000038146973pt; font-variant:normal; white-space:pre-wrap"&gt;&lt;span style="font-family:Arial,sans-serif"&gt;&lt;span style="color:#000000"&gt;&lt;span style="font-weight:400"&gt;&lt;span style="font-style:normal"&gt;&lt;span style="text-decoration:none"&gt;14/16&lt;/span&gt;&lt;/span&gt;&lt;/span&gt;&lt;/span&gt;&lt;/span&gt;&lt;/span&gt;&lt;/span&gt;&lt;/span&gt;&lt;/p&gt;
			&lt;/td&gt;
		&lt;/tr&gt;
	&lt;/tbody&gt;
&lt;/table&gt;
&lt;/div&gt;
&lt;/div&gt;
&lt;/div&gt;
&lt;/div&gt;
&lt;/div&gt;
&lt;/div&gt;
</t>
  </si>
  <si>
    <t>https://cdn.awsli.com.br/948/948321/produto/292490020/as-370-qumnpr15ck.png</t>
  </si>
  <si>
    <t>CENTRAL DE ASPIRAÇÃO BM 265EA BEAM ELECTROLUX</t>
  </si>
  <si>
    <t>X42SVPJV5-SPML1PJZH</t>
  </si>
  <si>
    <t xml:space="preserve">&lt;div class="tituloSecao" style="box-sizing: border-box; margin: 0px; padding: 0px; color: rgb(17, 17, 17); font-family: &amp;quot;Open Sans&amp;quot;, sans-serif; font-size: 14px; font-style: normal; font-variant-ligatures: normal; font-variant-caps: normal; font-weight: 400; letter-spacing: normal; orphans: 2; text-align: start; text-indent: 0px; text-transform: none; white-space: normal; widows: 2; word-spacing: 0px; -webkit-text-stroke-width: 0px; background-color: rgb(238, 238, 238); text-decoration-thickness: initial; text-decoration-style: initial; text-decoration-color: initial;"&gt;
&lt;h2 style="box-sizing: border-box; margin: 0px 0px 0.5em; padding: 0px; font-size: 24px; font-weight: 400; color: rgb(34, 34, 34); font-family: Roboto, sans-serif; font-style: normal; line-height: 1.2; text-rendering: optimizelegibility; text-transform: none;"&gt;Descrição&lt;/h2&gt;
&lt;/div&gt;
&lt;div style="box-sizing: border-box; margin: 0px; padding: 0px; color: rgb(17, 17, 17); font-family: &amp;quot;Open Sans&amp;quot;, sans-serif; font-size: 14px; font-style: normal; font-variant-ligatures: normal; font-variant-caps: normal; font-weight: 400; letter-spacing: normal; orphans: 2; text-align: start; text-indent: 0px; text-transform: none; white-space: normal; widows: 2; word-spacing: 0px; -webkit-text-stroke-width: 0px; background-color: rgb(238, 238, 238); text-decoration-thickness: initial; text-decoration-style: initial; text-decoration-color: initial;"&gt;
&lt;div class="conteudoSecao" style="box-sizing: border-box; margin: 0px 0px 50px; padding: 0px;"&gt;
&lt;div class="std" style="box-sizing: border-box; margin: 0px; padding: 0px; font-size: 16px; line-height: 1.8em; font-weight: 300;"&gt;Empresa líder mundial em sistemas de Aspiração Central. A BEAM é uma divisão da Electrolux AB. Presente em diversos países, a BEAM presa pela excelência.&lt;br style="box-sizing: border-box; margin: 0px; padding: 0px;" /&gt;
&lt;br style="box-sizing: border-box; margin: 0px; padding: 0px;" /&gt;
Presente no mercado há décadas, a BEAM oferece a mais completa linha de centrais de aspiração e acessórios, todos projetados e desenvolvidos pela própria empresa. No brasil, está presente desde 1998 e, tem compromisso com a melhoria da qualidade de vida do brasileiro.&lt;br style="box-sizing: border-box; margin: 0px; padding: 0px;" /&gt;
&lt;br style="box-sizing: border-box; margin: 0px; padding: 0px;" /&gt;
O que é? como funciona?&lt;br style="box-sizing: border-box; margin: 0px; padding: 0px;" /&gt;
O sistema BEAM é o pacote completo em Aspiração Central. Faz a limpeza de sua casa, de uma maneira mais fácil, mais saudável, fornecendo uma melhor qualidade de vida, no que tange a limpeza do ar.&lt;br style="box-sizing: border-box; margin: 0px; padding: 0px;" /&gt;
&lt;br style="box-sizing: border-box; margin: 0px; padding: 0px;" /&gt;
Ele consiste numa rede de tubulação de pvc, interligando as tomadas de aspiração à central. Para melhor desempenho do sistema, é necessária a utilização de conexões próprias, seguindo as normas internacionais.&lt;br style="box-sizing: border-box; margin: 0px; padding: 0px;" /&gt;
&lt;br style="box-sizing: border-box; margin: 0px; padding: 0px;" /&gt;
Benefícios / Vantagens&lt;br style="box-sizing: border-box; margin: 0px; padding: 0px;" /&gt;
A central fica em uma área reservada e fixa da casa, eliminando assim a necessidade de locomoção de aspirador. Tem uma potência cinco vezes maior que um aspirador comum e é mais silencioso. Livra de forma eficiente o ambiente de ácaros, não recircula o ar e reduz os sintomas alérgicos, trazendo assim uma maior qualidade de vida a quem o utiliza.&lt;br style="box-sizing: border-box; margin: 0px; padding: 0px;" /&gt;
&lt;br style="box-sizing: border-box; margin: 0px; padding: 0px;" /&gt;
O sistema de Aspiração Central BEAM está equipado com o exclusivo sistema de filtro auto-limpante de filtro do fabricante de tecido Gore-Tex. Assim, o sistema de aspiração central terá sempre o desempenho de limpeza ideal, e não há necessidade de comprar sempre o filtro. O Sistema de Aspiração Central Beam é projetado com materiais de alta qualidade, para garantir durabilidade e longevidade.&lt;br style="box-sizing: border-box; margin: 0px; padding: 0px;" /&gt;
&lt;br style="box-sizing: border-box; margin: 0px; padding: 0px;" /&gt;
O sistema de Aspiração Central retira toda a poeira e sujeira para o balde de coleta de detritos e 98% de ar limpo é lançado da central de aspiração para o exterior. É por isso que temos provas clínicas que o Sistema de Aspiração Central Beam cria um melhor clima interno no ambiente, e é o único que reduz clinicamente os sintomas de alergia.&lt;br style="box-sizing: border-box; margin: 0px; padding: 0px;" /&gt;
&lt;br style="box-sizing: border-box; margin: 0px; padding: 0px;" /&gt;
O sistema BEAM é o pacote completo em Aspiração Central.&lt;br style="box-sizing: border-box; margin: 0px; padding: 0px;" /&gt;
Faz a limpeza de sua casa, de uma maneira mais fácil, mais saudável, fornecendo uma melhor qualidade de vida, no que tange a limpeza do ar.&lt;br style="box-sizing: border-box; margin: 0px; padding: 0px;" /&gt;
Tamanho compacto.&lt;br style="box-sizing: border-box; margin: 0px; padding: 0px;" /&gt;
Grande potencial de aspiração.&lt;br style="box-sizing: border-box; margin: 0px; padding: 0px;" /&gt;
Economia e eficiência.&lt;br style="box-sizing: border-box; margin: 0px; padding: 0px;" /&gt;
Qualidade BEAM Electrolux.&lt;br style="box-sizing: border-box; margin: 0px; padding: 0px;" /&gt;
&lt;br style="box-sizing: border-box; margin: 0px; padding: 0px;" /&gt;
&lt;br style="box-sizing: border-box; margin: 0px; padding: 0px;" /&gt;
Características&lt;br style="box-sizing: border-box; margin: 0px; padding: 0px;" /&gt;
Airwatts (Unidade de Força): 605&lt;br style="box-sizing: border-box; margin: 0px; padding: 0px;" /&gt;
Area aconselhável: (m²); 700&lt;br style="box-sizing: border-box; margin: 0px; padding: 0px;" /&gt;
&lt;strong&gt;Filtro Descartável.&lt;/strong&gt;&lt;br style="box-sizing: border-box; margin: 0px; padding: 0px;" /&gt;
Capacidade do filtro: 21 litros.&lt;br style="box-sizing: border-box; margin: 0px; padding: 0px;" /&gt;
Ruído: 80 DBA.&lt;br style="box-sizing: border-box; margin: 0px; padding: 0px;" /&gt;
Dimensões: 63 cm de altura por 28 cm de diâmetro.&lt;br style="box-sizing: border-box; margin: 0px; padding: 0px;" /&gt;
Garantia: 5 anos contra defeitos de fabricação.&lt;br style="box-sizing: border-box; margin: 0px; padding: 0px;" /&gt;
&lt;br style="box-sizing: border-box; margin: 0px; padding: 0px;" /&gt;
Instalação e acessórios não incluso, consulte-nos.&lt;/div&gt;
&lt;/div&gt;
&lt;/div&gt;
</t>
  </si>
  <si>
    <t>https://cdn.awsli.com.br/948/948321/produto/301791941/bm265ea-svqhyiivc0.PNG</t>
  </si>
  <si>
    <t>Kit 5.1 Home Theater JBL Ci6SA Plus + Ci6S Plus + Sub Ci8P</t>
  </si>
  <si>
    <t>F76WGF2SS-0EGZ597FC-SAU4H7TPZ</t>
  </si>
  <si>
    <t>Kit home theater 5.1 para deixar a sua sala de tv igual uma sala de cinema! Com produtos JBL o som envolvente se torna um diferencial para a suas noites de filme.</t>
  </si>
  <si>
    <t>&lt;div class="row clearfix image-left" style="box-sizing: border-box; margin: 0px; padding: 0px; border: 0px; font-style: normal; font-variant-ligatures: normal; font-variant-caps: normal; font-variant-numeric: inherit; font-variant-east-asian: inherit; font-variant-alternates: inherit; font-variant-position: inherit; font-weight: 400; font-stretch: inherit; line-height: inherit; font-family: &amp;quot;Open Sans&amp;quot;, sans-serif; font-optical-sizing: inherit; font-size-adjust: inherit; font-kerning: inherit; font-feature-settings: inherit; font-variation-settings: inherit; font-size: 16px; vertical-align: baseline; display: flex; align-items: center; gap: 50px; color: rgb(0, 0, 0); letter-spacing: normal; orphans: 2; text-align: start; text-indent: 0px; text-transform: none; widows: 2; word-spacing: 0px; -webkit-text-stroke-width: 0px; white-space: normal; background-color: rgb(255, 255, 255); text-decoration-thickness: initial; text-decoration-style: initial; text-decoration-color: initial;"&gt;
&lt;div class="content-description"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font-size: 16px; vertical-align: baseline; width: 882px;"&gt;
&lt;p style="box-sizing: border-box; margin: 0px; padding: 0px; border: 0px; font-style: inherit; font-variant: inherit; font-weight: bold; font-stretch: inherit; line-height: inherit; font-family: inherit; font-optical-sizing: inherit; font-size-adjust: inherit; font-kerning: inherit; font-feature-settings: inherit; font-variation-settings: inherit; font-size: 1.0625em; vertical-align: baseline; color: var(--cor-texto);"&gt;&lt;span style="font-size:14px;"&gt;Caixa de Som JBL CI6SA PLUS Quadrada Angulada 160W Rms (3 unidade)&lt;/span&gt;&lt;/p&gt;
&lt;p style="box-sizing: border-box; margin: 0px; padding: 0px; border: 0px; font-style: inherit; font-variant: inherit; font-weight: bold; font-stretch: inherit; line-height: inherit; font-family: inherit; font-optical-sizing: inherit; font-size-adjust: inherit; font-kerning: inherit; font-feature-settings: inherit; font-variation-settings: inherit; font-size: 1.0625em; vertical-align: baseline; color: var(--cor-texto);"&gt;&lt;span style="font-size:14px;"&gt;Caixa de Som JBL CI6S PLUS Arandela Retangular 160W Rms ( 2 unidades)&lt;/span&gt;&lt;/p&gt;
&lt;p style="box-sizing: border-box; margin: 0px; padding: 0px; border: 0px; font-style: inherit; font-variant: inherit; font-weight: bold; font-stretch: inherit; line-height: inherit; font-family: inherit; font-optical-sizing: inherit; font-size-adjust: inherit; font-kerning: inherit; font-feature-settings: inherit; font-variation-settings: inherit; font-size: 1.0625em; vertical-align: baseline; color: var(--cor-texto);"&gt; &lt;/p&gt;
&lt;p style="box-sizing: border-box; margin: 4px 0px 0px; padding: 0px; border: 0px; font-style: inherit; font-variant: inherit; font-weight: inherit; font-stretch: inherit; line-height: 22px; font-family: inherit; font-optical-sizing: inherit; font-size-adjust: inherit; font-kerning: inherit; font-feature-settings: inherit; font-variation-settings: inherit; font-size: 0.875em; vertical-align: baseline; color: var(--cor-texto-secundario);"&gt;&lt;span style="font-size:14px;"&gt;A nova linha Ci Plus, foi desenhada para atender o mercado especializado de home theater e o mercado de instalação de som ambiente, com formatos quadrados e retangulares, gabinetes angulados ou regulares, borda ultra fina e telas magnéticas de alumínio à prova de oxidações, para atender a demanda dos arquitetos. &lt;/span&gt;&lt;/p&gt;
&lt;ul&gt;
	&lt;li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font-size: 0.8125em; vertical-align: baseline; color: var(--cor-texto-secundario); list-style: inside;"&gt;&lt;span style="font-size:14px;"&gt;Excelente performance sonora na categoria;&lt;/span&gt;&lt;/li&gt;
	&lt;li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font-size: 0.8125em; vertical-align: baseline; color: var(--cor-texto-secundario); list-style: inside;"&gt;&lt;span style="font-size:14px;"&gt;Instalação super fácil;&lt;/span&gt;&lt;/li&gt;
	&lt;li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font-size: 0.8125em; vertical-align: baseline; color: var(--cor-texto-secundario); list-style: inside;"&gt;&lt;span style="font-size:14px;"&gt;Design moderno e clean para atender aos mais diversos tipos de ambientes e decorações;&lt;/span&gt;&lt;/li&gt;
	&lt;li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font-size: 0.8125em; vertical-align: baseline; color: var(--cor-texto-secundario); list-style: inside;"&gt;&lt;span style="font-size:14px;"&gt;Formatos quadrados e angulados para atender a demanda dos arquitetos.&lt;/span&gt;&lt;/li&gt;
	&lt;li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font-size: 0.8125em; vertical-align: baseline; color: var(--cor-texto-secundario); list-style: inside;"&gt;&lt;span style="font-size:14px;"&gt;Novo crossover – melhor resposta de frequencias, trazendo graves mais encorpados, médios mais nítidos e agudos com maior extensão;&lt;/span&gt;&lt;/li&gt;
	&lt;li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font-size: 0.8125em; vertical-align: baseline; color: var(--cor-texto-secundario); list-style: inside;"&gt;&lt;span style="font-size:14px;"&gt;Maior potência admitida em todos os novos modelos, proporcionando a utilização de amplificadores ou receivers mais &lt;/span&gt;potentes;&lt;/li&gt;
	&lt;li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font-size: 0.8125em; vertical-align: baseline; color: var(--cor-texto-secundario); list-style: inside;"&gt;&lt;span style="font-size:14px;"&gt;Telas com fixação magnética para facilitar a instalação. Basta aproximar da caixa que a tela já se encaixa.&lt;/span&gt;&lt;/li&gt;
&lt;/ul&gt;
&lt;p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font-size: 0.8125em; vertical-align: baseline; color: var(--cor-texto-secundario); list-style: inside;"&gt; &lt;/p&gt;
&lt;p style="box-sizing: border-box; margin: 0px; padding: 0px; border: 0px; font-style: normal; font-variant-ligatures: normal; font-variant-caps: normal; font-variant-numeric: inherit; font-variant-east-asian: inherit; font-variant-alternates: inherit; font-variant-position: inherit; font-weight: bold; font-stretch: inherit; line-height: inherit; font-family: &amp;quot;Open Sans&amp;quot;, sans-serif; font-optical-sizing: inherit; font-size-adjust: inherit; font-kerning: inherit; font-feature-settings: inherit; font-variation-settings: inherit; font-size: 1.0625em; vertical-align: baseline; color: var(--cor-texto); letter-spacing: normal; orphans: 2; text-indent: 0px; text-transform: none; widows: 2; word-spacing: 0px; -webkit-text-stroke-width: 0px; white-space: normal; background-color: rgb(255, 255, 255); text-decoration-thickness: initial; text-decoration-style: initial; text-decoration-color: initial;"&gt;&lt;span style="font-size:14px;"&gt;Subwoofer JBL Ci8P Ativo 100w 8 Polegadas Preto (1 unidade)&lt;/span&gt;&lt;/p&gt;
&lt;p style="box-sizing: border-box; margin: 4px 0px 0px; padding: 0px; border: 0px; font-style: normal; font-variant-ligatures: normal; font-variant-caps: normal; font-variant-numeric: inherit; font-variant-east-asian: inherit; font-variant-alternates: inherit; font-variant-position: inherit; font-weight: 400; font-stretch: inherit; line-height: 22px; font-family: &amp;quot;Open Sans&amp;quot;, sans-serif; font-optical-sizing: inherit; font-size-adjust: inherit; font-kerning: inherit; font-feature-settings: inherit; font-variation-settings: inherit; font-size: 0.875em; vertical-align: baseline; color: var(--cor-texto-secundario); letter-spacing: normal; orphans: 2; text-indent: 0px; text-transform: none; widows: 2; word-spacing: 0px; -webkit-text-stroke-width: 0px; white-space: normal; background-color: rgb(255, 255, 255); text-decoration-thickness: initial; text-decoration-style: initial; text-decoration-color: initial;"&gt;&lt;span style="color: rgb(0, 0, 0); font-family: abc-diatype, &amp;quot;ABC Diatype&amp;quot;, roc-grotesk, &amp;quot;system-ui&amp;quot;, -apple-system, BlinkMacSystemFont, &amp;quot;Segoe UI&amp;quot;, Roboto, Oxygen-Sans, Ubuntu, Cantarell, &amp;quot;Helvetica Neue&amp;quot;, sans-serif; font-size: 16px;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display: inline !important; float: none;"&gt;Caixa de som com subwoofer ativo e Woofer de baixa frequência em policelulose. Oferece tecnologia de som Virtual Surround, Dolby Atmos e conexão Wi-Fi. A JBL CI8P garante uma resposta de frequência de 35 Hz – 200 Hz e 100 W RMS de potência total.&lt;/span&gt;&lt;/p&gt;
&lt;p style="box-sizing: border-box; margin: 4px 0px 0px; padding: 0px; border: 0px; font-style: normal; font-variant-ligatures: normal; font-variant-caps: normal; font-variant-numeric: inherit; font-variant-east-asian: inherit; font-variant-alternates: inherit; font-variant-position: inherit; font-weight: 400; font-stretch: inherit; line-height: 22px; font-family: &amp;quot;Open Sans&amp;quot;, sans-serif; font-optical-sizing: inherit; font-size-adjust: inherit; font-kerning: inherit; font-feature-settings: inherit; font-variation-settings: inherit; font-size: 0.875em; vertical-align: baseline; color: var(--cor-texto-secundario); letter-spacing: normal; orphans: 2; text-indent: 0px; text-transform: none; widows: 2; word-spacing: 0px; -webkit-text-stroke-width: 0px; white-space: normal; background-color: rgb(255, 255, 255); text-decoration-thickness: initial; text-decoration-style: initial; text-decoration-color: initial;"&gt; &lt;/p&gt;
&lt;p style="box-sizing: border-box; margin: 4px 0px 0px; padding: 0px; border: 0px; font-style: normal; font-variant-ligatures: normal; font-variant-caps: normal; font-variant-numeric: inherit; font-variant-east-asian: inherit; font-variant-alternates: inherit; font-variant-position: inherit; font-weight: 400; font-stretch: inherit; line-height: 22px; font-family: &amp;quot;Open Sans&amp;quot;, sans-serif; font-optical-sizing: inherit; font-size-adjust: inherit; font-kerning: inherit; font-feature-settings: inherit; font-variation-settings: inherit; font-size: 0.875em; vertical-align: baseline; color: var(--cor-texto-secundario); letter-spacing: normal; orphans: 2; text-indent: 0px; text-transform: none; widows: 2; word-spacing: 0px; -webkit-text-stroke-width: 0px; white-space: normal; background-color: rgb(255, 255, 255); text-decoration-thickness: initial; text-decoration-style: initial; text-decoration-color: initial;"&gt;Marca: JBL&lt;/p&gt;
&lt;p style="box-sizing: border-box; margin: 4px 0px 0px; padding: 0px; border: 0px; font-style: normal; font-variant-ligatures: normal; font-variant-caps: normal; font-variant-numeric: inherit; font-variant-east-asian: inherit; font-variant-alternates: inherit; font-variant-position: inherit; font-weight: 400; font-stretch: inherit; line-height: 22px; font-family: &amp;quot;Open Sans&amp;quot;, sans-serif; font-optical-sizing: inherit; font-size-adjust: inherit; font-kerning: inherit; font-feature-settings: inherit; font-variation-settings: inherit; font-size: 0.875em; vertical-align: baseline; color: var(--cor-texto-secundario); letter-spacing: normal; orphans: 2; text-indent: 0px; text-transform: none; widows: 2; word-spacing: 0px; -webkit-text-stroke-width: 0px; white-space: normal; background-color: rgb(255, 255, 255); text-decoration-thickness: initial; text-decoration-style: initial; text-decoration-color: initial;"&gt;Modelo&lt;/p&gt;
&lt;p style="box-sizing: border-box; margin: 4px 0px 0px; padding: 0px; border: 0px; font-style: normal; font-variant-ligatures: normal; font-variant-caps: normal; font-variant-numeric: inherit; font-variant-east-asian: inherit; font-variant-alternates: inherit; font-variant-position: inherit; font-weight: 400; font-stretch: inherit; line-height: 22px; font-family: &amp;quot;Open Sans&amp;quot;, sans-serif; font-optical-sizing: inherit; font-size-adjust: inherit; font-kerning: inherit; font-feature-settings: inherit; font-variation-settings: inherit; font-size: 0.875em; vertical-align: baseline; color: var(--cor-texto-secundario); letter-spacing: normal; orphans: 2; text-indent: 0px; text-transform: none; widows: 2; word-spacing: 0px; -webkit-text-stroke-width: 0px; white-space: normal; background-color: rgb(255, 255, 255); text-decoration-thickness: initial; text-decoration-style: initial; text-decoration-color: initial;"&gt;• Ci6SA Plus&lt;br style="box-sizing: border-box;" /&gt;
• Ci6S Plus&lt;br style="box-sizing: border-box;" /&gt;
• Ci8P&lt;/p&gt;
&lt;/div&gt;
&lt;/div&gt;
&lt;div class="row clearfix image-left" style="box-sizing: border-box; margin: 0px; padding: 0px; border: 0px; font-style: normal; font-variant-ligatures: normal; font-variant-caps: normal; font-variant-numeric: inherit; font-variant-east-asian: inherit; font-variant-alternates: inherit; font-variant-position: inherit; font-weight: 400; font-stretch: inherit; line-height: inherit; font-family: &amp;quot;Open Sans&amp;quot;, sans-serif; font-optical-sizing: inherit; font-size-adjust: inherit; font-kerning: inherit; font-feature-settings: inherit; font-variation-settings: inherit; font-size: 16px; vertical-align: baseline; display: flex; align-items: center; gap: 50px; color: rgb(0, 0, 0); letter-spacing: normal; orphans: 2; text-align: start; text-indent: 0px; text-transform: none; widows: 2; word-spacing: 0px; -webkit-text-stroke-width: 0px; white-space: normal; background-color: rgb(255, 255, 255); text-decoration-thickness: initial; text-decoration-style: initial; text-decoration-color: initial;"&gt;
&lt;div class="content-description"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font-size: 16px; vertical-align: baseline; width: 882px;"&gt;
&lt;div class="content" style="box-sizing: border-box; margin: 0px; padding: 0px; border: 0px; font-style: normal; font-variant-ligatures: normal; font-variant-caps: normal; font-variant-numeric: inherit; font-variant-east-asian: inherit; font-variant-alternates: inherit; font-variant-position: inherit; font-weight: 400; font-stretch: inherit; line-height: inherit; font-family: &amp;quot;Nunito Sans&amp;quot;, sans-serif; font-optical-sizing: inherit; font-size-adjust: inherit; font-kerning: inherit; font-feature-settings: inherit; font-variation-settings: inherit; font-size: 16px; vertical-align: baseline; color: rgb(0, 0, 0); letter-spacing: normal; orphans: 2; text-align: start; text-indent: 0px; text-transform: none; widows: 2; word-spacing: 0px; -webkit-text-stroke-width: 0px; white-space: normal; text-decoration-thickness: initial; text-decoration-style: initial; text-decoration-color: initial;"&gt;
&lt;div class="caracteristicas-lista-corrida caracteristicas" id="tabela-medidas" style="box-sizing: border-box; margin: 30px 0px 0px; padding: 0px; border: 0px; font-style: inherit; font-variant: inherit; font-weight: inherit; font-stretch: inherit; line-height: inherit; font-family: inherit; font-optical-sizing: inherit; font-size-adjust: inherit; font-kerning: inherit; font-feature-settings: inherit; font-variation-settings: inherit; font-size: 16px; vertical-align: baseline;"&gt;
&lt;dl class="grupo-carac grupo-carac-caracs clearfix"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font-size: 16px; vertical-align: baseline; color: var(--cor-texto);"&gt;
	&lt;dt class="odd" style="box-sizing: border-box; margin: 0px; padding: 4px 10px; border: 0px; font-style: inherit; font-variant: inherit; font-weight: inherit; font-stretch: inherit; line-height: inherit; font-family: inherit; font-optical-sizing: inherit; font-size-adjust: inherit; font-kerning: inherit; font-feature-settings: inherit; font-variation-settings: inherit; font-size: 14px; vertical-align: middle; position: relative; display: table-cell; width: 512.391px; height: 20px; background: var(--color-gray-50); float: none; word-break: break-word;"&gt;
	&lt;p&gt;&lt;span style="font-size:14px;"&gt;&lt;span class="table carac-item-1"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vertical-align: baseline; display: table; width: 1220px; min-height: 10px; color: var(--cor-texto); border-collapse: collapse;"&gt;Item 1&lt;/span&gt;&lt;/span&gt;&lt;/p&gt;
	&lt;span style="font-size:14px;"&gt;&lt;strong style="box-sizing: border-box; font-weight: bold; margin: 0px; padding: 0px; border: 0px; font-style: inherit; font-variant: inherit; font-stretch: inherit; line-height: inherit; font-family: inherit; font-optical-sizing: inherit; font-size-adjust: inherit; font-kerning: inherit; font-feature-settings: inherit; font-variation-settings: inherit; font-size: 14px; vertical-align: baseline;"&gt;Caixa de Som JBL CI6SA PLUS Quadrada Angulada 160W Rms&lt;/strong&gt;&lt;br style="box-sizing: border-box;" /&gt;
	• Marca: JBL&lt;br style="box-sizing: border-box;" /&gt;
	• Modelo: Ci6SA Plus&lt;br style="box-sizing: border-box;" /&gt;
	• Potência: 160w&lt;br style="box-sizing: border-box;" /&gt;
	• Resposta de Frequência: 53Hz - 20kHz&lt;br style="box-sizing: border-box;" /&gt;
	• Sensibilidade: 90 dB&lt;br style="box-sizing: border-box;" /&gt;
	• Impedância: 8 Ohms&lt;br style="box-sizing: border-box;" /&gt;
	• Auto Falante: Woofer: Cone de Kevlar 6,5", Mid-Range: n/a, Tweeter: Domo de seda de 20mm&lt;br style="box-sizing: border-box;" /&gt;
	• Tipo da tela: Magnética sem borda&lt;br style="box-sizing: border-box;" /&gt;
	• Dimensões de corte (A x L x C):12,4 x 20,6 x 20,6 cm&lt;br style="box-sizing: border-box;" /&gt;
	• Dimensões da tela (A x L): 24,2 x 24,2 cm&lt;br style="box-sizing: border-box;" /&gt;
	• Garantia: 12 meses&lt;br style="box-sizing: border-box;" /&gt;
	• Peso: 1,8 Kg&lt;br /&gt;
	&lt;br /&gt;
	Item 2&lt;br /&gt;
	&lt;br /&gt;
	&lt;strong style="box-sizing: border-box; font-weight: bold; margin: 0px; padding: 0px; border: 0px; font-style: inherit; font-variant: inherit; font-stretch: inherit; line-height: inherit; font-family: inherit; font-optical-sizing: inherit; font-size-adjust: inherit; font-kerning: inherit; font-feature-settings: inherit; font-variation-settings: inherit; font-size: 14px; vertical-align: baseline;"&gt;Caixa de Som JBL CI6S PLUS Arandela Retangular 160W Rms&lt;/strong&gt;&lt;br style="box-sizing: border-box;" /&gt;
	• Marca: JBL&lt;br style="box-sizing: border-box;" /&gt;
	• Modelo: Ci6S PLUS&lt;br style="box-sizing: border-box;" /&gt;
	• Potência: 160w&lt;br style="box-sizing: border-box;" /&gt;
	• Resposta de Frequência: 53Hz - 20kHz&lt;br style="box-sizing: border-box;" /&gt;
	• Sensibilidade: 90 dB&lt;br style="box-sizing: border-box;" /&gt;
	• Impedância: 8 Ohms&lt;br style="box-sizing: border-box;" /&gt;
	• Auto Falante: Woofer: Cone de Kevlar 6,5", Mid-Range: n/a, Tweeter: Domo de seda de 20mm&lt;br style="box-sizing: border-box;" /&gt;
	• Tipo da tela: Magnética sem borda&lt;br style="box-sizing: border-box;" /&gt;
	• Garantia: 12 meses&lt;br style="box-sizing: border-box;" /&gt;
	• Peso: 1,8 Kg&lt;br /&gt;
	&lt;br /&gt;
	Item 3&lt;/span&gt;
	&lt;p&gt;&lt;span style="font-size:14px;"&gt;&lt;span class="table carac-item-3"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vertical-align: baseline; display: table; width: 1220px; min-height: 10px; color: var(--cor-texto); border-collapse: collapse;"&gt;&lt;strong style="box-sizing: border-box; font-weight: bold; margin: 0px; padding: 0px; border: 0px; font-style: inherit; font-variant: inherit; font-stretch: inherit; line-height: inherit; font-family: inherit; font-optical-sizing: inherit; font-size-adjust: inherit; font-kerning: inherit; font-feature-settings: inherit; font-variation-settings: inherit; font-size: 14px; vertical-align: baseline;"&gt;Subwoofer JBL Ci8P Ativo 100w 8 Polegadas Preto&lt;/strong&gt;&lt;br style="box-sizing: border-box;" /&gt;
	• Marca: JBL&lt;br style="box-sizing: border-box;" /&gt;
	• Modelo: Ci8P&lt;br style="box-sizing: border-box;" /&gt;
	• Potência: 100w&lt;br style="box-sizing: border-box;" /&gt;
	• Resposta de Frequência: 35 Hz – 200 Hz&lt;br style="box-sizing: border-box;" /&gt;
	• Consumo máximo: 120w&lt;br style="box-sizing: border-box;" /&gt;
	• Alimentação: Bivolt Automático (AC ~100-240V, 50/ 60 Hz)&lt;br style="box-sizing: border-box;" /&gt;
	• Modelo ativo com potência de 100 Watts RMS&lt;br style="box-sizing: border-box;" /&gt;
	• Alto falante de policelulose de 8”&lt;br style="box-sizing: border-box;" /&gt;
	• Gabinete do tipo bass-reflex&lt;br style="box-sizing: border-box;" /&gt;
	• Controle de volume e entrada do tipo RCA (modo normal e LFE)&lt;br style="box-sizing: border-box;" /&gt;
	• Função Power ON/OFF&lt;br style="box-sizing: border-box;" /&gt;
	• Power On Mode – mantenha o produto sempre ligado ou coloque no modo Auto para mater o produto ligado apenas quando tiver sinal de áudio&lt;br style="box-sizing: border-box;" /&gt;
	• Input – escolha se quer utilizar a entrada RCA estéreo (amplificadores) ou a entra RCA LFE (receivers/processadores)&lt;br style="box-sizing: border-box;" /&gt;
	• Subwoofer Level – ajuste o volume de ganho do subwoofer&lt;br style="box-sizing: border-box;" /&gt;
	• Entrada de áudio RCA LFE&lt;br style="box-sizing: border-box;" /&gt;
	• Entrada de áudio RCA estéreo&lt;br style="box-sizing: border-box;" /&gt;
	• Botão de liga/desliga&lt;br style="box-sizing: border-box;" /&gt;
	• Conector para cabo elétrico&lt;br style="box-sizing: border-box;" /&gt;
	• Dimensões do produto (AxLxC): 34,2 x 30 x 30cm&lt;br style="box-sizing: border-box;" /&gt;
	• Peso: 7,9Kg&lt;/span&gt;&lt;/span&gt;&lt;/p&gt;
	&lt;/dt&gt;
	&lt;dd class="odd" style="box-sizing: border-box; margin: 0px; padding: 4px 10px; border: 0px; font-style: inherit; font-variant: inherit; font-weight: inherit; font-stretch: inherit; line-height: inherit; font-family: inherit; font-optical-sizing: inherit; font-size-adjust: inherit; font-kerning: inherit; font-feature-settings: inherit; font-variation-settings: inherit; font-size: 14px; vertical-align: middle; position: relative; display: table-cell; width: 707.609px; height: 20px; background: var(--color-gray-50); float: none; word-break: break-word; color: var(--cor-texto-secundario);"&gt; &lt;/dd&gt;
&lt;/dl&gt;
&lt;/div&gt;
&lt;/div&gt;
&lt;/div&gt;
&lt;/div&gt;
&lt;div class="row clearfix image-left" style="box-sizing: border-box; margin: 0px; padding: 0px; border: 0px; font-style: normal; font-variant-ligatures: normal; font-variant-caps: normal; font-variant-numeric: inherit; font-variant-east-asian: inherit; font-variant-alternates: inherit; font-variant-position: inherit; font-weight: 400; font-stretch: inherit; line-height: inherit; font-family: &amp;quot;Open Sans&amp;quot;, sans-serif; font-optical-sizing: inherit; font-size-adjust: inherit; font-kerning: inherit; font-feature-settings: inherit; font-variation-settings: inherit; font-size: 16px; vertical-align: baseline; display: flex; align-items: center; gap: 50px; color: rgb(0, 0, 0); letter-spacing: normal; orphans: 2; text-align: start; text-indent: 0px; text-transform: none; widows: 2; word-spacing: 0px; -webkit-text-stroke-width: 0px; white-space: normal; background-color: rgb(255, 255, 255); text-decoration-thickness: initial; text-decoration-style: initial; text-decoration-color: initial;"&gt;
&lt;div class="content-description"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font-size: 16px; vertical-align: baseline; width: 882px;"&gt;
&lt;div class="content" style="box-sizing: border-box; margin: 0px; padding: 0px; border: 0px; font-style: normal; font-variant-ligatures: normal; font-variant-caps: normal; font-variant-numeric: inherit; font-variant-east-asian: inherit; font-variant-alternates: inherit; font-variant-position: inherit; font-weight: 400; font-stretch: inherit; line-height: inherit; font-family: &amp;quot;Nunito Sans&amp;quot;, sans-serif; font-optical-sizing: inherit; font-size-adjust: inherit; font-kerning: inherit; font-feature-settings: inherit; font-variation-settings: inherit; font-size: 16px; vertical-align: baseline; color: rgb(0, 0, 0); letter-spacing: normal; orphans: 2; text-align: start; text-indent: 0px; text-transform: none; widows: 2; word-spacing: 0px; -webkit-text-stroke-width: 0px; white-space: normal; text-decoration-thickness: initial; text-decoration-style: initial; text-decoration-color: initial;"&gt;
&lt;div class="caracteristicas-lista-corrida caracteristicas" id="tabela-medidas" style="box-sizing: border-box; margin: 30px 0px 0px; padding: 0px; border: 0px; font-style: inherit; font-variant: inherit; font-weight: inherit; font-stretch: inherit; line-height: inherit; font-family: inherit; font-optical-sizing: inherit; font-size-adjust: inherit; font-kerning: inherit; font-feature-settings: inherit; font-variation-settings: inherit; font-size: 16px; vertical-align: baseline;"&gt; &lt;/div&gt;
&lt;/div&gt;
&lt;/div&gt;
&lt;/div&gt;
&lt;div class="row clearfix image-left" style="box-sizing: border-box; margin: 0px; padding: 0px; border: 0px; font-style: normal; font-variant-ligatures: normal; font-variant-caps: normal; font-variant-numeric: inherit; font-variant-east-asian: inherit; font-variant-alternates: inherit; font-variant-position: inherit; font-weight: 400; font-stretch: inherit; line-height: inherit; font-family: &amp;quot;Open Sans&amp;quot;, sans-serif; font-optical-sizing: inherit; font-size-adjust: inherit; font-kerning: inherit; font-feature-settings: inherit; font-variation-settings: inherit; font-size: 16px; vertical-align: baseline; display: flex; align-items: center; gap: 50px; color: rgb(0, 0, 0); letter-spacing: normal; orphans: 2; text-align: start; text-indent: 0px; text-transform: none; widows: 2; word-spacing: 0px; -webkit-text-stroke-width: 0px; white-space: normal; background-color: rgb(255, 255, 255); text-decoration-thickness: initial; text-decoration-style: initial; text-decoration-color: initial;"&gt;
&lt;div class="content-description"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font-size: 16px; vertical-align: baseline; width: 882px;"&gt;
&lt;div class="content" style="box-sizing: border-box; margin: 0px; padding: 0px; border: 0px; font-style: normal; font-variant-ligatures: normal; font-variant-caps: normal; font-variant-numeric: inherit; font-variant-east-asian: inherit; font-variant-alternates: inherit; font-variant-position: inherit; font-weight: 400; font-stretch: inherit; line-height: inherit; font-family: &amp;quot;Nunito Sans&amp;quot;, sans-serif; font-optical-sizing: inherit; font-size-adjust: inherit; font-kerning: inherit; font-feature-settings: inherit; font-variation-settings: inherit; font-size: 16px; vertical-align: baseline; color: rgb(0, 0, 0); letter-spacing: normal; orphans: 2; text-align: start; text-indent: 0px; text-transform: none; widows: 2; word-spacing: 0px; -webkit-text-stroke-width: 0px; white-space: normal; text-decoration-thickness: initial; text-decoration-style: initial; text-decoration-color: initial;"&gt;
&lt;div class="caracteristicas-lista-corrida caracteristicas" id="tabela-medidas" style="box-sizing: border-box; margin: 30px 0px 0px; padding: 0px; border: 0px; font-style: inherit; font-variant: inherit; font-weight: inherit; font-stretch: inherit; line-height: inherit; font-family: inherit; font-optical-sizing: inherit; font-size-adjust: inherit; font-kerning: inherit; font-feature-settings: inherit; font-variation-settings: inherit; font-size: 16px; vertical-align: baseline;"&gt; &lt;/div&gt;
&lt;/div&gt;
&lt;/div&gt;
&lt;/div&gt;
&lt;div class="row clearfix image-left" style="box-sizing: border-box; margin: 0px; padding: 0px; border: 0px; font-style: normal; font-variant-ligatures: normal; font-variant-caps: normal; font-variant-numeric: inherit; font-variant-east-asian: inherit; font-variant-alternates: inherit; font-variant-position: inherit; font-weight: 400; font-stretch: inherit; line-height: inherit; font-family: &amp;quot;Open Sans&amp;quot;, sans-serif; font-optical-sizing: inherit; font-size-adjust: inherit; font-kerning: inherit; font-feature-settings: inherit; font-variation-settings: inherit; font-size: 16px; vertical-align: baseline; display: flex; align-items: center; gap: 50px; color: rgb(0, 0, 0); letter-spacing: normal; orphans: 2; text-align: start; text-indent: 0px; text-transform: none; widows: 2; word-spacing: 0px; -webkit-text-stroke-width: 0px; white-space: normal; background-color: rgb(255, 255, 255); text-decoration-thickness: initial; text-decoration-style: initial; text-decoration-color: initial;"&gt;
&lt;div class="content-description" style="box-sizing: border-box; margin: 0px; padding: 0px; border: 0px; font-style: inherit; font-variant: inherit; font-weight: inherit; font-stretch: inherit; line-height: inherit; font-family: inherit; font-optical-sizing: inherit; font-size-adjust: inherit; font-kerning: inherit; font-feature-settings: inherit; font-variation-settings: inherit; font-size: 16px; vertical-align: baseline; width: 882px;"&gt;
&lt;div class="content" style="box-sizing: border-box; margin:</t>
  </si>
  <si>
    <t>https://cdn.awsli.com.br/948/948321/produto/303789843/kit-5-1-home-theater-jbl-ci6sa-plus-ci6s-plus-sub-ci8p-ob8g1zlmee.PNG</t>
  </si>
  <si>
    <t>https://cdn.awsli.com.br/948/948321/produto/303789843/28913728-1-fssxvsidp6.PNG</t>
  </si>
  <si>
    <t>https://cdn.awsli.com.br/948/948321/produto/303789843/58074123-3-xfq7oy06qb.PNG</t>
  </si>
  <si>
    <t>https://cdn.awsli.com.br/948/948321/produto/303789843/58074122-4-quk03w6d77.PNG</t>
  </si>
  <si>
    <t>https://cdn.awsli.com.br/948/948321/produto/303789843/58074122-2-41ymr3o1qh.PNG</t>
  </si>
  <si>
    <t>Streaming de Áudio Digital AAT AC-1 G2</t>
  </si>
  <si>
    <t>PZ728CT9L-P3IX4XOLE</t>
  </si>
  <si>
    <t xml:space="preserve">&lt;p&gt;&lt;span style="font-size:16px;"&gt;&lt;strong&gt;DESCRIÇÃO&lt;/strong&gt;&lt;br /&gt;
&lt;br /&gt;
Conta com entrada óptica, conectividade Bluetooth 5.0 e novo controle remoto mais completo com ajustes de equalização. O AAT AudioCast AC-1 G2 pode trabalhar sozinho ou criando um sistema multizona, conectado à rede residencial Wi-Fi ou via Bluetooth.&lt;/span&gt;&lt;/p&gt;
&lt;p&gt;&lt;span style="font-size:16px;"&gt;Capacidade de multiroom para até 8 zonas (16 canais) por Wi-Fi, foi projetado para revolucionar a maneira de reproduzir música a partir de qualquer aparelho, como smartphone, tablet e notebook, pen drive ou mesmo aparelhos externos como TVs e outros eletrônicos.&lt;br /&gt;
&lt;strong&gt;CARACTERÍSTICAS&lt;/strong&gt;&lt;br /&gt;
&lt;br /&gt;
Potência MAX.: 240W RMS (120RMS por canal)&lt;br /&gt;
Potência CONT.: 120W RMS (60RMS por canal)&lt;br /&gt;
Impedancia: 4 - 16 OHMS&lt;br /&gt;
Resposta de Frequência: 10 Hz - 40 KHz&lt;br /&gt;
Dimenssões (L X P X A): 432 x 250 x 44,50mm&lt;br /&gt;
Peso: 2,7 Kg&lt;br /&gt;
Voltagem: Bi-Volt&lt;br /&gt;
Conteúdo: Streaming de Áudio Digital AAT AC-1 G2&lt;/span&gt;&lt;/p&gt;
</t>
  </si>
  <si>
    <t>https://cdn.awsli.com.br/948/948321/produto/321810879/d_nq_np_947135-mlu74161151883_012024-o-1n3j1rc6dv.png</t>
  </si>
  <si>
    <t>https://cdn.awsli.com.br/948/948321/produto/321810879/d_nq_np_714639-mlu74087757951_012024-o-brwjyl644o.png</t>
  </si>
  <si>
    <t>https://cdn.awsli.com.br/948/948321/produto/321810879/d_nq_np_849732-mlu74197124123_012024-o-7akmy68lmd.png</t>
  </si>
  <si>
    <t>https://cdn.awsli.com.br/948/948321/produto/321810879/d_nq_np_691309-mlu72984546635_112023-o-n2qirl2rec.png</t>
  </si>
  <si>
    <t>Streaming de Áudio Digital AAT AC-2 G2</t>
  </si>
  <si>
    <t>PZ728CT9L-P3IX4XOLE-AA2TSW0M2</t>
  </si>
  <si>
    <t xml:space="preserve">&lt;p&gt;&lt;span style="font-size:16px;"&gt;&lt;strong&gt;DESCRIÇÃO&lt;/strong&gt;&lt;br /&gt;
Com design slim, alta performance e eletrônica de nova geração, o AAT AudioCast AC-2 G2 traz mais avanços em relação à versão anterior, como conectividade Wi-Fi e Bluetooth, e controle remoto mais completo.&lt;/span&gt;&lt;/p&gt;
&lt;p&gt;&lt;span style="font-size:16px;"&gt;Projetado para atuar como fonte de áudio para os amplificadores multiroom digitais da AAT ou de outras marcas, proporcionando a melhor experiência sonora em ambientes residenciais ou corporativos.&lt;br /&gt;
&lt;br /&gt;
&lt;strong&gt;CARACTERÍSTICAS&lt;/strong&gt;&lt;br /&gt;
&lt;br /&gt;
Conexão: Wi-Fi 802.11 b/g/n e Bluetooth: 5.0&lt;br /&gt;
Conexão cabeada: RJ-45 10/100M&lt;br /&gt;
DAC Integrado: ESS Sabre 24bits/192 kHz&lt;br /&gt;
Resposta de Frequência: 10 Hz - 80 KHz&lt;br /&gt;
Impedância: 20 Ohms&lt;br /&gt;
Dimenssões (L X P X A): 218 x 105 x 32,50mm&lt;br /&gt;
Peso: 0,6 Kg&lt;br /&gt;
Voltagem: Bi-Volt&lt;br /&gt;
Conteúdo: Streaming de Áudio Digital AAT AC-2 G2&lt;/span&gt;&lt;/p&gt;
</t>
  </si>
  <si>
    <t>https://cdn.awsli.com.br/948/948321/produto/321828651/d_nq_np_947135-mlu74161151883_012024-o-h8i33ewtll.png</t>
  </si>
  <si>
    <t>https://cdn.awsli.com.br/948/948321/produto/321828651/d_nq_np_714639-mlu74087757951_012024-o-tau56hglll.png</t>
  </si>
  <si>
    <t>https://cdn.awsli.com.br/948/948321/produto/321828651/d_nq_np_849732-mlu74197124123_012024-o-rq9uhfeh6j.png</t>
  </si>
  <si>
    <t>https://cdn.awsli.com.br/948/948321/produto/321828651/d_nq_np_691309-mlu72984546635_112023-o-qzyfa6c3d2.png</t>
  </si>
  <si>
    <t>Amplificador Bluetooth AAT BTA-1 G2 Estéreo Compacto</t>
  </si>
  <si>
    <t>PZ728CT9L-BKJO87QZS</t>
  </si>
  <si>
    <t xml:space="preserve">&lt;p&gt;&lt;span style="font-size:16px;"&gt;&lt;strong&gt;DESCRIÇÃO&lt;/strong&gt;&lt;br /&gt;
&lt;br /&gt;
O AAT BTA-1 G2 é um amplificador digital estéreo classe D com receptor de Bluetooth V5.0, entrada auxiliar P2 (ativa quando o Bluetooth está desconectado) e fonte chaveada full-range automática de 90 a 255V. O produto pode ficar oculto no forro de gesso ou à mostra, em qualquer lugar do ambiente. No gabinete, não há teclas de comando: apenas o LED indicando se o aparelho está ligado e o Bluetooth conectado, a entrada auxiliar P2, saídas para alto-falantes e o botão de reset. O ajuste de volume e a seleção das músicas a serem reproduzidas são feitos pelo próprio celular via Bluetooth ou pelo televisor conectado à entrada auxiliar.&lt;br /&gt;
&lt;br /&gt;
&lt;strong&gt;CARACTERÍSTICAS&lt;/strong&gt;&lt;br /&gt;
&lt;br /&gt;
Potência Total: 40W@8 Ohms / 60W@4 ohms&lt;br /&gt;
Potência CONT.: 20W@8 Ohms / 30W@4 ohms&lt;br /&gt;
Impedância mínima: 4 Ohms (conecta em até 4 caixas de 8 ohms, 2 por canal com impedância de 8 ohms cada)&lt;br /&gt;
Sensibilidade: -81dB m@0.1% BER&lt;br /&gt;
Distância de recepção máxima: 10m&lt;br /&gt;
Dimenssões (L X P X A): 106 x 101 x 40 mm&lt;br /&gt;
Peso: 0,22 Kg&lt;br /&gt;
Configuração de nome e senha: Sim, em fábrica&lt;br /&gt;
Potência RMS contínua de acordo com a norma NBR- IEC 60268-3&lt;br /&gt;
Conteúdo: Amplificador AAT BTA-1 G2&lt;/span&gt;&lt;/p&gt;
</t>
  </si>
  <si>
    <t>https://cdn.awsli.com.br/948/948321/produto/321831466/banner-zoom-bta-1-g2-1-v2-fzpauv55wm.PNG</t>
  </si>
  <si>
    <t>https://cdn.awsli.com.br/948/948321/produto/321831466/banner-zoom-bta-1-g2-2-v2-h1gov1b78r.jpg</t>
  </si>
  <si>
    <t>https://cdn.awsli.com.br/948/948321/produto/321831466/banner-zoom-bta-1-g2-3-v2-b4w6ln4mfv.jpg</t>
  </si>
  <si>
    <t>https://cdn.awsli.com.br/948/948321/produto/321831466/banner-zoom-bta-1-g2-4-v2-c9uhob6vhr.jpg</t>
  </si>
  <si>
    <t>Amplificador Bluetooth AAT BTA-2 G2 Estéreo para Som Ambiente</t>
  </si>
  <si>
    <t>PZ728CT9L-BKJO87QZS-IMCNQMQCY</t>
  </si>
  <si>
    <t xml:space="preserve">&lt;p&gt;&lt;span style="font-size:16px;"&gt;&lt;strong&gt;DESCRIÇÃO&lt;/strong&gt;&lt;br /&gt;
&lt;br /&gt;
Conecta-se via receptor Bluetooth, até 10m, para a reprodução de música sem fio, inclusive a partir dos serviços Spotify, Tidal, TuneIn e outros. Também sintoniza rádios FM, porta USB frontal para pen drive, entrada de sinal de linha com saída Loop-Out e saída Lineout variável e dois canais amplificados. Solução ideal e versátil para a sonorização de pequenos ambientes residenciais, como quartos e varandas gourmet. Combina também perfeitamente com espaços empresariais de até 50m2, como consultórios, lojas, salas comerciais e escritórios.&lt;br /&gt;
&lt;br /&gt;
&lt;strong&gt;CARACTERÍSTICAS&lt;/strong&gt;&lt;br /&gt;
&lt;br /&gt;
Potência (Max.): 60W RMS (30W RMS por canal)&lt;br /&gt;
Potência (Cont.): 30W RMS (15W RMS por canal)&lt;br /&gt;
Impedância: 4-8 Ohms&lt;br /&gt;
Resposta de Frequência: 20 Hz-130 KHz&lt;br /&gt;
Sensibilidade: -76dB&lt;br /&gt;
Peso: 1,4 Kg&lt;br /&gt;
Voltagem: Bi-Volt&lt;br /&gt;
Conteúdo: Amplificador AAT BTA-2 G2&lt;/span&gt;&lt;/p&gt;
</t>
  </si>
  <si>
    <t>https://cdn.awsli.com.br/948/948321/produto/322064456/banner-zoom-bta-2-g2-1-0nfj9szcfm.jpg</t>
  </si>
  <si>
    <t>https://cdn.awsli.com.br/948/948321/produto/322064456/banner-zoom-bta-2-g2-2-fv01x74ndb.jpg</t>
  </si>
  <si>
    <t>https://cdn.awsli.com.br/948/948321/produto/322064456/banner-zoom-bta-2-g2-3-bz291p0g2c.jpg</t>
  </si>
  <si>
    <t>https://cdn.awsli.com.br/948/948321/produto/322064456/banner-zoom-bta-2-g2-4-33cg88frkt.jpg</t>
  </si>
  <si>
    <t>Amplificador Bluetooth AAT BTA-3 Estéreo para Som Ambiente</t>
  </si>
  <si>
    <t>PZ728CT9L-BKJO87QZS-IMCNQMQCY-B1X9FOOZ7</t>
  </si>
  <si>
    <t xml:space="preserve">&lt;p&gt;&lt;span style="font-size:16px;"&gt;&lt;strong&gt;DESCRIÇÃO&lt;/strong&gt;&lt;br /&gt;
&lt;br /&gt;
Amplificador 2.1 com saída para subwoofer integrada. Entradas: Bluetooth V5.0, HDMI ARC e eARC, Otica, Coaxial, pen-drive e Auxiliar. Potência de 120 W RMS ( 2x 30 W para canais L e R) e 60 W para subwoofer. Processamento DSP. Amplificadores digitais de alta eficiência. Controle remoto IR completo Opcional: subwoofer passivo de 6” ultra compacto com 100W RMS e resposta surpreendente de 40 Hz 150 Hz. AAT BTA-3: a solução da AAT com Bluetooth 5.0, HDMI ARC e eARC e amplificador embutido para subwoofer. O amplificador compacto com a maior conectividade do mercado e amplificador interno para subwoofer (vendido separadamente e opcional). Entradas BT 5.0, HDMI ARC eARC, Otica, Coaxial , Pen drive e auxiliar, com 120 W RMS de potência num design slim como só a AAT sabe fazer. Acompanha controle remotor IR completo.&lt;/span&gt;&lt;/p&gt;
&lt;p&gt;&lt;br /&gt;
&lt;span style="font-size:16px;"&gt;&lt;strong&gt;CARACTERÍSTICAS&lt;/strong&gt;&lt;br /&gt;
&lt;br /&gt;
Potência: 120 W RMS (2x30W L/R e 60 W Subwoofer). &lt;/span&gt;&lt;/p&gt;
&lt;p&gt;&lt;span style="font-size:16px;"&gt;Impedância minima: 4 Ohms &lt;/span&gt;&lt;/p&gt;
&lt;p&gt;&lt;span style="font-size:16px;"&gt;Distorção harmonica: &lt;0.1 @ 1 W. &lt;/span&gt;&lt;/p&gt;
&lt;p&gt;&lt;span style="font-size:16px;"&gt;Resposta de Frequência: 20 KHz - 22 KHz &lt;/span&gt;&lt;/p&gt;
&lt;p&gt;&lt;span style="font-size:16px;"&gt;Relação Sinal Ruído: 78 dB AAT NEW &lt;/span&gt;&lt;/p&gt;
&lt;p&gt;&lt;span style="font-size:16px;"&gt;Dimensões (LxPxA): 220x200x50 mm &lt;/span&gt;&lt;/p&gt;
&lt;p&gt;&lt;span style="font-size:16px;"&gt;Peso: 1,1 Kg&lt;br /&gt;
Conteúdo: Amplificador AAT BTA-3&lt;/span&gt;&lt;/p&gt;
</t>
  </si>
  <si>
    <t>https://cdn.awsli.com.br/948/948321/produto/323102049/banner-zoom-bta-3-t8mqfqohtj.jpg</t>
  </si>
  <si>
    <t>https://cdn.awsli.com.br/948/948321/produto/323102049/banner-zoom-bta-3-1-rep2q2rlm7.jpg</t>
  </si>
  <si>
    <t>https://cdn.awsli.com.br/948/948321/produto/323102049/banner-zoom-bta-3-2-6b6cu5410v.jpg</t>
  </si>
  <si>
    <t>https://cdn.awsli.com.br/948/948321/produto/323102049/banner-zoom-bta-3-6-o9kapuzwtv.jpg</t>
  </si>
  <si>
    <t>Subwoofer AAT Slim Passivo 6 Polegadas</t>
  </si>
  <si>
    <t>VJHFUFRXK</t>
  </si>
  <si>
    <t xml:space="preserve">&lt;p&gt;&lt;span style="font-size:16px;"&gt;&lt;strong&gt;Descrição&lt;/strong&gt;&lt;/span&gt;&lt;/p&gt;
&lt;p&gt;&lt;br /&gt;
&lt;span style="font-size:14px;"&gt;Experimente o poder e a qualidade dos graves do nosso novo subwoofer Slim passivo 6” AAT e mergulhe em uma experiência sonora impactante. Com um gabinete Slim e seu design discreto, ele se integra perfeitamente em diversos ambientes sem comprometer o espaço. Sua facilidade de instalação permite acomodá-lo na vertical ou horizontal sem alteração em seu desempenho. Mas não se engane pela sua aparência compacta, este subwoofer é extremamente eficiente em produzir graves potentes capaz de preencher salas de até 30 metros quadrados Recomendado para ser utilizado com o BTA-3, pois o sub depende de amplificação externa.&lt;/span&gt;&lt;/p&gt;
&lt;p&gt;&lt;br /&gt;
&lt;span style="font-size:16px;"&gt;&lt;strong&gt;Características&lt;/strong&gt;&lt;/span&gt;&lt;/p&gt;
&lt;p&gt; &lt;/p&gt;
&lt;p&gt;&lt;span style="font-size:14px;"&gt;Potência: 100W RMS &lt;/span&gt;&lt;/p&gt;
&lt;p&gt;&lt;span style="font-size:14px;"&gt;Driver: 6” Sintonia Bass Reflex &lt;/span&gt;&lt;/p&gt;
&lt;p&gt;&lt;span style="font-size:14px;"&gt;Impedância: 4 Ohms &lt;/span&gt;&lt;/p&gt;
&lt;p&gt;&lt;span style="font-size:14px;"&gt;Resposta de Frequência: 55 HZ – 150HZ &lt;/span&gt;&lt;/p&gt;
&lt;p&gt;&lt;span style="font-size:14px;"&gt;Dimensões (LxPxA): 133 x 367 x 350 mm &lt;/span&gt;&lt;/p&gt;
&lt;p&gt;&lt;span style="font-size:14px;"&gt;Peso: 5,9 Kg&lt;/span&gt;&lt;/p&gt;
&lt;p&gt;&lt;span style="font-size:14px;"&gt;Conteúdo: Subwoofer Slim AAT 6 Polegas&lt;/span&gt;&lt;/p&gt;
</t>
  </si>
  <si>
    <t>https://cdn.awsli.com.br/948/948321/produto/323105351/design-sem-nome---2023-11-30t172155-374-eekt0c59iz-w46fl3nvkz.png</t>
  </si>
  <si>
    <t>https://cdn.awsli.com.br/948/948321/produto/323105351/design-sem-nome---2023-11-30t172132-977-7krf4tyb83-dyo1uhbxq1.png</t>
  </si>
  <si>
    <t>https://cdn.awsli.com.br/948/948321/produto/323105351/design-sem-nome---2023-11-30t172216-865-p9ij6t5vjh-n8z2131g5k.png</t>
  </si>
  <si>
    <t>https://cdn.awsli.com.br/948/948321/produto/323105351/design-sem-nome---2023-11-30t172243-424-nmx5i6ghoc-m70nfu8x0k.png</t>
  </si>
  <si>
    <t>Kit 5.1 Home Theater JBL Receiver MA510 + Ci6SA Plus + Ci6S Plus + Sub Ci8P</t>
  </si>
  <si>
    <t>F76WGF2SS-0EGZ597FC-SAU4H7TPZ-U4JFW86Z5</t>
  </si>
  <si>
    <t>&lt;p&gt;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style="text-decoration:none"&gt;Receiver JBL MA510 5.2ch 8k Wifi Dolby Digital e DTS (1 unidade)&lt;/span&gt;&lt;/span&gt;&lt;/span&gt;&lt;/span&gt;&lt;/span&gt;&lt;/span&gt;&lt;/span&gt;&lt;/p&gt;
&lt;p style="line-height:1.38; background-color:#ffffff"&gt;&lt;br /&gt;
 &lt;/p&gt;
&lt;p style="line-height:1.38; background-color:#ffffff; padding:0pt 0pt 12pt 0pt"&gt;&lt;span style="font-size:12pt; font-variant:normal; white-space:pre-wrap"&gt;&lt;span style="font-family:Roboto,sans-serif"&gt;&lt;span style="color:#252525"&gt;&lt;span style="background-color:#ffffff"&gt;&lt;span style="font-weight:400"&gt;&lt;span style="font-style:normal"&gt;&lt;span style="text-decoration:none"&gt;O JBL MA510 é um receiver A/V que oferece um realismo espetacular com especificações HDMI 8K para uma super experiência de cinema em casa. Integre perfeitamente sua smart TV ou projetor com 4 entradas HDMI e 1 saída, além de suporte para eARC. Com decodificação nativa de 5 canais dos formatos Dolby e DTS, o MA510 pode proporcionar experiências de cinema incríveis. Ele é projetado com paixão para música e filmes, dando vida a ambos com verdadeira alta fidelidade. Conteúdo de música adicional pode ser acessado via Bluetooth e streaming de rede. O MA510 possui cinco canais de amplificação Classe D de baixo ruído para fornecer potência real a todos os canais.&lt;/span&gt;&lt;/span&gt;&lt;/span&gt;&lt;/span&gt;&lt;/span&gt;&lt;/span&gt;&lt;/span&gt;&lt;/p&gt;
&lt;p style="line-height:1.38; background-color:#ffffff; padding:0pt 0pt 12pt 0pt"&gt;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CI6SA PLUS Quadrada Angulada 160W Rms (3 unidade)&lt;/span&gt;&lt;/span&gt;&lt;/span&gt;&lt;/span&gt;&lt;/span&gt;&lt;/span&gt;&lt;/span&gt;&lt;/p&gt;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CI6S PLUS Arandela Quadrada 160W Rms (2 unidades)&lt;/span&gt;&lt;/span&gt;&lt;/span&gt;&lt;/span&gt;&lt;/span&gt;&lt;/span&gt;&lt;/span&gt;&lt;/p&gt;
&lt;p style="line-height:1.38; background-color:#ffffff; margin-bottom:16px; padding:12pt 0pt 0pt 0pt"&gt;&lt;span style="font-size:12pt; font-variant:normal; white-space:pre-wrap"&gt;&lt;span style="font-family:Roboto,sans-serif"&gt;&lt;span style="color:#252525"&gt;&lt;span style="background-color:#ffffff"&gt;&lt;span style="font-weight:400"&gt;&lt;span style="font-style:normal"&gt;&lt;span style="text-decoration:none"&gt;A nova linha Ci Plus, foi desenhada para atender o mercado especializado de home theater e o mercado de instalação de som ambiente, com formatos quadrados e retangulares, gabinetes angulados ou regulares, borda ultra fina e telas magnéticas de alumínio à prova de oxidações, para atender a demanda dos arquitetos. &lt;/span&gt;&lt;/span&gt;&lt;/span&gt;&lt;/span&gt;&lt;/span&gt;&lt;/span&gt;&lt;/span&gt;&lt;/p&gt;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style="text-decoration:none"&gt;Excelente performance sonora na categoria;&lt;/span&gt;&lt;/span&gt;&lt;/span&gt;&lt;/span&gt;&lt;/span&gt;&lt;/span&gt;&lt;/span&gt;&lt;/li&gt;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style="text-decoration:none"&gt;Instalação super fácil;&lt;/span&gt;&lt;/span&gt;&lt;/span&gt;&lt;/span&gt;&lt;/span&gt;&lt;/span&gt;&lt;/span&gt;&lt;/li&gt;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style="text-decoration:none"&gt;Design moderno e clean para atender aos mais diversos tipos de ambientes e decorações;&lt;/span&gt;&lt;/span&gt;&lt;/span&gt;&lt;/span&gt;&lt;/span&gt;&lt;/span&gt;&lt;/span&gt;&lt;/li&gt;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style="text-decoration:none"&gt;Formatos quadrados e angulados para atender a demanda dos arquitetos.&lt;/span&gt;&lt;/span&gt;&lt;/span&gt;&lt;/span&gt;&lt;/span&gt;&lt;/span&gt;&lt;/span&gt;&lt;/li&gt;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style="text-decoration:none"&gt;Novo crossover – melhor resposta de frequencias, trazendo graves mais encorpados, médios mais nítidos e agudos com maior extensão;&lt;/span&gt;&lt;/span&gt;&lt;/span&gt;&lt;/span&gt;&lt;/span&gt;&lt;/span&gt;&lt;/span&gt;&lt;/li&gt;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style="text-decoration:none"&gt;Maior potência admitida em todos os novos modelos, proporcionando a utilização de amplificadores ou receivers mais potentes;&lt;/span&gt;&lt;/span&gt;&lt;/span&gt;&lt;/span&gt;&lt;/span&gt;&lt;/span&gt;&lt;/span&gt;&lt;/li&gt;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style="text-decoration:none"&gt;Telas com fixação magnética para facilitar a instalação. Basta aproximar da caixa que a tela já se encaixa.&lt;/span&gt;&lt;/span&gt;&lt;/span&gt;&lt;/span&gt;&lt;/span&gt;&lt;/span&gt;&lt;/span&gt;&lt;/li&gt;
&lt;/ul&gt;
&lt;p&gt;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style="text-decoration:none"&gt;Subwoofer JBL Ci8P Ativo 100w 8 Polegadas Preto (1 unidade)&lt;/span&gt;&lt;/span&gt;&lt;/span&gt;&lt;/span&gt;&lt;/span&gt;&lt;/span&gt;&lt;/span&gt;&lt;/p&gt;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style="font-weight:400"&gt;&lt;span style="font-style:normal"&gt;&lt;span style="text-decoration:none"&gt;Caixa de som com subwoofer ativo e Woofer de baixa frequência em policelulose. Oferece tecnologia de som Virtual Surround, Dolby Atmos e conexão Wi-Fi. A JBL CI8P garante uma resposta de frequência de 35 Hz – 200 Hz e 100 W RMS de potência total.&lt;/span&gt;&lt;/span&gt;&lt;/span&gt;&lt;/span&gt;&lt;/span&gt;&lt;/span&gt;&lt;/span&gt;&lt;/p&gt;
&lt;p style="line-height:1.38; background-color:#ffffff; padding:3pt 0pt 0pt 0pt"&gt; &lt;/p&gt;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style="text-decoration:none"&gt;Item 1&lt;/span&gt;&lt;/span&gt;&lt;/span&gt;&lt;/span&gt;&lt;/span&gt;&lt;/span&gt;&lt;/span&gt;&lt;/p&gt;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style="text-decoration:none"&gt;Receiver JBL MA510 5.2ch 8k Wifi Dolby Digital e DTS &lt;/span&gt;&lt;/span&gt;&lt;/span&gt;&lt;/span&gt;&lt;/span&gt;&lt;/span&gt;&lt;/span&gt;&lt;br /&gt;
 &lt;/p&gt;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style="text-decoration:none"&gt;HDMI eARC: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style="text-decoration:none"&gt;Canal de retorno de áudio HDMI: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style="text-decoration:none"&gt;Conectores de entrada HDMI 8K (HDMI 2.1, HDCP 2.3 até 8K /60 Hz, 4K /120 Hz): 4&lt;/span&gt;&lt;/span&gt;&lt;/span&gt;&lt;/span&gt;&lt;/span&gt;&lt;/span&gt;&lt;/span&gt;&lt;/li&gt;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style="text-decoration:none"&gt;Recursos aprimorados de jogos HDMI 2.1: Games-VRR, ALLM, QFT, HFR (4K a 120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style="text-decoration:none"&gt;HDR 10+, Dolby Vision: Sim ,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style="text-decoration:none"&gt;Formato do arquivo: MP3 / MPEG-4 AAC&lt;/span&gt;&lt;/span&gt;&lt;/span&gt;&lt;/span&gt;&lt;/span&gt;&lt;/span&gt;&lt;/span&gt;&lt;/li&gt;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style="text-decoration:none"&gt;Pure Direct: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style="text-decoration:none"&gt;EZ Set EQ: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style="text-decoration:none"&gt;Processamento de sinal digital: até 24 bits/192 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style="text-decoration:none"&gt;Canais: 5.2&lt;/span&gt;&lt;/span&gt;&lt;/span&gt;&lt;/span&gt;&lt;/span&gt;&lt;/span&gt;&lt;/span&gt;&lt;/li&gt;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2&lt;/span&gt;&lt;/span&gt;&lt;/span&gt;&lt;/span&gt;&lt;/span&gt;&lt;/span&gt;&lt;/span&gt;&lt;/p&gt;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style="text-decoration:none"&gt;Caixa de Som JBL CI6SA PLUS Quadrada Angulada 160W Rms&lt;/span&gt;&lt;/span&gt;&lt;/span&gt;&lt;/span&gt;&lt;/span&gt;&lt;/span&gt;&lt;/span&gt;&lt;/p&gt;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Ci6SA Plus&lt;/span&gt;&lt;/span&gt;&lt;/span&gt;&lt;/span&gt;&lt;/span&gt;&lt;/span&gt;&lt;/span&gt;&lt;/li&gt;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160w&lt;/span&gt;&lt;/span&gt;&lt;/span&gt;&lt;/span&gt;&lt;/span&gt;&lt;/span&gt;&lt;/span&gt;&lt;/li&gt;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53Hz - 20kHz&lt;/span&gt;&lt;/span&gt;&lt;/span&gt;&lt;/span&gt;&lt;/span&gt;&lt;/span&gt;&lt;/span&gt;&lt;/li&gt;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90 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8 Ohms&lt;/span&gt;&lt;/span&gt;&lt;/span&gt;&lt;/span&gt;&lt;/span&gt;&lt;/span&gt;&lt;/span&gt;&lt;/li&gt;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style="text-decoration:none"&gt;Auto Falante: Woofer: Cone de Kevlar 6,5", Mid-Range: n/a&lt;/span&gt;&lt;/span&gt;&lt;/span&gt;&lt;/span&gt;&lt;/span&gt;&lt;/span&gt;&lt;/span&gt;&lt;/li&gt;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style="text-decoration:none"&gt;Tweeter: Domo de seda de 20mm&lt;/span&gt;&lt;/span&gt;&lt;/span&gt;&lt;/span&gt;&lt;/span&gt;&lt;/span&gt;&lt;/span&gt;&lt;/li&gt;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style="text-decoration:none"&gt;Tipo da tela: Magnética sem borda&lt;/span&gt;&lt;/span&gt;&lt;/span&gt;&lt;/span&gt;&lt;/span&gt;&lt;/span&gt;&lt;/span&gt;&lt;/li&gt;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de corte (A x L x C):12,4 x 20,6 x 20,6 cm&lt;/span&gt;&lt;/span&gt;&lt;/span&gt;&lt;/span&gt;&lt;/span&gt;&lt;/span&gt;&lt;/span&gt;&lt;/li&gt;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da tela (A x L): 24,2 x 24,2 cm&lt;/span&gt;&lt;/span&gt;&lt;/span&gt;&lt;/span&gt;&lt;/span&gt;&lt;/span&gt;&lt;/span&gt;&lt;/li&gt;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style="text-decoration:none"&gt;Garantia: 12 meses&lt;/span&gt;&lt;/span&gt;&lt;/span&gt;&lt;/span&gt;&lt;/span&gt;&lt;/span&gt;&lt;/span&gt;&lt;/li&gt;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style="text-decoration:none"&gt;Peso: 1,8 Kg&lt;/span&gt;&lt;/span&gt;&lt;/span&gt;&lt;/span&gt;&lt;/span&gt;&lt;/span&gt;&lt;/span&gt;&lt;br /&gt;
	 &lt;/li&gt;
&lt;/ul&gt;
&lt;p style="line-height:1.38; background-color:#ffffff; margin-top:4px"&gt;&lt;br /&gt;
&lt;span style="font-size:12pt; font-variant:normal; white-space:pre-wrap"&gt;&lt;span style="font-family:Roboto,sans-serif"&gt;&lt;span style="color:#252525"&gt;&lt;span style="background-color:#ffffff"&gt;&lt;span style="font-weight:700"&gt;&lt;span style="font-style:normal"&gt;&lt;span style="text-decoration:none"&gt;Item 3&lt;/span&gt;&lt;/span&gt;&lt;/span&gt;&lt;/span&gt;&lt;/span&gt;&lt;/span&gt;&lt;/span&gt;&lt;/p&gt;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style="text-decoration:none"&gt;Caixa de Som JBL CI6S PLUS Arandela Quadrada 160W Rms&lt;/span&gt;&lt;/span&gt;&lt;/span&gt;&lt;/span&gt;&lt;/span&gt;&lt;/span&gt;&lt;/span&gt;&lt;/p&gt;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Ci6S PLUS&lt;/span&gt;&lt;/span&gt;&lt;/span&gt;&lt;/span&gt;&lt;/span&gt;&lt;/span&gt;&lt;/span&gt;&lt;/li&gt;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160w&lt;/span&gt;&lt;/span&gt;&lt;/span&gt;&lt;/span&gt;&lt;/span&gt;&lt;/span&gt;&lt;/span&gt;&lt;/li&gt;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53Hz - 20kHz&lt;/span&gt;&lt;/span&gt;&lt;/span&gt;&lt;/span&gt;&lt;/span&gt;&lt;/span&gt;&lt;/span&gt;&lt;/li&gt;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90 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8 Ohms&lt;/span&gt;&lt;/span&gt;&lt;/span&gt;&lt;/span&gt;&lt;/span&gt;&lt;/span&gt;&lt;/span&gt;&lt;/li&gt;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style="text-decoration:none"&gt;Auto Falante: Woofer: Cone de Kevlar 6,5", Mid-Range: n/a, Tweeter: Domo de seda de 20mm&lt;/span&gt;&lt;/span&gt;&lt;/span&gt;&lt;/span&gt;&lt;/span&gt;&lt;/span&gt;&lt;/span&gt;&lt;/li&gt;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style="text-decoration:none"&gt;Tipo da tela: Magnética sem borda&lt;/span&gt;&lt;/span&gt;&lt;/span&gt;&lt;/span&gt;&lt;/span&gt;&lt;/span&gt;&lt;/span&gt;&lt;/li&gt;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style="text-decoration:none"&gt;Garantia: 12 meses&lt;/span&gt;&lt;/span&gt;&lt;/span&gt;&lt;/span&gt;&lt;/span&gt;&lt;/span&gt;&lt;/span&gt;&lt;/li&gt;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style="text-decoration:none"&gt;Peso: 1,8 Kg&lt;/span&gt;&lt;/span&gt;&lt;/span&gt;&lt;/span&gt;&lt;/span&gt;&lt;/span&gt;&lt;/span&gt;&lt;/li&gt;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4&lt;/span&gt;&lt;/span&gt;&lt;/span&gt;&lt;/span&gt;&lt;/span&gt;&lt;/span&gt;&lt;/span&gt;&lt;/p&gt;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style="text-decoration:none"&gt;Subwoofer JBL Ci8P Ativo 100w 8 Polegadas Preto&lt;/span&gt;&lt;/span&gt;&lt;/span&gt;&lt;/span&gt;&lt;/span&gt;&lt;/span&gt;&lt;/span&gt;&lt;/p&gt;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Ci8P&lt;/span&gt;&lt;/span&gt;&lt;/span&gt;&lt;/span&gt;&lt;/span&gt;&lt;/span&gt;&lt;/span&gt;&lt;/li&gt;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35 Hz – 200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style="text-decoration:none"&gt;Consumo máximo: 120w &lt;/span&gt;&lt;/span&gt;&lt;/span&gt;&lt;/span&gt;&lt;/span&gt;&lt;/span&gt;&lt;/span&gt;&lt;/li&gt;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style="text-decoration:none"&gt;Alimentação: Bivolt Automático (AC ~100-240V, 50/ 60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ativo com potência de 100 Watts RMS&lt;/span&gt;&lt;/span&gt;&lt;/span&gt;&lt;/span&gt;&lt;/span&gt;&lt;/span&gt;&lt;/span&gt;&lt;/li&gt;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style="text-decoration:none"&gt;Alto falante de policelulose de 8”&lt;/span&gt;&lt;/span&gt;&lt;/span&gt;&lt;/span&gt;&lt;/span&gt;&lt;/span&gt;&lt;/span&gt;&lt;/li&gt;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style="text-decoration:none"&gt;Gabinete do tipo bass-reflex&lt;/span&gt;&lt;/span&gt;&lt;/span&gt;&lt;/span&gt;&lt;/span&gt;&lt;/span&gt;&lt;/span&gt;&lt;/li&gt;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style="text-decoration:none"&gt;Controle de volume e entrada do tipo RCA (modo normal e LFE)&lt;/span&gt;&lt;/span&gt;&lt;/span&gt;&lt;/span&gt;&lt;/span&gt;&lt;/span&gt;&lt;/span&gt;&lt;/li&gt;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style="text-decoration:none"&gt;Função Power ON/OFF&lt;/span&gt;&lt;/span&gt;&lt;/span&gt;&lt;/span&gt;&lt;/span&gt;&lt;/span&gt;&lt;/span&gt;&lt;/li&gt;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style="text-decoration:none"&gt;Power On Mode – mantenha o produto sempre ligado ou coloque no modo&lt;/span&gt;&lt;/span&gt;&lt;/span&gt;&lt;/span&gt;&lt;/span&gt;&lt;/span&gt;&lt;/span&gt;&lt;/li&gt;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style="text-decoration:none"&gt;Auto para mater o produto ligado apenas quando tiver sinal de áudio&lt;/span&gt;&lt;/span&gt;&lt;/span&gt;&lt;/span&gt;&lt;/span&gt;&lt;/span&gt;&lt;/span&gt;&lt;/li&gt;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style="text-decoration:none"&gt;Input – escolha se quer utilizar a entrada RCA estéreo (amplificadores) ou a entra RCA LFE (receivers/processadores)&lt;/span&gt;&lt;/span&gt;&lt;/span&gt;&lt;/span&gt;&lt;/span&gt;&lt;/span&gt;&lt;/span&gt;&lt;/li&gt;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style="text-decoration:none"&gt;Subwoofer Level – ajuste o volume de ganho do subwoofer&lt;/span&gt;&lt;/span&gt;&lt;/span&gt;&lt;/span&gt;&lt;/span&gt;&lt;/span&gt;&lt;/span&gt;&lt;/li&gt;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 de áudio RCA LFE&lt;/span&gt;&lt;/span&gt;&lt;/span&gt;&lt;/span&gt;&lt;/span&gt;&lt;/span&gt;&lt;/span&gt;&lt;/li&gt;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 de áudio RCA estéreo&lt;/span&gt;&lt;/span&gt;&lt;/span&gt;&lt;/span&gt;&lt;/span&gt;&lt;/span&gt;&lt;/span&gt;&lt;/li&gt;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style="text-decoration:none"&gt;Botão de liga/desli</t>
  </si>
  <si>
    <t>https://cdn.awsli.com.br/948/948321/produto/325708475/1-2348oqr4ul.png</t>
  </si>
  <si>
    <t>https://cdn.awsli.com.br/948/948321/produto/325708475/2-fr5btpdb9b.png</t>
  </si>
  <si>
    <t>https://cdn.awsli.com.br/948/948321/produto/325708475/1-gypakuhp46.PNG</t>
  </si>
  <si>
    <t>https://cdn.awsli.com.br/948/948321/produto/325708475/d_nq_np_2x_946812-mlu71656882168_092023-f-jecjin3x6j.JPEG</t>
  </si>
  <si>
    <t>https://cdn.awsli.com.br/948/948321/produto/325708475/jbl_subwoofer_ci8p_preto_direita-0drt759tui.PNG</t>
  </si>
  <si>
    <t>Kit 7.1 Home Theater JBL Receiver MA510 + Ci6SA Plus + Ci6S Plus + Sub Ci8P</t>
  </si>
  <si>
    <t>F76WGF2SS-0EGZ597FC-SAU4H7TPZ-U4JFW86Z5-DWS0OMLD5</t>
  </si>
  <si>
    <t>&lt;p&gt;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style="text-decoration:none"&gt;Receiver JBL MA510 5.2ch 8k Wifi Dolby Digital e DTS (1 unidade)&lt;/span&gt;&lt;/span&gt;&lt;/span&gt;&lt;/span&gt;&lt;/span&gt;&lt;/span&gt;&lt;/span&gt;&lt;/p&gt;
&lt;p style="line-height:1.38; background-color:#ffffff"&gt;&lt;br /&gt;
 &lt;/p&gt;
&lt;p style="line-height:1.38; background-color:#ffffff; padding:0pt 0pt 12pt 0pt"&gt;&lt;span style="font-size:12pt; font-variant:normal; white-space:pre-wrap"&gt;&lt;span style="font-family:Roboto,sans-serif"&gt;&lt;span style="color:#252525"&gt;&lt;span style="background-color:#ffffff"&gt;&lt;span style="font-weight:400"&gt;&lt;span style="font-style:normal"&gt;&lt;span style="text-decoration:none"&gt;O JBL MA510 é um receiver A/V que oferece um realismo espetacular com especificações HDMI 8K para uma super experiência de cinema em casa. Integre perfeitamente sua smart TV ou projetor com 4 entradas HDMI e 1 saída, além de suporte para eARC. Com decodificação nativa de 5 canais dos formatos Dolby e DTS, o MA510 pode proporcionar experiências de cinema incríveis. Ele é projetado com paixão para música e filmes, dando vida a ambos com verdadeira alta fidelidade. Conteúdo de música adicional pode ser acessado via Bluetooth e streaming de rede. O MA510 possui cinco canais de amplificação Classe D de baixo ruído para fornecer potência real a todos os canais.&lt;/span&gt;&lt;/span&gt;&lt;/span&gt;&lt;/span&gt;&lt;/span&gt;&lt;/span&gt;&lt;/span&gt;&lt;/p&gt;
&lt;p style="line-height:1.38; background-color:#ffffff; padding:0pt 0pt 12pt 0pt"&gt;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CI6SA PLUS Quadrada Angulada 160W Rms (3 unidade)&lt;/span&gt;&lt;/span&gt;&lt;/span&gt;&lt;/span&gt;&lt;/span&gt;&lt;/span&gt;&lt;/span&gt;&lt;/p&gt;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CI6S PLUS Arandela Quadrada 160W Rms (4 unidades)&lt;/span&gt;&lt;/span&gt;&lt;/span&gt;&lt;/span&gt;&lt;/span&gt;&lt;/span&gt;&lt;/span&gt;&lt;/p&gt;
&lt;p style="line-height:1.38; background-color:#ffffff; margin-bottom:16px; padding:12pt 0pt 0pt 0pt"&gt;&lt;span style="font-size:12pt; font-variant:normal; white-space:pre-wrap"&gt;&lt;span style="font-family:Roboto,sans-serif"&gt;&lt;span style="color:#252525"&gt;&lt;span style="background-color:#ffffff"&gt;&lt;span style="font-weight:400"&gt;&lt;span style="font-style:normal"&gt;&lt;span style="text-decoration:none"&gt;A nova linha Ci Plus, foi desenhada para atender o mercado especializado de home theater e o mercado de instalação de som ambiente, com formatos quadrados e retangulares, gabinetes angulados ou regulares, borda ultra fina e telas magnéticas de alumínio à prova de oxidações, para atender a demanda dos arquitetos. &lt;/span&gt;&lt;/span&gt;&lt;/span&gt;&lt;/span&gt;&lt;/span&gt;&lt;/span&gt;&lt;/span&gt;&lt;/p&gt;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style="text-decoration:none"&gt;Excelente performance sonora na categoria;&lt;/span&gt;&lt;/span&gt;&lt;/span&gt;&lt;/span&gt;&lt;/span&gt;&lt;/span&gt;&lt;/span&gt;&lt;/li&gt;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style="text-decoration:none"&gt;Instalação super fácil;&lt;/span&gt;&lt;/span&gt;&lt;/span&gt;&lt;/span&gt;&lt;/span&gt;&lt;/span&gt;&lt;/span&gt;&lt;/li&gt;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style="text-decoration:none"&gt;Design moderno e clean para atender aos mais diversos tipos de ambientes e decorações;&lt;/span&gt;&lt;/span&gt;&lt;/span&gt;&lt;/span&gt;&lt;/span&gt;&lt;/span&gt;&lt;/span&gt;&lt;/li&gt;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style="text-decoration:none"&gt;Formatos quadrados e angulados para atender a demanda dos arquitetos.&lt;/span&gt;&lt;/span&gt;&lt;/span&gt;&lt;/span&gt;&lt;/span&gt;&lt;/span&gt;&lt;/span&gt;&lt;/li&gt;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style="text-decoration:none"&gt;Novo crossover – melhor resposta de frequencias, trazendo graves mais encorpados, médios mais nítidos e agudos com maior extensão;&lt;/span&gt;&lt;/span&gt;&lt;/span&gt;&lt;/span&gt;&lt;/span&gt;&lt;/span&gt;&lt;/span&gt;&lt;/li&gt;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style="text-decoration:none"&gt;Maior potência admitida em todos os novos modelos, proporcionando a utilização de amplificadores ou receivers mais potentes;&lt;/span&gt;&lt;/span&gt;&lt;/span&gt;&lt;/span&gt;&lt;/span&gt;&lt;/span&gt;&lt;/span&gt;&lt;/li&gt;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style="text-decoration:none"&gt;Telas com fixação magnética para facilitar a instalação. Basta aproximar da caixa que a tela já se encaixa.&lt;/span&gt;&lt;/span&gt;&lt;/span&gt;&lt;/span&gt;&lt;/span&gt;&lt;/span&gt;&lt;/span&gt;&lt;/li&gt;
&lt;/ul&gt;
&lt;p&gt;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style="text-decoration:none"&gt;Subwoofer JBL Ci8P Ativo 100w 8 Polegadas Preto (1 unidade)&lt;/span&gt;&lt;/span&gt;&lt;/span&gt;&lt;/span&gt;&lt;/span&gt;&lt;/span&gt;&lt;/span&gt;&lt;/p&gt;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style="font-weight:400"&gt;&lt;span style="font-style:normal"&gt;&lt;span style="text-decoration:none"&gt;Caixa de som com subwoofer ativo e Woofer de baixa frequência em policelulose. Oferece tecnologia de som Virtual Surround, Dolby Atmos e conexão Wi-Fi. A JBL CI8P garante uma resposta de frequência de 35 Hz – 200 Hz e 100 W RMS de potência total.&lt;/span&gt;&lt;/span&gt;&lt;/span&gt;&lt;/span&gt;&lt;/span&gt;&lt;/span&gt;&lt;/span&gt;&lt;/p&gt;
&lt;p style="line-height:1.38; background-color:#ffffff; padding:3pt 0pt 0pt 0pt"&gt; &lt;/p&gt;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style="text-decoration:none"&gt;Item 1&lt;/span&gt;&lt;/span&gt;&lt;/span&gt;&lt;/span&gt;&lt;/span&gt;&lt;/span&gt;&lt;/span&gt;&lt;/p&gt;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style="text-decoration:none"&gt;Receiver JBL MA510 5.2ch 8k Wifi Dolby Digital e DTS &lt;/span&gt;&lt;/span&gt;&lt;/span&gt;&lt;/span&gt;&lt;/span&gt;&lt;/span&gt;&lt;/span&gt;&lt;br /&gt;
 &lt;/p&gt;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style="text-decoration:none"&gt;HDMI eARC: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style="text-decoration:none"&gt;Canal de retorno de áudio HDMI: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style="text-decoration:none"&gt;Conectores de entrada HDMI 8K (HDMI 2.1, HDCP 2.3 até 8K /60 Hz, 4K /120 Hz): 4&lt;/span&gt;&lt;/span&gt;&lt;/span&gt;&lt;/span&gt;&lt;/span&gt;&lt;/span&gt;&lt;/span&gt;&lt;/li&gt;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style="text-decoration:none"&gt;Recursos aprimorados de jogos HDMI 2.1: Games-VRR, ALLM, QFT, HFR (4K a 120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style="text-decoration:none"&gt;HDR 10+, Dolby Vision: Sim ,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style="text-decoration:none"&gt;Formato do arquivo: MP3 / MPEG-4 AAC&lt;/span&gt;&lt;/span&gt;&lt;/span&gt;&lt;/span&gt;&lt;/span&gt;&lt;/span&gt;&lt;/span&gt;&lt;/li&gt;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style="text-decoration:none"&gt;Pure Direct: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style="text-decoration:none"&gt;EZ Set EQ: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style="text-decoration:none"&gt;Processamento de sinal digital: até 24 bits/192 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style="text-decoration:none"&gt;Canais: 5.2&lt;/span&gt;&lt;/span&gt;&lt;/span&gt;&lt;/span&gt;&lt;/span&gt;&lt;/span&gt;&lt;/span&gt;&lt;/li&gt;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2&lt;/span&gt;&lt;/span&gt;&lt;/span&gt;&lt;/span&gt;&lt;/span&gt;&lt;/span&gt;&lt;/span&gt;&lt;/p&gt;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style="text-decoration:none"&gt;Caixa de Som JBL CI6SA PLUS Quadrada Angulada 160W Rms&lt;/span&gt;&lt;/span&gt;&lt;/span&gt;&lt;/span&gt;&lt;/span&gt;&lt;/span&gt;&lt;/span&gt;&lt;/p&gt;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Ci6SA Plus&lt;/span&gt;&lt;/span&gt;&lt;/span&gt;&lt;/span&gt;&lt;/span&gt;&lt;/span&gt;&lt;/span&gt;&lt;/li&gt;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160w&lt;/span&gt;&lt;/span&gt;&lt;/span&gt;&lt;/span&gt;&lt;/span&gt;&lt;/span&gt;&lt;/span&gt;&lt;/li&gt;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53Hz - 20kHz&lt;/span&gt;&lt;/span&gt;&lt;/span&gt;&lt;/span&gt;&lt;/span&gt;&lt;/span&gt;&lt;/span&gt;&lt;/li&gt;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90 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8 Ohms&lt;/span&gt;&lt;/span&gt;&lt;/span&gt;&lt;/span&gt;&lt;/span&gt;&lt;/span&gt;&lt;/span&gt;&lt;/li&gt;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style="text-decoration:none"&gt;Auto Falante: Woofer: Cone de Kevlar 6,5", Mid-Range: n/a&lt;/span&gt;&lt;/span&gt;&lt;/span&gt;&lt;/span&gt;&lt;/span&gt;&lt;/span&gt;&lt;/span&gt;&lt;/li&gt;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style="text-decoration:none"&gt;Tweeter: Domo de seda de 20mm&lt;/span&gt;&lt;/span&gt;&lt;/span&gt;&lt;/span&gt;&lt;/span&gt;&lt;/span&gt;&lt;/span&gt;&lt;/li&gt;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style="text-decoration:none"&gt;Tipo da tela: Magnética sem borda&lt;/span&gt;&lt;/span&gt;&lt;/span&gt;&lt;/span&gt;&lt;/span&gt;&lt;/span&gt;&lt;/span&gt;&lt;/li&gt;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de corte (A x L x C):12,4 x 20,6 x 20,6 cm&lt;/span&gt;&lt;/span&gt;&lt;/span&gt;&lt;/span&gt;&lt;/span&gt;&lt;/span&gt;&lt;/span&gt;&lt;/li&gt;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da tela (A x L): 24,2 x 24,2 cm&lt;/span&gt;&lt;/span&gt;&lt;/span&gt;&lt;/span&gt;&lt;/span&gt;&lt;/span&gt;&lt;/span&gt;&lt;/li&gt;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style="text-decoration:none"&gt;Garantia: 12 meses&lt;/span&gt;&lt;/span&gt;&lt;/span&gt;&lt;/span&gt;&lt;/span&gt;&lt;/span&gt;&lt;/span&gt;&lt;/li&gt;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style="text-decoration:none"&gt;Peso: 1,8 Kg&lt;/span&gt;&lt;/span&gt;&lt;/span&gt;&lt;/span&gt;&lt;/span&gt;&lt;/span&gt;&lt;/span&gt;&lt;br /&gt;
	 &lt;/li&gt;
&lt;/ul&gt;
&lt;p style="line-height:1.38; background-color:#ffffff; margin-top:4px"&gt;&lt;br /&gt;
&lt;span style="font-size:12pt; font-variant:normal; white-space:pre-wrap"&gt;&lt;span style="font-family:Roboto,sans-serif"&gt;&lt;span style="color:#252525"&gt;&lt;span style="background-color:#ffffff"&gt;&lt;span style="font-weight:700"&gt;&lt;span style="font-style:normal"&gt;&lt;span style="text-decoration:none"&gt;Item 3&lt;/span&gt;&lt;/span&gt;&lt;/span&gt;&lt;/span&gt;&lt;/span&gt;&lt;/span&gt;&lt;/span&gt;&lt;/p&gt;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style="text-decoration:none"&gt;Caixa de Som JBL CI6S PLUS Arandela Quadrada 160W Rms&lt;/span&gt;&lt;/span&gt;&lt;/span&gt;&lt;/span&gt;&lt;/span&gt;&lt;/span&gt;&lt;/span&gt;&lt;/p&gt;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Ci6S PLUS&lt;/span&gt;&lt;/span&gt;&lt;/span&gt;&lt;/span&gt;&lt;/span&gt;&lt;/span&gt;&lt;/span&gt;&lt;/li&gt;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160w&lt;/span&gt;&lt;/span&gt;&lt;/span&gt;&lt;/span&gt;&lt;/span&gt;&lt;/span&gt;&lt;/span&gt;&lt;/li&gt;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53Hz - 20kHz&lt;/span&gt;&lt;/span&gt;&lt;/span&gt;&lt;/span&gt;&lt;/span&gt;&lt;/span&gt;&lt;/span&gt;&lt;/li&gt;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90 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8 Ohms&lt;/span&gt;&lt;/span&gt;&lt;/span&gt;&lt;/span&gt;&lt;/span&gt;&lt;/span&gt;&lt;/span&gt;&lt;/li&gt;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style="text-decoration:none"&gt;Auto Falante: Woofer: Cone de Kevlar 6,5", Mid-Range: n/a, Tweeter: Domo de seda de 20mm&lt;/span&gt;&lt;/span&gt;&lt;/span&gt;&lt;/span&gt;&lt;/span&gt;&lt;/span&gt;&lt;/span&gt;&lt;/li&gt;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style="text-decoration:none"&gt;Tipo da tela: Magnética sem borda&lt;/span&gt;&lt;/span&gt;&lt;/span&gt;&lt;/span&gt;&lt;/span&gt;&lt;/span&gt;&lt;/span&gt;&lt;/li&gt;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style="text-decoration:none"&gt;Garantia: 12 meses&lt;/span&gt;&lt;/span&gt;&lt;/span&gt;&lt;/span&gt;&lt;/span&gt;&lt;/span&gt;&lt;/span&gt;&lt;/li&gt;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style="text-decoration:none"&gt;Peso: 1,8 Kg&lt;/span&gt;&lt;/span&gt;&lt;/span&gt;&lt;/span&gt;&lt;/span&gt;&lt;/span&gt;&lt;/span&gt;&lt;/li&gt;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4&lt;/span&gt;&lt;/span&gt;&lt;/span&gt;&lt;/span&gt;&lt;/span&gt;&lt;/span&gt;&lt;/span&gt;&lt;/p&gt;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style="text-decoration:none"&gt;Subwoofer JBL Ci8P Ativo 100w 8 Polegadas Preto&lt;/span&gt;&lt;/span&gt;&lt;/span&gt;&lt;/span&gt;&lt;/span&gt;&lt;/span&gt;&lt;/span&gt;&lt;/p&gt;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Ci8P&lt;/span&gt;&lt;/span&gt;&lt;/span&gt;&lt;/span&gt;&lt;/span&gt;&lt;/span&gt;&lt;/span&gt;&lt;/li&gt;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35 Hz – 200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style="text-decoration:none"&gt;Consumo máximo: 120w &lt;/span&gt;&lt;/span&gt;&lt;/span&gt;&lt;/span&gt;&lt;/span&gt;&lt;/span&gt;&lt;/span&gt;&lt;/li&gt;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style="text-decoration:none"&gt;Alimentação: Bivolt Automático (AC ~100-240V, 50/ 60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ativo com potência de 100 Watts RMS&lt;/span&gt;&lt;/span&gt;&lt;/span&gt;&lt;/span&gt;&lt;/span&gt;&lt;/span&gt;&lt;/span&gt;&lt;/li&gt;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style="text-decoration:none"&gt;Alto falante de policelulose de 8”&lt;/span&gt;&lt;/span&gt;&lt;/span&gt;&lt;/span&gt;&lt;/span&gt;&lt;/span&gt;&lt;/span&gt;&lt;/li&gt;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style="text-decoration:none"&gt;Gabinete do tipo bass-reflex&lt;/span&gt;&lt;/span&gt;&lt;/span&gt;&lt;/span&gt;&lt;/span&gt;&lt;/span&gt;&lt;/span&gt;&lt;/li&gt;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style="text-decoration:none"&gt;Controle de volume e entrada do tipo RCA (modo normal e LFE)&lt;/span&gt;&lt;/span&gt;&lt;/span&gt;&lt;/span&gt;&lt;/span&gt;&lt;/span&gt;&lt;/span&gt;&lt;/li&gt;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style="text-decoration:none"&gt;Função Power ON/OFF&lt;/span&gt;&lt;/span&gt;&lt;/span&gt;&lt;/span&gt;&lt;/span&gt;&lt;/span&gt;&lt;/span&gt;&lt;/li&gt;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style="text-decoration:none"&gt;Power On Mode – mantenha o produto sempre ligado ou coloque no modo&lt;/span&gt;&lt;/span&gt;&lt;/span&gt;&lt;/span&gt;&lt;/span&gt;&lt;/span&gt;&lt;/span&gt;&lt;/li&gt;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style="text-decoration:none"&gt;Auto para mater o produto ligado apenas quando tiver sinal de áudio&lt;/span&gt;&lt;/span&gt;&lt;/span&gt;&lt;/span&gt;&lt;/span&gt;&lt;/span&gt;&lt;/span&gt;&lt;/li&gt;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style="text-decoration:none"&gt;Input – escolha se quer utilizar a entrada RCA estéreo (amplificadores) ou a entra RCA LFE (receivers/processadores)&lt;/span&gt;&lt;/span&gt;&lt;/span&gt;&lt;/span&gt;&lt;/span&gt;&lt;/span&gt;&lt;/span&gt;&lt;/li&gt;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style="text-decoration:none"&gt;Subwoofer Level – ajuste o volume de ganho do subwoofer&lt;/span&gt;&lt;/span&gt;&lt;/span&gt;&lt;/span&gt;&lt;/span&gt;&lt;/span&gt;&lt;/span&gt;&lt;/li&gt;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 de áudio RCA LFE&lt;/span&gt;&lt;/span&gt;&lt;/span&gt;&lt;/span&gt;&lt;/span&gt;&lt;/span&gt;&lt;/span&gt;&lt;/li&gt;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 de áudio RCA estéreo&lt;/span&gt;&lt;/span&gt;&lt;/span&gt;&lt;/span&gt;&lt;/span&gt;&lt;/span&gt;&lt;/span&gt;&lt;/li&gt;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style="text-decoration:none"&gt;Botão de liga/desli</t>
  </si>
  <si>
    <t>https://cdn.awsli.com.br/948/948321/produto/325733274/1-0hr1zdror8.png</t>
  </si>
  <si>
    <t>https://cdn.awsli.com.br/948/948321/produto/325733274/2-azdazkhatm.png</t>
  </si>
  <si>
    <t>https://cdn.awsli.com.br/948/948321/produto/325733274/ls_jbl_ma510_receivers_right_facing_2_blk_d3-y4mygm6rlt.PNG</t>
  </si>
  <si>
    <t>https://cdn.awsli.com.br/948/948321/produto/325733274/d_nq_np_2x_946812-mlu71656882168_092023-f-gg4in14von.JPEG</t>
  </si>
  <si>
    <t>https://cdn.awsli.com.br/948/948321/produto/325733274/1-8ewyg1tu8o.PNG</t>
  </si>
  <si>
    <t>Kit 7.1 Home Theater JBL Receiver MA510 + Ci6SA Plus + Ci6S Plus + Sub 200P</t>
  </si>
  <si>
    <t>F76WGF2SS-0EGZ597FC-SAU4H7TPZ-U4JFW86Z5-DWS0OMLD5-VW46PI1CK</t>
  </si>
  <si>
    <t xml:space="preserve">&lt;p&gt;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style="text-decoration:none"&gt;Receiver JBL MA510 5.2ch 8k Wifi Dolby Digital e DTS (1 unidade)&lt;/span&gt;&lt;/span&gt;&lt;/span&gt;&lt;/span&gt;&lt;/span&gt;&lt;/span&gt;&lt;/span&gt;&lt;/p&gt;
&lt;p style="line-height:1.38; background-color:#ffffff"&gt;&lt;br /&gt;
 &lt;/p&gt;
&lt;p style="line-height:1.38; background-color:#ffffff; padding:0pt 0pt 12pt 0pt"&gt;&lt;span style="font-size:12pt; font-variant:normal; white-space:pre-wrap"&gt;&lt;span style="font-family:Roboto,sans-serif"&gt;&lt;span style="color:#252525"&gt;&lt;span style="background-color:#ffffff"&gt;&lt;span style="font-weight:400"&gt;&lt;span style="font-style:normal"&gt;&lt;span style="text-decoration:none"&gt;O JBL MA510 é um receiver A/V que oferece um realismo espetacular com especificações HDMI 8K para uma super experiência de cinema em casa. Integre perfeitamente sua smart TV ou projetor com 4 entradas HDMI e 1 saída, além de suporte para eARC. Com decodificação nativa de 5 canais dos formatos Dolby e DTS, o MA510 pode proporcionar experiências de cinema incríveis. Ele é projetado com paixão para música e filmes, dando vida a ambos com verdadeira alta fidelidade. Conteúdo de música adicional pode ser acessado via Bluetooth e streaming de rede. O MA510 possui cinco canais de amplificação Classe D de baixo ruído para fornecer potência real a todos os canais.&lt;/span&gt;&lt;/span&gt;&lt;/span&gt;&lt;/span&gt;&lt;/span&gt;&lt;/span&gt;&lt;/span&gt;&lt;/p&gt;
&lt;p style="line-height:1.38; background-color:#ffffff; padding:0pt 0pt 12pt 0pt"&gt;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CI6SA PLUS Quadrada Angulada 160W Rms (3 unidade)&lt;/span&gt;&lt;/span&gt;&lt;/span&gt;&lt;/span&gt;&lt;/span&gt;&lt;/span&gt;&lt;/span&gt;&lt;/p&gt;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CI6S PLUS Arandela Quadrada 160W Rms (4 unidades)&lt;/span&gt;&lt;/span&gt;&lt;/span&gt;&lt;/span&gt;&lt;/span&gt;&lt;/span&gt;&lt;/span&gt;&lt;/p&gt;
&lt;p style="line-height:1.38; background-color:#ffffff; margin-bottom:16px; padding:12pt 0pt 0pt 0pt"&gt;&lt;span style="font-size:12pt; font-variant:normal; white-space:pre-wrap"&gt;&lt;span style="font-family:Roboto,sans-serif"&gt;&lt;span style="color:#252525"&gt;&lt;span style="background-color:#ffffff"&gt;&lt;span style="font-weight:400"&gt;&lt;span style="font-style:normal"&gt;&lt;span style="text-decoration:none"&gt;A nova linha Ci Plus, foi desenhada para atender o mercado especializado de home theater e o mercado de instalação de som ambiente, com formatos quadrados e retangulares, gabinetes angulados ou regulares, borda ultra fina e telas magnéticas de alumínio à prova de oxidações, para atender a demanda dos arquitetos. &lt;/span&gt;&lt;/span&gt;&lt;/span&gt;&lt;/span&gt;&lt;/span&gt;&lt;/span&gt;&lt;/span&gt;&lt;/p&gt;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style="text-decoration:none"&gt;Excelente performance sonora na categoria;&lt;/span&gt;&lt;/span&gt;&lt;/span&gt;&lt;/span&gt;&lt;/span&gt;&lt;/span&gt;&lt;/span&gt;&lt;/li&gt;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style="text-decoration:none"&gt;Instalação super fácil;&lt;/span&gt;&lt;/span&gt;&lt;/span&gt;&lt;/span&gt;&lt;/span&gt;&lt;/span&gt;&lt;/span&gt;&lt;/li&gt;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style="text-decoration:none"&gt;Design moderno e clean para atender aos mais diversos tipos de ambientes e decorações;&lt;/span&gt;&lt;/span&gt;&lt;/span&gt;&lt;/span&gt;&lt;/span&gt;&lt;/span&gt;&lt;/span&gt;&lt;/li&gt;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style="text-decoration:none"&gt;Formatos quadrados e angulados para atender a demanda dos arquitetos.&lt;/span&gt;&lt;/span&gt;&lt;/span&gt;&lt;/span&gt;&lt;/span&gt;&lt;/span&gt;&lt;/span&gt;&lt;/li&gt;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style="text-decoration:none"&gt;Novo crossover – melhor resposta de frequencias, trazendo graves mais encorpados, médios mais nítidos e agudos com maior extensão;&lt;/span&gt;&lt;/span&gt;&lt;/span&gt;&lt;/span&gt;&lt;/span&gt;&lt;/span&gt;&lt;/span&gt;&lt;/li&gt;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style="text-decoration:none"&gt;Maior potência admitida em todos os novos modelos, proporcionando a utilização de amplificadores ou receivers mais potentes;&lt;/span&gt;&lt;/span&gt;&lt;/span&gt;&lt;/span&gt;&lt;/span&gt;&lt;/span&gt;&lt;/span&gt;&lt;/li&gt;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style="text-decoration:none"&gt;Telas com fixação magnética para facilitar a instalação. Basta aproximar da caixa que a tela já se encaixa.&lt;/span&gt;&lt;/span&gt;&lt;/span&gt;&lt;/span&gt;&lt;/span&gt;&lt;/span&gt;&lt;/span&gt;&lt;/li&gt;
&lt;/ul&gt;
&lt;p&gt;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style="text-decoration:none"&gt;Subwoofer JBL 200P Ativo 300w 10 Polegadas Preto (1 unidade)&lt;/span&gt;&lt;/span&gt;&lt;/span&gt;&lt;/span&gt;&lt;/span&gt;&lt;/span&gt;&lt;/span&gt;&lt;/p&gt;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style="font-weight:400"&gt;&lt;span style="font-style:normal"&gt;&lt;span style="text-decoration:none"&gt;Projetada em nosso mundialmente famoso Centro de Excelência em Engenharia Acústica em Northridge, Califórnia, o Stage 200P é um subwoofer ativo por 300W RMS perfeitamente combinado com toda a série Stage e oferece a emoção dos graves que os clientes desejam. Este subwoofer apresenta um woofer de baixa frequência em policelulose de alta excursão e disparo frontal de 250 mm (10 pol.) com duas portas traseiras ajustadas para disparo que fornece graves JBL profundos, potentes e exclusivos. Uma completa opção de controles proporciona fácil integração do sistema.&lt;/span&gt;&lt;/span&gt;&lt;/span&gt;&lt;/span&gt;&lt;/span&gt;&lt;/span&gt;&lt;/span&gt;&lt;/p&gt;
&lt;p style="line-height:1.38; background-color:#ffffff; padding:3pt 0pt 0pt 0pt"&gt; &lt;/p&gt;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style="text-decoration:none"&gt;Item 1&lt;/span&gt;&lt;/span&gt;&lt;/span&gt;&lt;/span&gt;&lt;/span&gt;&lt;/span&gt;&lt;/span&gt;&lt;/p&gt;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style="text-decoration:none"&gt;Receiver JBL MA510 5.2ch 8k Wifi Dolby Digital e DTS &lt;/span&gt;&lt;/span&gt;&lt;/span&gt;&lt;/span&gt;&lt;/span&gt;&lt;/span&gt;&lt;/span&gt;&lt;br /&gt;
 &lt;/p&gt;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style="text-decoration:none"&gt;HDMI eARC: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style="text-decoration:none"&gt;Canal de retorno de áudio HDMI: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style="text-decoration:none"&gt;Conectores de entrada HDMI 8K (HDMI 2.1, HDCP 2.3 até 8K /60 Hz, 4K /120 Hz): 4&lt;/span&gt;&lt;/span&gt;&lt;/span&gt;&lt;/span&gt;&lt;/span&gt;&lt;/span&gt;&lt;/span&gt;&lt;/li&gt;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style="text-decoration:none"&gt;Recursos aprimorados de jogos HDMI 2.1: Games-VRR, ALLM, QFT, HFR (4K a 120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style="text-decoration:none"&gt;HDR 10+, Dolby Vision: Sim ,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style="text-decoration:none"&gt;Formato do arquivo: MP3 / MPEG-4 AAC&lt;/span&gt;&lt;/span&gt;&lt;/span&gt;&lt;/span&gt;&lt;/span&gt;&lt;/span&gt;&lt;/span&gt;&lt;/li&gt;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style="text-decoration:none"&gt;Pure Direct: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style="text-decoration:none"&gt;EZ Set EQ: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style="text-decoration:none"&gt;Processamento de sinal digital: até 24 bits/192 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style="text-decoration:none"&gt;Canais: 5.2&lt;/span&gt;&lt;/span&gt;&lt;/span&gt;&lt;/span&gt;&lt;/span&gt;&lt;/span&gt;&lt;/span&gt;&lt;/li&gt;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2&lt;/span&gt;&lt;/span&gt;&lt;/span&gt;&lt;/span&gt;&lt;/span&gt;&lt;/span&gt;&lt;/span&gt;&lt;/p&gt;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style="text-decoration:none"&gt;Caixa de Som JBL CI6SA PLUS Quadrada Angulada 160W Rms&lt;/span&gt;&lt;/span&gt;&lt;/span&gt;&lt;/span&gt;&lt;/span&gt;&lt;/span&gt;&lt;/span&gt;&lt;/p&gt;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Ci6SA Plus&lt;/span&gt;&lt;/span&gt;&lt;/span&gt;&lt;/span&gt;&lt;/span&gt;&lt;/span&gt;&lt;/span&gt;&lt;/li&gt;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160w&lt;/span&gt;&lt;/span&gt;&lt;/span&gt;&lt;/span&gt;&lt;/span&gt;&lt;/span&gt;&lt;/span&gt;&lt;/li&gt;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53Hz - 20kHz&lt;/span&gt;&lt;/span&gt;&lt;/span&gt;&lt;/span&gt;&lt;/span&gt;&lt;/span&gt;&lt;/span&gt;&lt;/li&gt;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90 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8 Ohms&lt;/span&gt;&lt;/span&gt;&lt;/span&gt;&lt;/span&gt;&lt;/span&gt;&lt;/span&gt;&lt;/span&gt;&lt;/li&gt;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style="text-decoration:none"&gt;Auto Falante: Woofer: Cone de Kevlar 6,5", Mid-Range: n/a&lt;/span&gt;&lt;/span&gt;&lt;/span&gt;&lt;/span&gt;&lt;/span&gt;&lt;/span&gt;&lt;/span&gt;&lt;/li&gt;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style="text-decoration:none"&gt;Tweeter: Domo de seda de 20mm&lt;/span&gt;&lt;/span&gt;&lt;/span&gt;&lt;/span&gt;&lt;/span&gt;&lt;/span&gt;&lt;/span&gt;&lt;/li&gt;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style="text-decoration:none"&gt;Tipo da tela: Magnética sem borda&lt;/span&gt;&lt;/span&gt;&lt;/span&gt;&lt;/span&gt;&lt;/span&gt;&lt;/span&gt;&lt;/span&gt;&lt;/li&gt;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de corte (A x L x C):12,4 x 20,6 x 20,6 cm&lt;/span&gt;&lt;/span&gt;&lt;/span&gt;&lt;/span&gt;&lt;/span&gt;&lt;/span&gt;&lt;/span&gt;&lt;/li&gt;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da tela (A x L): 24,2 x 24,2 cm&lt;/span&gt;&lt;/span&gt;&lt;/span&gt;&lt;/span&gt;&lt;/span&gt;&lt;/span&gt;&lt;/span&gt;&lt;/li&gt;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style="text-decoration:none"&gt;Garantia: 12 meses&lt;/span&gt;&lt;/span&gt;&lt;/span&gt;&lt;/span&gt;&lt;/span&gt;&lt;/span&gt;&lt;/span&gt;&lt;/li&gt;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style="text-decoration:none"&gt;Peso: 1,8 Kg&lt;/span&gt;&lt;/span&gt;&lt;/span&gt;&lt;/span&gt;&lt;/span&gt;&lt;/span&gt;&lt;/span&gt;&lt;br /&gt;
	 &lt;/li&gt;
&lt;/ul&gt;
&lt;p style="line-height:1.38; background-color:#ffffff; margin-top:4px"&gt;&lt;br /&gt;
&lt;span style="font-size:12pt; font-variant:normal; white-space:pre-wrap"&gt;&lt;span style="font-family:Roboto,sans-serif"&gt;&lt;span style="color:#252525"&gt;&lt;span style="background-color:#ffffff"&gt;&lt;span style="font-weight:700"&gt;&lt;span style="font-style:normal"&gt;&lt;span style="text-decoration:none"&gt;Item 3&lt;/span&gt;&lt;/span&gt;&lt;/span&gt;&lt;/span&gt;&lt;/span&gt;&lt;/span&gt;&lt;/span&gt;&lt;/p&gt;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style="text-decoration:none"&gt;Caixa de Som JBL CI6S PLUS Arandela Quadrada 160W Rms&lt;/span&gt;&lt;/span&gt;&lt;/span&gt;&lt;/span&gt;&lt;/span&gt;&lt;/span&gt;&lt;/span&gt;&lt;/p&gt;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Ci6S PLUS&lt;/span&gt;&lt;/span&gt;&lt;/span&gt;&lt;/span&gt;&lt;/span&gt;&lt;/span&gt;&lt;/span&gt;&lt;/li&gt;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160w&lt;/span&gt;&lt;/span&gt;&lt;/span&gt;&lt;/span&gt;&lt;/span&gt;&lt;/span&gt;&lt;/span&gt;&lt;/li&gt;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53Hz - 20kHz&lt;/span&gt;&lt;/span&gt;&lt;/span&gt;&lt;/span&gt;&lt;/span&gt;&lt;/span&gt;&lt;/span&gt;&lt;/li&gt;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90 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8 Ohms&lt;/span&gt;&lt;/span&gt;&lt;/span&gt;&lt;/span&gt;&lt;/span&gt;&lt;/span&gt;&lt;/span&gt;&lt;/li&gt;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style="text-decoration:none"&gt;Auto Falante: Woofer: Cone de Kevlar 6,5", Mid-Range: n/a, Tweeter: Domo de seda de 20mm&lt;/span&gt;&lt;/span&gt;&lt;/span&gt;&lt;/span&gt;&lt;/span&gt;&lt;/span&gt;&lt;/span&gt;&lt;/li&gt;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style="text-decoration:none"&gt;Tipo da tela: Magnética sem borda&lt;/span&gt;&lt;/span&gt;&lt;/span&gt;&lt;/span&gt;&lt;/span&gt;&lt;/span&gt;&lt;/span&gt;&lt;/li&gt;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style="text-decoration:none"&gt;Garantia: 12 meses&lt;/span&gt;&lt;/span&gt;&lt;/span&gt;&lt;/span&gt;&lt;/span&gt;&lt;/span&gt;&lt;/span&gt;&lt;/li&gt;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style="text-decoration:none"&gt;Peso: 1,8 Kg&lt;/span&gt;&lt;/span&gt;&lt;/span&gt;&lt;/span&gt;&lt;/span&gt;&lt;/span&gt;&lt;/span&gt;&lt;/li&gt;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4&lt;/span&gt;&lt;/span&gt;&lt;/span&gt;&lt;/span&gt;&lt;/span&gt;&lt;/span&gt;&lt;/span&gt;&lt;/p&gt;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style="text-decoration:none"&gt;Subwoofer JBL 200P Ativo 300w 10 Polegadas Preto&lt;/span&gt;&lt;/span&gt;&lt;/span&gt;&lt;/span&gt;&lt;/span&gt;&lt;/span&gt;&lt;/span&gt;&lt;/p&gt;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200P&lt;/span&gt;&lt;/span&gt;&lt;/span&gt;&lt;/span&gt;&lt;/span&gt;&lt;/span&gt;&lt;/span&gt;&lt;/li&gt;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300W&lt;/span&gt;&lt;/span&gt;&lt;/span&gt;&lt;/span&gt;&lt;/span&gt;&lt;/span&gt;&lt;/span&gt;&lt;/li&gt;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style="text-decoration:none"&gt;Tipo: Subwoofer ativo&lt;/span&gt;&lt;/span&gt;&lt;/span&gt;&lt;/span&gt;&lt;/span&gt;&lt;/span&gt;&lt;/span&gt;&lt;/li&gt;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style="text-decoration:none"&gt;Driver de baixa frequência: policelulose canelada de alta oscilação de 250mm (10 pol.)&lt;/span&gt;&lt;/span&gt;&lt;/span&gt;&lt;/span&gt;&lt;/span&gt;&lt;/span&gt;&lt;/span&gt;&lt;/li&gt;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do amplificador: 150 W RMS (300 W Dinâmicos)&lt;/span&gt;&lt;/span&gt;&lt;/span&gt;&lt;/span&gt;&lt;/span&gt;&lt;/span&gt;&lt;/span&gt;&lt;/li&gt;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 6dB: 28 Hz a 150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style="text-decoration:none"&gt;Frequências de crossover: 50 Hz a 150 Hz (variável) 24 dB/oitava&lt;/span&gt;&lt;/span&gt;&lt;/span&gt;&lt;/span&gt;&lt;/span&gt;&lt;/span&gt;&lt;/span&gt;&lt;/li&gt;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style="text-decoration:none"&gt;Controles: 35 Hz a 150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style="text-decoration:none"&gt;Controles: Energização automática, Crossover, Nível, Fase&lt;/span&gt;&lt;/span&gt;&lt;/span&gt;&lt;/span&gt;&lt;/span&gt;&lt;/span&gt;&lt;/span&gt;&lt;/li&gt;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style="text-decoration:none"&gt;Entradas: Uma (1) entrada LFE de nível de linha&lt;/span&gt;&lt;/span&gt;&lt;/span&gt;&lt;/span&gt;&lt;/span&gt;&lt;/span&gt;&lt;/span&gt;&lt;/li&gt;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style="text-decoration:none"&gt;Afinamento do gabinete: Bass-Reflex via duplo duto traseiro sintonizado&lt;/span&gt;&lt;/span&gt;&lt;/span&gt;&lt;/span&gt;&lt;/span&gt;&lt;/span&gt;&lt;/span&gt;&lt;/li&gt;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style="text-decoration:none"&gt;Requisitos de energia: 120 V, 60 Hz (EUA); 220 V–230 V, 50/60 Hz (UE)&lt;/span&gt;&lt;/span&gt;&lt;/span&gt;&lt;/span&gt;&lt;/span&gt;&lt;/span&gt;&lt;/span&gt;&lt;/li&gt;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style="text-decoration:none"&gt;Consumo de energia: &lt; 0,5 W (espera)/205 W/1,6 A (máx de 230 V)/205 W/3,15 A (máx de 120 V)&lt;/span&gt;&lt;/span&gt;&lt;/span&gt;&lt;/span&gt;&lt;/span&gt;&lt;/span&gt;&lt;/span&gt;&lt;/li&gt;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5&lt;/span&gt;&lt;/span&gt;&lt;/span&gt;&lt;/span&gt;&lt;/span&gt;&lt;/span&gt;&lt;/span&gt;&lt;/p&gt;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style="text-decoration:none"&gt;Cabos&lt;/span&gt;&lt;/span&gt;&lt;/span&gt;&lt;/span&gt;&lt;/span&gt;&lt;/span&gt;&lt;/span&gt;&lt;/p&gt;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style="text-decoration:none"&gt;50m de Cabo Paralelo Bicolor 2 X </t>
  </si>
  <si>
    <t>https://cdn.awsli.com.br/948/948321/produto/326191586/1-hhwqaipk6e.png</t>
  </si>
  <si>
    <t>https://cdn.awsli.com.br/948/948321/produto/326191586/2-6fypo3w6jg.png</t>
  </si>
  <si>
    <t>https://cdn.awsli.com.br/948/948321/produto/326191586/ls_jbl_ma510_receivers_right_facing_2_blk_d3-s4z6ei5sc1.PNG</t>
  </si>
  <si>
    <t>https://cdn.awsli.com.br/948/948321/produto/326191586/d_nq_np_2x_946812-mlu71656882168_092023-f-ud25khpykw.JPEG</t>
  </si>
  <si>
    <t>https://cdn.awsli.com.br/948/948321/produto/326191586/5-82mecmi7q1.PNG</t>
  </si>
  <si>
    <t>Kit 5.1 Home Theater JBL Receiver MA510 + STAGE 260C + STAGE 260CSA + Sub 200P</t>
  </si>
  <si>
    <t>F76WGF2SS-0EGZ597FC-SAU4H7TPZ-U4JFW86Z5-DWS0OMLD5-VW46PI1CK-DLWCB0C8H</t>
  </si>
  <si>
    <t xml:space="preserve">&lt;p&gt;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style="text-decoration:none"&gt;Receiver JBL MA510 5.2ch 8k Wifi Dolby Digital e DTS (1 unidade)&lt;/span&gt;&lt;/span&gt;&lt;/span&gt;&lt;/span&gt;&lt;/span&gt;&lt;/span&gt;&lt;/span&gt;&lt;/p&gt;
&lt;p style="line-height:1.38; background-color:#ffffff"&gt;&lt;br /&gt;
 &lt;/p&gt;
&lt;p style="line-height:1.38; background-color:#ffffff; padding:0pt 0pt 12pt 0pt"&gt;&lt;span style="font-size:12pt; font-variant:normal; white-space:pre-wrap"&gt;&lt;span style="font-family:Roboto,sans-serif"&gt;&lt;span style="color:#252525"&gt;&lt;span style="background-color:#ffffff"&gt;&lt;span style="font-weight:400"&gt;&lt;span style="font-style:normal"&gt;&lt;span style="text-decoration:none"&gt;O JBL MA510 é um receiver A/V que oferece um realismo espetacular com especificações HDMI 8K para uma super experiência de cinema em casa. Integre perfeitamente sua smart TV ou projetor com 4 entradas HDMI e 1 saída, além de suporte para eARC. Com decodificação nativa de 5 canais dos formatos Dolby e DTS, o MA510 pode proporcionar experiências de cinema incríveis. Ele é projetado com paixão para música e filmes, dando vida a ambos com verdadeira alta fidelidade. Conteúdo de música adicional pode ser acessado via Bluetooth e streaming de rede. O MA510 possui cinco canais de amplificação Classe D de baixo ruído para fornecer potência real a todos os canais.&lt;/span&gt;&lt;/span&gt;&lt;/span&gt;&lt;/span&gt;&lt;/span&gt;&lt;/span&gt;&lt;/span&gt;&lt;/p&gt;
&lt;p style="line-height:1.38; background-color:#ffffff; padding:0pt 0pt 12pt 0pt"&gt;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 Reta 100W Rms (3 unidade)&lt;/span&gt;&lt;/span&gt;&lt;/span&gt;&lt;/span&gt;&lt;/span&gt;&lt;/span&gt;&lt;/span&gt;&lt;/p&gt;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260CSA Angulada 100W Rms (2 unidade)&lt;/span&gt;&lt;/span&gt;&lt;/span&gt;&lt;/span&gt;&lt;/span&gt;&lt;/span&gt;&lt;/span&gt;&lt;/p&gt;
&lt;p style="line-height:1.38; margin-top:16px; margin-bottom:16px"&gt;&lt;span style="font-size:12pt; font-variant:normal; white-space:pre-wrap"&gt;&lt;span style="font-family:Roboto,sans-serif"&gt;&lt;span style="color:#252525"&gt;&lt;span style="background-color:#ffffff"&gt;&lt;span style="font-weight:400"&gt;&lt;span style="font-style:normal"&gt;&lt;span style="text-decoration:none"&gt;A linha Stage possui um woofer de cone de policelulose de 6,5" (165 mm) e um tweeter de cúpula de alumínio de 1" (25 mm) com guia de onda de lente acústica. Uma grade de moldura zero visualmente discreta e fácil instalação permitem que esses alto-falantes sejam ouvidos e não vistos. Elementos incluindo defletores com suavização acústica e tweeters de lentes acústicas foram incorporados ao design para garantir que o som seja claro e preciso.&lt;/span&gt;&lt;/span&gt;&lt;/span&gt;&lt;/span&gt;&lt;/span&gt;&lt;/span&gt;&lt;/span&gt;&lt;/p&gt;
&lt;p&gt;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style="text-decoration:none"&gt;Subwoofer JBL 200P Ativo 300w 10 Polegadas Preto (1 unidade)&lt;/span&gt;&lt;/span&gt;&lt;/span&gt;&lt;/span&gt;&lt;/span&gt;&lt;/span&gt;&lt;/span&gt;&lt;/p&gt;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style="font-weight:400"&gt;&lt;span style="font-style:normal"&gt;&lt;span style="text-decoration:none"&gt;Projetada em nosso mundialmente famoso Centro de Excelência em Engenharia Acústica em Northridge, Califórnia, o Stage 200P é um subwoofer ativo por 300W RMS perfeitamente combinado com toda a série Stage e oferece a emoção dos graves que os clientes desejam. Este subwoofer apresenta um woofer de baixa frequência em policelulose de alta excursão e disparo frontal de 250 mm (10 pol.) com duas portas traseiras ajustadas para disparo que fornece graves JBL profundos, potentes e exclusivos. Uma completa opção de controles proporciona fácil integração do sistema.&lt;/span&gt;&lt;/span&gt;&lt;/span&gt;&lt;/span&gt;&lt;/span&gt;&lt;/span&gt;&lt;/span&gt;&lt;/p&gt;
&lt;p style="line-height:1.38; background-color:#ffffff; padding:3pt 0pt 0pt 0pt"&gt; &lt;/p&gt;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style="text-decoration:none"&gt;Item 1&lt;/span&gt;&lt;/span&gt;&lt;/span&gt;&lt;/span&gt;&lt;/span&gt;&lt;/span&gt;&lt;/span&gt;&lt;/p&gt;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style="text-decoration:none"&gt;Receiver JBL MA510 5.2ch 8k Wifi Dolby Digital e DTS &lt;/span&gt;&lt;/span&gt;&lt;/span&gt;&lt;/span&gt;&lt;/span&gt;&lt;/span&gt;&lt;/span&gt;&lt;br /&gt;
 &lt;/p&gt;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style="text-decoration:none"&gt;HDMI eARC: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style="text-decoration:none"&gt;Canal de retorno de áudio HDMI: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style="text-decoration:none"&gt;Conectores de entrada HDMI 8K (HDMI 2.1, HDCP 2.3 até 8K /60 Hz, 4K /120 Hz): 4&lt;/span&gt;&lt;/span&gt;&lt;/span&gt;&lt;/span&gt;&lt;/span&gt;&lt;/span&gt;&lt;/span&gt;&lt;/li&gt;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style="text-decoration:none"&gt;Recursos aprimorados de jogos HDMI 2.1: Games-VRR, ALLM, QFT, HFR (4K a 120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style="text-decoration:none"&gt;HDR 10+, Dolby Vision: Sim ,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style="text-decoration:none"&gt;Formato do arquivo: MP3 / MPEG-4 AAC&lt;/span&gt;&lt;/span&gt;&lt;/span&gt;&lt;/span&gt;&lt;/span&gt;&lt;/span&gt;&lt;/span&gt;&lt;/li&gt;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style="text-decoration:none"&gt;Pure Direct: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style="text-decoration:none"&gt;EZ Set EQ: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style="text-decoration:none"&gt;Processamento de sinal digital: até 24 bits/192 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style="text-decoration:none"&gt;Canais: 5.2&lt;/span&gt;&lt;/span&gt;&lt;/span&gt;&lt;/span&gt;&lt;/span&gt;&lt;/span&gt;&lt;/span&gt;&lt;/li&gt;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2&lt;/span&gt;&lt;/span&gt;&lt;/span&gt;&lt;/span&gt;&lt;/span&gt;&lt;/span&gt;&lt;/span&gt;&lt;/p&gt;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 Reta 100W&lt;/span&gt;&lt;/span&gt;&lt;/span&gt;&lt;/span&gt;&lt;/span&gt;&lt;/span&gt;&lt;/span&gt;&lt;/p&gt;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STAGE 260C&lt;/span&gt;&lt;/span&gt;&lt;/span&gt;&lt;/span&gt;&lt;/span&gt;&lt;/span&gt;&lt;/span&gt;&lt;/li&gt;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alta frequência: domo de alumínio de 1" (25 mm) com lente acústica&lt;/span&gt;&lt;/span&gt;&lt;/span&gt;&lt;/span&gt;&lt;/span&gt;&lt;/span&gt;&lt;/span&gt;&lt;/li&gt;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baixa frequência: woofer de cone de policelulose de 6,5" (165 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recomendada do amplificador (Full Range): 20-100W RMS&lt;/span&gt;&lt;/span&gt;&lt;/span&gt;&lt;/span&gt;&lt;/span&gt;&lt;/span&gt;&lt;/span&gt;&lt;/li&gt;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50Hz-25kHz (-6dB )&lt;/span&gt;&lt;/span&gt;&lt;/span&gt;&lt;/span&gt;&lt;/span&gt;&lt;/span&gt;&lt;/span&gt;&lt;/li&gt;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(2,83V@1m): 87dB&lt;/span&gt;&lt;/span&gt;&lt;/span&gt;&lt;/span&gt;&lt;/span&gt;&lt;/span&gt;&lt;/span&gt;&lt;/li&gt;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nominal: 8ohm&lt;/span&gt;&lt;/span&gt;&lt;/span&gt;&lt;/span&gt;&lt;/span&gt;&lt;/span&gt;&lt;/span&gt;&lt;/li&gt;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style="text-decoration:none"&gt;Frequência de crossover: 3000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style="text-decoration:none"&gt;Entradas: conectores niquelados com mola&lt;/span&gt;&lt;/span&gt;&lt;/span&gt;&lt;/span&gt;&lt;/span&gt;&lt;/span&gt;&lt;/span&gt;&lt;/li&gt;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da grade: Diâmetro&lt;/span&gt;&lt;/span&gt;&lt;/span&gt;&lt;/span&gt;&lt;/span&gt;&lt;/span&gt;&lt;/span&gt;&lt;/li&gt;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do recorte: Diâmetro&lt;/span&gt;&lt;/span&gt;&lt;/span&gt;&lt;/span&gt;&lt;/span&gt;&lt;/span&gt;&lt;/span&gt;&lt;/li&gt;
&lt;/ul&gt;
&lt;p style="line-height:1.38; background-color:#ffffff; margin-top:4px"&gt;&lt;br /&gt;
&lt;span style="font-size:12pt; font-variant:normal; white-space:pre-wrap"&gt;&lt;span style="font-family:Roboto,sans-serif"&gt;&lt;span style="color:#252525"&gt;&lt;span style="background-color:#ffffff"&gt;&lt;span style="font-weight:700"&gt;&lt;span style="font-style:normal"&gt;&lt;span style="text-decoration:none"&gt;Item 3&lt;/span&gt;&lt;/span&gt;&lt;/span&gt;&lt;/span&gt;&lt;/span&gt;&lt;/span&gt;&lt;/span&gt;&lt;/p&gt;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260CSA Angulada 100W&lt;/span&gt;&lt;/span&gt;&lt;/span&gt;&lt;/span&gt;&lt;/span&gt;&lt;/span&gt;&lt;/span&gt;&lt;/p&gt;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STAGE 260CSA&lt;/span&gt;&lt;/span&gt;&lt;/span&gt;&lt;/span&gt;&lt;/span&gt;&lt;/span&gt;&lt;/span&gt;&lt;/li&gt;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alta frequência: domo de alumínio de 1" (25 mm) com lente acústica&lt;/span&gt;&lt;/span&gt;&lt;/span&gt;&lt;/span&gt;&lt;/span&gt;&lt;/span&gt;&lt;/span&gt;&lt;/li&gt;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baixa frequência: woofer de cone de policelulose de 6,5" (165 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recomendada do amplificador (Full Range): 20-100W RMS&lt;/span&gt;&lt;/span&gt;&lt;/span&gt;&lt;/span&gt;&lt;/span&gt;&lt;/span&gt;&lt;/span&gt;&lt;/li&gt;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50Hz-25kHz (-6dB )&lt;/span&gt;&lt;/span&gt;&lt;/span&gt;&lt;/span&gt;&lt;/span&gt;&lt;/span&gt;&lt;/span&gt;&lt;/li&gt;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(2,83V@1m): 87dB&lt;/span&gt;&lt;/span&gt;&lt;/span&gt;&lt;/span&gt;&lt;/span&gt;&lt;/span&gt;&lt;/span&gt;&lt;/li&gt;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nominal: 8ohm&lt;/span&gt;&lt;/span&gt;&lt;/span&gt;&lt;/span&gt;&lt;/span&gt;&lt;/span&gt;&lt;/span&gt;&lt;/li&gt;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style="text-decoration:none"&gt;Frequência de crossover: 2800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style="text-decoration:none"&gt;Entradas: conectores niquelados com mola&lt;/span&gt;&lt;/span&gt;&lt;/span&gt;&lt;/span&gt;&lt;/span&gt;&lt;/span&gt;&lt;/span&gt;&lt;/li&gt;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da grade: A 9,8 pol. (248 mm) x L 9,8 pol. (248 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do recorte: A 8,6 pol. (219 mm) x L 8,6 pol. (219 mm)&lt;/span&gt;&lt;/span&gt;&lt;/span&gt;&lt;/span&gt;&lt;/span&gt;&lt;/span&gt;&lt;/span&gt;&lt;/li&gt;
&lt;/ul&gt;
&lt;p&gt; &lt;/p&gt;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4&lt;/span&gt;&lt;/span&gt;&lt;/span&gt;&lt;/span&gt;&lt;/span&gt;&lt;/span&gt;&lt;/span&gt;&lt;/p&gt;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style="text-decoration:none"&gt;Subwoofer JBL 200P Ativo 300w 10 Polegadas Preto&lt;/span&gt;&lt;/span&gt;&lt;/span&gt;&lt;/span&gt;&lt;/span&gt;&lt;/span&gt;&lt;/span&gt;&lt;/p&gt;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200P&lt;/span&gt;&lt;/span&gt;&lt;/span&gt;&lt;/span&gt;&lt;/span&gt;&lt;/span&gt;&lt;/span&gt;&lt;/li&gt;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300W&lt;/span&gt;&lt;/span&gt;&lt;/span&gt;&lt;/span&gt;&lt;/span&gt;&lt;/span&gt;&lt;/span&gt;&lt;/li&gt;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style="text-decoration:none"&gt;Tipo: Subwoofer ativo&lt;/span&gt;&lt;/span&gt;&lt;/span&gt;&lt;/span&gt;&lt;/span&gt;&lt;/span&gt;&lt;/span&gt;&lt;/li&gt;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style="text-decoration:none"&gt;Driver de baixa frequência: policelulose canelada de alta oscilação de 250mm (10 pol.)&lt;/span&gt;&lt;/span&gt;&lt;/span&gt;&lt;/span&gt;&lt;/span&gt;&lt;/span&gt;&lt;/span&gt;&lt;/li&gt;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do amplificador: 150 W RMS (300 W Dinâmicos)&lt;/span&gt;&lt;/span&gt;&lt;/span&gt;&lt;/span&gt;&lt;/span&gt;&lt;/span&gt;&lt;/span&gt;&lt;/li&gt;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 6dB: 28 Hz a 150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style="text-decoration:none"&gt;Frequências de crossover: 50 Hz a 150 Hz (variável) 24 dB/oitava&lt;/span&gt;&lt;/span&gt;&lt;/span&gt;&lt;/span&gt;&lt;/span&gt;&lt;/span&gt;&lt;/span&gt;&lt;/li&gt;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style="text-decoration:none"&gt;Controles: 35 Hz a 150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style="text-decoration:none"&gt;Controles: Energização automática, Crossover, Nível, Fase&lt;/span&gt;&lt;/span&gt;&lt;/span&gt;&lt;/span&gt;&lt;/span&gt;&lt;/span&gt;&lt;/span&gt;&lt;/li&gt;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style="text-decoration:none"&gt;Entradas: Uma (1) entrada LFE de nível de linha&lt;/span&gt;&lt;/span&gt;&lt;/span&gt;&lt;/span&gt;&lt;/span&gt;&lt;/span&gt;&lt;/span&gt;&lt;/li&gt;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style="text-decoration:none"&gt;Afinamento do gabinete: Bass-Reflex via duplo duto traseiro sintonizado&lt;/span&gt;&lt;/span&gt;&lt;/span&gt;&lt;/span&gt;&lt;/span&gt;&lt;/span&gt;&lt;/span&gt;&lt;/li&gt;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style="text-decoration:none"&gt;Requisitos de energia: 120 V, 60 Hz (EUA); 220 V–230 V, 50/60 Hz (UE)&lt;/span&gt;&lt;/span&gt;&lt;/span&gt;&lt;/span&gt;&lt;/span&gt;&lt;/span&gt;&lt;/span&gt;&lt;/li&gt;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style="text-decoration:none"&gt;Consumo de energia: &lt; 0,5 W (espera)/205 W/1,6 A (máx de 230 V)/205 W/3,15 A (máx de 120 V)&lt;/span&gt;&lt;/span&gt;&lt;/span&gt;&lt;/span&gt;&lt;/span&gt;&lt;/span&gt;&lt;/span&gt;&lt;/li&gt;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5&lt;/span&gt;&lt;/span&gt;&lt;/span&gt;&lt;/span&gt;&lt;/span&gt;&lt;/span&gt;&lt;/span&gt;&lt;/p&gt;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style="text-decoration:none"&gt;Cabos&lt;/span&gt;&lt;/span&gt;&lt;/span&gt;&lt;/span&gt;&lt;/span&gt;&lt;/span&gt;&lt;/span&gt;&lt;/p&gt;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style="text-decoration:none"&gt;50m de Cabo Paralelo Bicolor 2 X 1,5mm&lt;/span&gt;&lt;/span&gt;&lt;/span&gt;&lt;/span&gt;&lt;/span&gt;&lt;/span&gt;&lt;/span&gt;&lt;/li&gt;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style="text-decoration:none"&gt;3m de Cabo HDMI 4k 2.1 &lt;/span&gt;&lt;/span&gt;&lt;/span&gt;&lt;/span&gt;&lt;/span&gt;&lt;/span&gt;&lt;/span&gt;&lt;/li&gt;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style="text-decoration:none"&gt;3m de Cabo de Subwoofer RCA &lt;/span&gt;&lt;/span&gt;&lt;/span&gt;&lt;/span&gt;&lt;/span&gt;&lt;/span&gt;&lt;/span&gt;&lt;/li&gt;
&lt;/ul&gt;
</t>
  </si>
  <si>
    <t>https://cdn.awsli.com.br/948/948321/produto/326197163/stage-5-1-10pol-2jiqlqpefs.png</t>
  </si>
  <si>
    <t>https://cdn.awsli.com.br/948/948321/produto/326197163/2-vgl4x1jqj4.png</t>
  </si>
  <si>
    <t>https://cdn.awsli.com.br/948/948321/produto/326197163/ls_jbl_ma510_receivers_right_facing_2_blk_d3-4npu0a7fzc.PNG</t>
  </si>
  <si>
    <t>https://cdn.awsli.com.br/948/948321/produto/326197163/jbl-stage-260csa----2--angled-no-grille---1605x1605-cfnii9lyss.png</t>
  </si>
  <si>
    <t>https://cdn.awsli.com.br/948/948321/produto/326197163/jbl_stage_260c_-2-_angled_no_grille_1605x1605-84nvtk2fdc.png</t>
  </si>
  <si>
    <t>Kit 7.1 Home Theater JBL Receiver MA7100HP + STAGE 260C + STAGE 260CSA + Sub 200P</t>
  </si>
  <si>
    <t>F76WGF2SS-0EGZ597FC-SAU4H7TPZ-U4JFW86Z5-DWS0OMLD5-VW46PI1CK-DLWCB0C8H-CN7XJGVW8</t>
  </si>
  <si>
    <t>Kit 7.1 Home Theater JBL Receiver MA7100HP + STAGE 260C + STAGE 260CSA</t>
  </si>
  <si>
    <t>Receiver JBL MA7100HP 7.2ch 8k Wifi Dolby Digital e DTS (1 unidade)   Som de Alta Definição com Potência Profissional O JBL MA7100HP</t>
  </si>
  <si>
    <t>&lt;p&gt;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style="text-decoration:none"&gt;Receiver JBL MA7100HP 7.2ch 8k Wifi Dolby Digital e DTS (1 unidade)&lt;/span&gt;&lt;/span&gt;&lt;/span&gt;&lt;/span&gt;&lt;/span&gt;&lt;/span&gt;&lt;/span&gt;&lt;/p&gt;
&lt;p style="line-height:1.38; background-color:#ffffff"&gt; &lt;/p&gt;
&lt;div class="content" style="padding-bottom: 1em; color: rgb(0, 0, 0); font-family: abc-diatype, &amp;quot;ABC Diatype&amp;quot;, roc-grotesk, &amp;quot;system-ui&amp;quot;, -apple-system, BlinkMacSystemFont, &amp;quot;Segoe UI&amp;quot;, Roboto, Oxygen-Sans, Ubuntu, Cantarell, &amp;quot;Helvetica Neue&amp;quot;, sans-serif; font-size: 16px;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initial;"&gt;&lt;slot&gt;
&lt;div class="spec-body" style="box-sizing: border-box; padding: 0px 1.2rem; font-family: var(--font-body,&amp;quot;Arial&amp;quot;);"&gt;
&lt;h6 style="font-family: var(--font-body); line-height: 1.4; font-stretch: condensed; font-variation-settings: &amp;quot;wdth&amp;quot; 75; font-weight: 700; text-wrap: pretty; font-size: var(--f-l); box-sizing: border-box; margin-top: 0px; margin-bottom: 0.5rem;"&gt;Som de Alta Definição com Potência Profissional&lt;/h6&gt;
&lt;p style="box-sizing: border-box; margin-top: 0px; margin-bottom: 1rem; font-size: var(--f-m); line-height: 1.4;"&gt;O JBL MA7100HP é um receiver A/V de alta performance que proporciona um realismo impressionante com as mais recentes especificações HDMI 8K e decodificação nativa de áudio imersivo de Dolby Atmos e DTS:X em 7 canais, para a experiência definitiva de cinema em casa. Integre perfeitamente sua smart TV ou projetor com 6 entradas HDMI e 2 saídas, além de eARC. Projetado com paixão para música e filmes, o MA7100HP dá vida a ambos com verdadeira alta fidelidade. O MA7100HP possui sete canais de amplificação Classe D de baixo ruído para fornecer potência real a todos os canais. Além da entrada de phono para Moving Magnet integrada para conectar um toca-discos, um conteúdo musical adicional pode ser acessado imediatamente através do streaming integrado usando Apple Airplay 2, Google Chromecast e Bluetooth AptX Adaptive. Levando o desempenho para o próximo nível, o MA7100HP vem com “Dirac Live Ready” para correção automática de sala, garantindo uma qualidade sonora de alta fidelidade e permitindo que integradores e usuários avançados otimizem o sistema de acordo com a acústica pessoal de sua sala. Com uma saída de vídeo HDMI secundária e zona de áudio, o conteúdo também pode ser disponibilizado em um local secundário. Além dos controles físicos, o MA7100HP permite o controle IP para integração de sistemas de controle de terceiros.&lt;/p&gt;
&lt;dl class="spec-list" style="box-sizing: border-box; margin: 0px; padding: 0px; display: flex; flex-wrap: wrap;"&gt;
&lt;/dl&gt;
&lt;/div&gt;
&lt;/slot&gt;&lt;/div&gt;
&lt;p style="line-height:1.38; background-color:#ffffff; padding:0pt 0pt 12pt 0pt"&gt;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 Reta 100W Rms (3 unidade)&lt;/span&gt;&lt;/span&gt;&lt;/span&gt;&lt;/span&gt;&lt;/span&gt;&lt;/span&gt;&lt;/span&gt;&lt;/p&gt;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260CSA Angulada 100W Rms (4 unidade)&lt;/span&gt;&lt;/span&gt;&lt;/span&gt;&lt;/span&gt;&lt;/span&gt;&lt;/span&gt;&lt;/span&gt;&lt;/p&gt;
&lt;p style="line-height:1.38; margin-top:16px; margin-bottom:16px"&gt;&lt;span style="font-size:12pt; font-variant:normal; white-space:pre-wrap"&gt;&lt;span style="font-family:Roboto,sans-serif"&gt;&lt;span style="color:#252525"&gt;&lt;span style="background-color:#ffffff"&gt;&lt;span style="font-weight:400"&gt;&lt;span style="font-style:normal"&gt;&lt;span style="text-decoration:none"&gt;A linha Stage possui um woofer de cone de policelulose de 6,5" (165 mm) e um tweeter de cúpula de alumínio de 1" (25 mm) com guia de onda de lente acústica. Uma grade de moldura zero visualmente discreta e fácil instalação permitem que esses alto-falantes sejam ouvidos e não vistos. Elementos incluindo defletores com suavização acústica e tweeters de lentes acústicas foram incorporados ao design para garantir que o som seja claro e preciso.&lt;/span&gt;&lt;/span&gt;&lt;/span&gt;&lt;/span&gt;&lt;/span&gt;&lt;/span&gt;&lt;/span&gt;&lt;/p&gt;
&lt;p&gt;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style="text-decoration:none"&gt;Subwoofer JBL 200P Ativo 300w 10 Polegadas Preto (1 unidade)&lt;/span&gt;&lt;/span&gt;&lt;/span&gt;&lt;/span&gt;&lt;/span&gt;&lt;/span&gt;&lt;/span&gt;&lt;/p&gt;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style="font-weight:400"&gt;&lt;span style="font-style:normal"&gt;&lt;span style="text-decoration:none"&gt;Projetada em nosso mundialmente famoso Centro de Excelência em Engenharia Acústica em Northridge, Califórnia, o Stage 200P é um subwoofer ativo por 300W RMS perfeitamente combinado com toda a série Stage e oferece a emoção dos graves que os clientes desejam. Este subwoofer apresenta um woofer de baixa frequência em policelulose de alta excursão e disparo frontal de 250 mm (10 pol.) com duas portas traseiras ajustadas para disparo que fornece graves JBL profundos, potentes e exclusivos. Uma completa opção de controles proporciona fácil integração do sistema.&lt;/span&gt;&lt;/span&gt;&lt;/span&gt;&lt;/span&gt;&lt;/span&gt;&lt;/span&gt;&lt;/span&gt;&lt;/p&gt;
&lt;p style="line-height:1.38; background-color:#ffffff; padding:3pt 0pt 0pt 0pt"&gt; &lt;/p&gt;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style="text-decoration:none"&gt;Item 1&lt;/span&gt;&lt;/span&gt;&lt;/span&gt;&lt;/span&gt;&lt;/span&gt;&lt;/span&gt;&lt;/span&gt;&lt;/p&gt;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style="text-decoration:none"&gt;Receiver JBL MA7100HP 7.2ch 8k Wifi Dolby Digital e DTS &lt;/span&gt;&lt;/span&gt;&lt;/span&gt;&lt;/span&gt;&lt;/span&gt;&lt;/span&gt;&lt;/span&gt;&lt;br /&gt;
 &lt;/p&gt;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style="text-decoration:none"&gt;HDMI eARC: Sim&lt;/span&gt;&lt;/span&gt;&lt;/span&gt;&lt;/span&gt;&lt;/span&gt;&lt;/span&gt;&lt;/span&gt;&lt;/li&gt;
	&lt;li aria-level="1" style="list-style-type:disc"&gt;&lt;font color="#252525" face="Roboto, sans-serif"&gt;&lt;span style="font-size: 16px; white-space-collapse: preserve;"&gt;Potência: 125w rms em 8 Ohms e 175w rms em 4 Ohms&lt;/span&gt;&lt;/font&gt;&lt;/li&gt;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style="text-decoration:none"&gt;Canal de retorno de áudio HDMI: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style="text-decoration:none"&gt;Conectores de entrada HDMI 8K (HDMI 2.1, HDCP 2.3 até 8K /60 Hz, 4K /120 Hz): 4&lt;/span&gt;&lt;/span&gt;&lt;/span&gt;&lt;/span&gt;&lt;/span&gt;&lt;/span&gt;&lt;/span&gt;&lt;/li&gt;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style="text-decoration:none"&gt;Recursos aprimorados de jogos HDMI 2.1: Games-VRR, ALLM, QFT, HFR (4K a 120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style="text-decoration:none"&gt;HDR 10+, Dolby Vision: Sim ,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style="text-decoration:none"&gt;Formato do arquivo: MP3 / MPEG-4 AAC&lt;/span&gt;&lt;/span&gt;&lt;/span&gt;&lt;/span&gt;&lt;/span&gt;&lt;/span&gt;&lt;/span&gt;&lt;/li&gt;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style="text-decoration:none"&gt;Pure Direct: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style="text-decoration:none"&gt;EZ Set EQ: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style="text-decoration:none"&gt;Processamento de sinal digital: até 24 bits/192 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style="text-decoration:none"&gt;Canais: 7.2&lt;/span&gt;&lt;/span&gt;&lt;/span&gt;&lt;/span&gt;&lt;/span&gt;&lt;/span&gt;&lt;/span&gt;&lt;/li&gt;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2&lt;/span&gt;&lt;/span&gt;&lt;/span&gt;&lt;/span&gt;&lt;/span&gt;&lt;/span&gt;&lt;/span&gt;&lt;/p&gt;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 Reta 100W&lt;/span&gt;&lt;/span&gt;&lt;/span&gt;&lt;/span&gt;&lt;/span&gt;&lt;/span&gt;&lt;/span&gt;&lt;/p&gt;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STAGE 260C&lt;/span&gt;&lt;/span&gt;&lt;/span&gt;&lt;/span&gt;&lt;/span&gt;&lt;/span&gt;&lt;/span&gt;&lt;/li&gt;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alta frequência: domo de alumínio de 1" (25 mm) com lente acústica&lt;/span&gt;&lt;/span&gt;&lt;/span&gt;&lt;/span&gt;&lt;/span&gt;&lt;/span&gt;&lt;/span&gt;&lt;/li&gt;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baixa frequência: woofer de cone de policelulose de 6,5" (165 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recomendada do amplificador (Full Range): 20-100W RMS&lt;/span&gt;&lt;/span&gt;&lt;/span&gt;&lt;/span&gt;&lt;/span&gt;&lt;/span&gt;&lt;/span&gt;&lt;/li&gt;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50Hz-25kHz (-6dB )&lt;/span&gt;&lt;/span&gt;&lt;/span&gt;&lt;/span&gt;&lt;/span&gt;&lt;/span&gt;&lt;/span&gt;&lt;/li&gt;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(2,83V@1m): 87dB&lt;/span&gt;&lt;/span&gt;&lt;/span&gt;&lt;/span&gt;&lt;/span&gt;&lt;/span&gt;&lt;/span&gt;&lt;/li&gt;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nominal: 8ohm&lt;/span&gt;&lt;/span&gt;&lt;/span&gt;&lt;/span&gt;&lt;/span&gt;&lt;/span&gt;&lt;/span&gt;&lt;/li&gt;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style="text-decoration:none"&gt;Frequência de crossover: 3000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style="text-decoration:none"&gt;Entradas: conectores niquelados com mola&lt;/span&gt;&lt;/span&gt;&lt;/span&gt;&lt;/span&gt;&lt;/span&gt;&lt;/span&gt;&lt;/span&gt;&lt;/li&gt;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da grade: Diâmetro&lt;/span&gt;&lt;/span&gt;&lt;/span&gt;&lt;/span&gt;&lt;/span&gt;&lt;/span&gt;&lt;/span&gt;&lt;/li&gt;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do recorte: Diâmetro&lt;/span&gt;&lt;/span&gt;&lt;/span&gt;&lt;/span&gt;&lt;/span&gt;&lt;/span&gt;&lt;/span&gt;&lt;/li&gt;
&lt;/ul&gt;
&lt;p style="line-height:1.38; background-color:#ffffff; margin-top:4px"&gt;&lt;br /&gt;
&lt;span style="font-size:12pt; font-variant:normal; white-space:pre-wrap"&gt;&lt;span style="font-family:Roboto,sans-serif"&gt;&lt;span style="color:#252525"&gt;&lt;span style="background-color:#ffffff"&gt;&lt;span style="font-weight:700"&gt;&lt;span style="font-style:normal"&gt;&lt;span style="text-decoration:none"&gt;Item 3&lt;/span&gt;&lt;/span&gt;&lt;/span&gt;&lt;/span&gt;&lt;/span&gt;&lt;/span&gt;&lt;/span&gt;&lt;/p&gt;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260CSA Angulada 100W&lt;/span&gt;&lt;/span&gt;&lt;/span&gt;&lt;/span&gt;&lt;/span&gt;&lt;/span&gt;&lt;/span&gt;&lt;/p&gt;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STAGE 260CSA&lt;/span&gt;&lt;/span&gt;&lt;/span&gt;&lt;/span&gt;&lt;/span&gt;&lt;/span&gt;&lt;/span&gt;&lt;/li&gt;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alta frequência: domo de alumínio de 1" (25 mm) com lente acústica&lt;/span&gt;&lt;/span&gt;&lt;/span&gt;&lt;/span&gt;&lt;/span&gt;&lt;/span&gt;&lt;/span&gt;&lt;/li&gt;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baixa frequência: woofer de cone de policelulose de 6,5" (165 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recomendada do amplificador (Full Range): 20-100W RMS&lt;/span&gt;&lt;/span&gt;&lt;/span&gt;&lt;/span&gt;&lt;/span&gt;&lt;/span&gt;&lt;/span&gt;&lt;/li&gt;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50Hz-25kHz (-6dB )&lt;/span&gt;&lt;/span&gt;&lt;/span&gt;&lt;/span&gt;&lt;/span&gt;&lt;/span&gt;&lt;/span&gt;&lt;/li&gt;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(2,83V@1m): 87dB&lt;/span&gt;&lt;/span&gt;&lt;/span&gt;&lt;/span&gt;&lt;/span&gt;&lt;/span&gt;&lt;/span&gt;&lt;/li&gt;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nominal: 8ohm&lt;/span&gt;&lt;/span&gt;&lt;/span&gt;&lt;/span&gt;&lt;/span&gt;&lt;/span&gt;&lt;/span&gt;&lt;/li&gt;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style="text-decoration:none"&gt;Frequência de crossover: 2800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style="text-decoration:none"&gt;Entradas: conectores niquelados com mola&lt;/span&gt;&lt;/span&gt;&lt;/span&gt;&lt;/span&gt;&lt;/span&gt;&lt;/span&gt;&lt;/span&gt;&lt;/li&gt;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da grade: A 9,8 pol. (248 mm) x L 9,8 pol. (248 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do recorte: A 8,6 pol. (219 mm) x L 8,6 pol. (219 mm)&lt;/span&gt;&lt;/span&gt;&lt;/span&gt;&lt;/span&gt;&lt;/span&gt;&lt;/span&gt;&lt;/span&gt;&lt;/li&gt;
&lt;/ul&gt;
&lt;p&gt; &lt;/p&gt;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4&lt;/span&gt;&lt;/span&gt;&lt;/span&gt;&lt;/span&gt;&lt;/span&gt;&lt;/span&gt;&lt;/span&gt;&lt;/p&gt;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style="text-decoration:none"&gt;Subwoofer JBL 200P Ativo 300w 10 Polegadas Preto&lt;/span&gt;&lt;/span&gt;&lt;/span&gt;&lt;/span&gt;&lt;/span&gt;&lt;/span&gt;&lt;/span&gt;&lt;/p&gt;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200P&lt;/span&gt;&lt;/span&gt;&lt;/span&gt;&lt;/span&gt;&lt;/span&gt;&lt;/span&gt;&lt;/span&gt;&lt;/li&gt;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300W&lt;/span&gt;&lt;/span&gt;&lt;/span&gt;&lt;/span&gt;&lt;/span&gt;&lt;/span&gt;&lt;/span&gt;&lt;/li&gt;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style="text-decoration:none"&gt;Tipo: Subwoofer ativo&lt;/span&gt;&lt;/span&gt;&lt;/span&gt;&lt;/span&gt;&lt;/span&gt;&lt;/span&gt;&lt;/span&gt;&lt;/li&gt;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style="text-decoration:none"&gt;Driver de baixa frequência: policelulose canelada de alta oscilação de 250mm (10 pol.)&lt;/span&gt;&lt;/span&gt;&lt;/span&gt;&lt;/span&gt;&lt;/span&gt;&lt;/span&gt;&lt;/span&gt;&lt;/li&gt;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do amplificador: 150 W RMS (300 W Dinâmicos)&lt;/span&gt;&lt;/span&gt;&lt;/span&gt;&lt;/span&gt;&lt;/span&gt;&lt;/span&gt;&lt;/span&gt;&lt;/li&gt;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 6dB: 28 Hz a 150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style="text-decoration:none"&gt;Frequências de crossover: 50 Hz a 150 Hz (variável) 24 dB/oitava&lt;/span&gt;&lt;/span&gt;&lt;/span&gt;&lt;/span&gt;&lt;/span&gt;&lt;/span&gt;&lt;/span&gt;&lt;/li&gt;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style="text-decoration:none"&gt;Controles: 35 Hz a 150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style="text-decoration:none"&gt;Controles: Energização automática, Crossover, Nível, Fase&lt;/span&gt;&lt;/span&gt;&lt;/span&gt;&lt;/span&gt;&lt;/span&gt;&lt;/span&gt;&lt;/span&gt;&lt;/li&gt;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style="text-decoration:none"&gt;Entradas: Uma (1) entrada LFE de nível de linha&lt;/span&gt;&lt;/span&gt;&lt;/span&gt;&lt;/span&gt;&lt;/span&gt;&lt;/span&gt;&lt;/span&gt;&lt;/li&gt;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style="text-decoration:none"&gt;Afinamento do gabinete: Bass-Reflex via duplo duto traseiro sintonizado&lt;/span&gt;&lt;/span&gt;&lt;/span&gt;&lt;/span&gt;&lt;/span&gt;&lt;/span&gt;&lt;/span&gt;&lt;/li&gt;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style="text-decoration:none"&gt;Requisitos de energia: 120 V, 60 Hz (EUA); 220 V–230 V, 50/60 Hz (UE)&lt;/span&gt;&lt;/span&gt;&lt;/span&gt;&lt;/span&gt;&lt;/span&gt;&lt;/span&gt;&lt;/span&gt;&lt;/li&gt;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style="text-decoration:none"&gt;Consumo de energia: &lt; 0,5 W (espera)/205 W/1,6 A (máx de 230 V)/205 W/3,15 A (máx de 120 V)&lt;/span&gt;&lt;/span&gt;&lt;/span&gt;&lt;/span&gt;&lt;/span&gt;&lt;/span&gt;&lt;/span&gt;&lt;/li&gt;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5&lt;/span&gt;&lt;/span&gt;&lt;/span&gt;&lt;/span&gt;&lt;/span&gt;&lt;/span&gt;&lt;/span&gt;&lt;/p&gt;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style="text-decoration:none"&gt;Cabos&lt;/span&gt;&lt;/span&gt;&lt;/span&gt;&lt;/span&gt;&lt;/span&gt;&lt;/span&gt;&lt;/span&gt;&lt;/p&gt;
&lt;ul&gt;
	&lt;li aria-level="1" style="list-style-type:disc"&gt;&lt;span style="font-size:12pt; font-variant:normal; white-space:pre-wrap"&gt;&lt;span style="font-family</t>
  </si>
  <si>
    <t>https://cdn.awsli.com.br/948/948321/produto/326430700/stage7-1-10pol-w6mwltfv0l.png</t>
  </si>
  <si>
    <t>https://cdn.awsli.com.br/948/948321/produto/326430700/13-yiuw8ka1y7.jpg</t>
  </si>
  <si>
    <t>https://cdn.awsli.com.br/948/948321/produto/326430700/2-usar5h052s.png</t>
  </si>
  <si>
    <t>https://cdn.awsli.com.br/948/948321/produto/326430700/jbl-stage-260csa----2--angled-no-grille---1605x1605-26nqtq14gp.png</t>
  </si>
  <si>
    <t>https://cdn.awsli.com.br/948/948321/produto/326430700/jbl_stage_260c_-2-_angled_no_grille_1605x1605-ylx5ptupwn.png</t>
  </si>
  <si>
    <t>Kit 5.1 Home Theater JBL Receiver MA510 + Ci6SA Plus + Ci6S Plus + Sub 200P</t>
  </si>
  <si>
    <t>F76WGF2SS-0EGZ597FC-SAU4H7TPZ-U4JFW86Z5-DWS0OMLD5-VW46PI1CK-2ERNQQJMM</t>
  </si>
  <si>
    <t xml:space="preserve">&lt;p&gt;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style="text-decoration:none"&gt;Receiver JBL MA510 5.2ch 8k Wifi Dolby Digital e DTS (1 unidade)&lt;/span&gt;&lt;/span&gt;&lt;/span&gt;&lt;/span&gt;&lt;/span&gt;&lt;/span&gt;&lt;/span&gt;&lt;/p&gt;
&lt;p style="line-height:1.38; background-color:#ffffff"&gt;&lt;br /&gt;
 &lt;/p&gt;
&lt;p style="line-height:1.38; background-color:#ffffff; padding:0pt 0pt 12pt 0pt"&gt;&lt;span style="font-size:12pt; font-variant:normal; white-space:pre-wrap"&gt;&lt;span style="font-family:Roboto,sans-serif"&gt;&lt;span style="color:#252525"&gt;&lt;span style="background-color:#ffffff"&gt;&lt;span style="font-weight:400"&gt;&lt;span style="font-style:normal"&gt;&lt;span style="text-decoration:none"&gt;O JBL MA510 é um receiver A/V que oferece um realismo espetacular com especificações HDMI 8K para uma super experiência de cinema em casa. Integre perfeitamente sua smart TV ou projetor com 4 entradas HDMI e 1 saída, além de suporte para eARC. Com decodificação nativa de 5 canais dos formatos Dolby e DTS, o MA510 pode proporcionar experiências de cinema incríveis. Ele é projetado com paixão para música e filmes, dando vida a ambos com verdadeira alta fidelidade. Conteúdo de música adicional pode ser acessado via Bluetooth e streaming de rede. O MA510 possui cinco canais de amplificação Classe D de baixo ruído para fornecer potência real a todos os canais.&lt;/span&gt;&lt;/span&gt;&lt;/span&gt;&lt;/span&gt;&lt;/span&gt;&lt;/span&gt;&lt;/span&gt;&lt;/p&gt;
&lt;p style="line-height:1.38; background-color:#ffffff; padding:0pt 0pt 12pt 0pt"&gt;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CI6SA PLUS Quadrada Angulada 160W Rms (3 unidade)&lt;/span&gt;&lt;/span&gt;&lt;/span&gt;&lt;/span&gt;&lt;/span&gt;&lt;/span&gt;&lt;/span&gt;&lt;/p&gt;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CI6S PLUS Arandela Quadrada 160W Rms (2 unidades)&lt;/span&gt;&lt;/span&gt;&lt;/span&gt;&lt;/span&gt;&lt;/span&gt;&lt;/span&gt;&lt;/span&gt;&lt;/p&gt;
&lt;p style="line-height:1.38; background-color:#ffffff; margin-bottom:16px; padding:12pt 0pt 0pt 0pt"&gt;&lt;span style="font-size:12pt; font-variant:normal; white-space:pre-wrap"&gt;&lt;span style="font-family:Roboto,sans-serif"&gt;&lt;span style="color:#252525"&gt;&lt;span style="background-color:#ffffff"&gt;&lt;span style="font-weight:400"&gt;&lt;span style="font-style:normal"&gt;&lt;span style="text-decoration:none"&gt;A nova linha Ci Plus, foi desenhada para atender o mercado especializado de home theater e o mercado de instalação de som ambiente, com formatos quadrados e retangulares, gabinetes angulados ou regulares, borda ultra fina e telas magnéticas de alumínio à prova de oxidações, para atender a demanda dos arquitetos. &lt;/span&gt;&lt;/span&gt;&lt;/span&gt;&lt;/span&gt;&lt;/span&gt;&lt;/span&gt;&lt;/span&gt;&lt;/p&gt;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style="text-decoration:none"&gt;Excelente performance sonora na categoria;&lt;/span&gt;&lt;/span&gt;&lt;/span&gt;&lt;/span&gt;&lt;/span&gt;&lt;/span&gt;&lt;/span&gt;&lt;/li&gt;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style="text-decoration:none"&gt;Instalação super fácil;&lt;/span&gt;&lt;/span&gt;&lt;/span&gt;&lt;/span&gt;&lt;/span&gt;&lt;/span&gt;&lt;/span&gt;&lt;/li&gt;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style="text-decoration:none"&gt;Design moderno e clean para atender aos mais diversos tipos de ambientes e decorações;&lt;/span&gt;&lt;/span&gt;&lt;/span&gt;&lt;/span&gt;&lt;/span&gt;&lt;/span&gt;&lt;/span&gt;&lt;/li&gt;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style="text-decoration:none"&gt;Formatos quadrados e angulados para atender a demanda dos arquitetos.&lt;/span&gt;&lt;/span&gt;&lt;/span&gt;&lt;/span&gt;&lt;/span&gt;&lt;/span&gt;&lt;/span&gt;&lt;/li&gt;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style="text-decoration:none"&gt;Novo crossover – melhor resposta de frequencias, trazendo graves mais encorpados, médios mais nítidos e agudos com maior extensão;&lt;/span&gt;&lt;/span&gt;&lt;/span&gt;&lt;/span&gt;&lt;/span&gt;&lt;/span&gt;&lt;/span&gt;&lt;/li&gt;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style="text-decoration:none"&gt;Maior potência admitida em todos os novos modelos, proporcionando a utilização de amplificadores ou receivers mais potentes;&lt;/span&gt;&lt;/span&gt;&lt;/span&gt;&lt;/span&gt;&lt;/span&gt;&lt;/span&gt;&lt;/span&gt;&lt;/li&gt;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style="text-decoration:none"&gt;Telas com fixação magnética para facilitar a instalação. Basta aproximar da caixa que a tela já se encaixa.&lt;/span&gt;&lt;/span&gt;&lt;/span&gt;&lt;/span&gt;&lt;/span&gt;&lt;/span&gt;&lt;/span&gt;&lt;/li&gt;
&lt;/ul&gt;
&lt;p&gt;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style="text-decoration:none"&gt;Subwoofer JBL 200P Ativo 300w 10 Polegadas Preto (1 unidade)&lt;/span&gt;&lt;/span&gt;&lt;/span&gt;&lt;/span&gt;&lt;/span&gt;&lt;/span&gt;&lt;/span&gt;&lt;/p&gt;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style="font-weight:400"&gt;&lt;span style="font-style:normal"&gt;&lt;span style="text-decoration:none"&gt;Projetada em nosso mundialmente famoso Centro de Excelência em Engenharia Acústica em Northridge, Califórnia, o Stage 200P é um subwoofer ativo por 300W RMS perfeitamente combinado com toda a série Stage e oferece a emoção dos graves que os clientes desejam. Este subwoofer apresenta um woofer de baixa frequência em policelulose de alta excursão e disparo frontal de 250 mm (10 pol.) com duas portas traseiras ajustadas para disparo que fornece graves JBL profundos, potentes e exclusivos. Uma completa opção de controles proporciona fácil integração do sistema.&lt;/span&gt;&lt;/span&gt;&lt;/span&gt;&lt;/span&gt;&lt;/span&gt;&lt;/span&gt;&lt;/span&gt;&lt;/p&gt;
&lt;p style="line-height:1.38; background-color:#ffffff; padding:3pt 0pt 0pt 0pt"&gt; &lt;/p&gt;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style="text-decoration:none"&gt;Item 1&lt;/span&gt;&lt;/span&gt;&lt;/span&gt;&lt;/span&gt;&lt;/span&gt;&lt;/span&gt;&lt;/span&gt;&lt;/p&gt;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style="text-decoration:none"&gt;Receiver JBL MA510 5.2ch 8k Wifi Dolby Digital e DTS &lt;/span&gt;&lt;/span&gt;&lt;/span&gt;&lt;/span&gt;&lt;/span&gt;&lt;/span&gt;&lt;/span&gt;&lt;br /&gt;
 &lt;/p&gt;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style="text-decoration:none"&gt;HDMI eARC: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style="text-decoration:none"&gt;Canal de retorno de áudio HDMI: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style="text-decoration:none"&gt;Conectores de entrada HDMI 8K (HDMI 2.1, HDCP 2.3 até 8K /60 Hz, 4K /120 Hz): 4&lt;/span&gt;&lt;/span&gt;&lt;/span&gt;&lt;/span&gt;&lt;/span&gt;&lt;/span&gt;&lt;/span&gt;&lt;/li&gt;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style="text-decoration:none"&gt;Recursos aprimorados de jogos HDMI 2.1: Games-VRR, ALLM, QFT, HFR (4K a 120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style="text-decoration:none"&gt;HDR 10+, Dolby Vision: Sim ,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style="text-decoration:none"&gt;Formato do arquivo: MP3 / MPEG-4 AAC&lt;/span&gt;&lt;/span&gt;&lt;/span&gt;&lt;/span&gt;&lt;/span&gt;&lt;/span&gt;&lt;/span&gt;&lt;/li&gt;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style="text-decoration:none"&gt;Pure Direct: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style="text-decoration:none"&gt;EZ Set EQ: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style="text-decoration:none"&gt;Processamento de sinal digital: até 24 bits/192 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style="text-decoration:none"&gt;Canais: 5.2&lt;/span&gt;&lt;/span&gt;&lt;/span&gt;&lt;/span&gt;&lt;/span&gt;&lt;/span&gt;&lt;/span&gt;&lt;/li&gt;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2&lt;/span&gt;&lt;/span&gt;&lt;/span&gt;&lt;/span&gt;&lt;/span&gt;&lt;/span&gt;&lt;/span&gt;&lt;/p&gt;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style="text-decoration:none"&gt;Caixa de Som JBL CI6SA PLUS Quadrada Angulada 160W Rms&lt;/span&gt;&lt;/span&gt;&lt;/span&gt;&lt;/span&gt;&lt;/span&gt;&lt;/span&gt;&lt;/span&gt;&lt;/p&gt;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Ci6SA Plus&lt;/span&gt;&lt;/span&gt;&lt;/span&gt;&lt;/span&gt;&lt;/span&gt;&lt;/span&gt;&lt;/span&gt;&lt;/li&gt;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160w&lt;/span&gt;&lt;/span&gt;&lt;/span&gt;&lt;/span&gt;&lt;/span&gt;&lt;/span&gt;&lt;/span&gt;&lt;/li&gt;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53Hz - 20kHz&lt;/span&gt;&lt;/span&gt;&lt;/span&gt;&lt;/span&gt;&lt;/span&gt;&lt;/span&gt;&lt;/span&gt;&lt;/li&gt;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90 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8 Ohms&lt;/span&gt;&lt;/span&gt;&lt;/span&gt;&lt;/span&gt;&lt;/span&gt;&lt;/span&gt;&lt;/span&gt;&lt;/li&gt;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style="text-decoration:none"&gt;Auto Falante: Woofer: Cone de Kevlar 6,5", Mid-Range: n/a&lt;/span&gt;&lt;/span&gt;&lt;/span&gt;&lt;/span&gt;&lt;/span&gt;&lt;/span&gt;&lt;/span&gt;&lt;/li&gt;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style="text-decoration:none"&gt;Tweeter: Domo de seda de 20mm&lt;/span&gt;&lt;/span&gt;&lt;/span&gt;&lt;/span&gt;&lt;/span&gt;&lt;/span&gt;&lt;/span&gt;&lt;/li&gt;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style="text-decoration:none"&gt;Tipo da tela: Magnética sem borda&lt;/span&gt;&lt;/span&gt;&lt;/span&gt;&lt;/span&gt;&lt;/span&gt;&lt;/span&gt;&lt;/span&gt;&lt;/li&gt;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de corte (A x L x C):12,4 x 20,6 x 20,6 cm&lt;/span&gt;&lt;/span&gt;&lt;/span&gt;&lt;/span&gt;&lt;/span&gt;&lt;/span&gt;&lt;/span&gt;&lt;/li&gt;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da tela (A x L): 24,2 x 24,2 cm&lt;/span&gt;&lt;/span&gt;&lt;/span&gt;&lt;/span&gt;&lt;/span&gt;&lt;/span&gt;&lt;/span&gt;&lt;/li&gt;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style="text-decoration:none"&gt;Garantia: 12 meses&lt;/span&gt;&lt;/span&gt;&lt;/span&gt;&lt;/span&gt;&lt;/span&gt;&lt;/span&gt;&lt;/span&gt;&lt;/li&gt;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style="text-decoration:none"&gt;Peso: 1,8 Kg&lt;/span&gt;&lt;/span&gt;&lt;/span&gt;&lt;/span&gt;&lt;/span&gt;&lt;/span&gt;&lt;/span&gt;&lt;br /&gt;
	 &lt;/li&gt;
&lt;/ul&gt;
&lt;p style="line-height:1.38; background-color:#ffffff; margin-top:4px"&gt;&lt;br /&gt;
&lt;span style="font-size:12pt; font-variant:normal; white-space:pre-wrap"&gt;&lt;span style="font-family:Roboto,sans-serif"&gt;&lt;span style="color:#252525"&gt;&lt;span style="background-color:#ffffff"&gt;&lt;span style="font-weight:700"&gt;&lt;span style="font-style:normal"&gt;&lt;span style="text-decoration:none"&gt;Item 3&lt;/span&gt;&lt;/span&gt;&lt;/span&gt;&lt;/span&gt;&lt;/span&gt;&lt;/span&gt;&lt;/span&gt;&lt;/p&gt;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style="text-decoration:none"&gt;Caixa de Som JBL CI6S PLUS Arandela Quadrada 160W Rms&lt;/span&gt;&lt;/span&gt;&lt;/span&gt;&lt;/span&gt;&lt;/span&gt;&lt;/span&gt;&lt;/span&gt;&lt;/p&gt;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Ci6S PLUS&lt;/span&gt;&lt;/span&gt;&lt;/span&gt;&lt;/span&gt;&lt;/span&gt;&lt;/span&gt;&lt;/span&gt;&lt;/li&gt;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160w&lt;/span&gt;&lt;/span&gt;&lt;/span&gt;&lt;/span&gt;&lt;/span&gt;&lt;/span&gt;&lt;/span&gt;&lt;/li&gt;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53Hz - 20kHz&lt;/span&gt;&lt;/span&gt;&lt;/span&gt;&lt;/span&gt;&lt;/span&gt;&lt;/span&gt;&lt;/span&gt;&lt;/li&gt;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90 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8 Ohms&lt;/span&gt;&lt;/span&gt;&lt;/span&gt;&lt;/span&gt;&lt;/span&gt;&lt;/span&gt;&lt;/span&gt;&lt;/li&gt;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style="text-decoration:none"&gt;Auto Falante: Woofer: Cone de Kevlar 6,5", Mid-Range: n/a, Tweeter: Domo de seda de 20mm&lt;/span&gt;&lt;/span&gt;&lt;/span&gt;&lt;/span&gt;&lt;/span&gt;&lt;/span&gt;&lt;/span&gt;&lt;/li&gt;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style="text-decoration:none"&gt;Tipo da tela: Magnética sem borda&lt;/span&gt;&lt;/span&gt;&lt;/span&gt;&lt;/span&gt;&lt;/span&gt;&lt;/span&gt;&lt;/span&gt;&lt;/li&gt;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style="text-decoration:none"&gt;Garantia: 12 meses&lt;/span&gt;&lt;/span&gt;&lt;/span&gt;&lt;/span&gt;&lt;/span&gt;&lt;/span&gt;&lt;/span&gt;&lt;/li&gt;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style="text-decoration:none"&gt;Peso: 1,8 Kg&lt;/span&gt;&lt;/span&gt;&lt;/span&gt;&lt;/span&gt;&lt;/span&gt;&lt;/span&gt;&lt;/span&gt;&lt;/li&gt;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4&lt;/span&gt;&lt;/span&gt;&lt;/span&gt;&lt;/span&gt;&lt;/span&gt;&lt;/span&gt;&lt;/span&gt;&lt;/p&gt;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style="text-decoration:none"&gt;Subwoofer JBL 200P Ativo 300w 10 Polegadas Preto&lt;/span&gt;&lt;/span&gt;&lt;/span&gt;&lt;/span&gt;&lt;/span&gt;&lt;/span&gt;&lt;/span&gt;&lt;/p&gt;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200P&lt;/span&gt;&lt;/span&gt;&lt;/span&gt;&lt;/span&gt;&lt;/span&gt;&lt;/span&gt;&lt;/span&gt;&lt;/li&gt;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300W&lt;/span&gt;&lt;/span&gt;&lt;/span&gt;&lt;/span&gt;&lt;/span&gt;&lt;/span&gt;&lt;/span&gt;&lt;/li&gt;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style="text-decoration:none"&gt;Tipo: Subwoofer ativo&lt;/span&gt;&lt;/span&gt;&lt;/span&gt;&lt;/span&gt;&lt;/span&gt;&lt;/span&gt;&lt;/span&gt;&lt;/li&gt;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style="text-decoration:none"&gt;Driver de baixa frequência: policelulose canelada de alta oscilação de 250mm (10 pol.)&lt;/span&gt;&lt;/span&gt;&lt;/span&gt;&lt;/span&gt;&lt;/span&gt;&lt;/span&gt;&lt;/span&gt;&lt;/li&gt;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do amplificador: 150 W RMS (300 W Dinâmicos)&lt;/span&gt;&lt;/span&gt;&lt;/span&gt;&lt;/span&gt;&lt;/span&gt;&lt;/span&gt;&lt;/span&gt;&lt;/li&gt;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 6dB: 28 Hz a 150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style="text-decoration:none"&gt;Frequências de crossover: 50 Hz a 150 Hz (variável) 24 dB/oitava&lt;/span&gt;&lt;/span&gt;&lt;/span&gt;&lt;/span&gt;&lt;/span&gt;&lt;/span&gt;&lt;/span&gt;&lt;/li&gt;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style="text-decoration:none"&gt;Controles: 35 Hz a 150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style="text-decoration:none"&gt;Controles: Energização automática, Crossover, Nível, Fase&lt;/span&gt;&lt;/span&gt;&lt;/span&gt;&lt;/span&gt;&lt;/span&gt;&lt;/span&gt;&lt;/span&gt;&lt;/li&gt;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style="text-decoration:none"&gt;Entradas: Uma (1) entrada LFE de nível de linha&lt;/span&gt;&lt;/span&gt;&lt;/span&gt;&lt;/span&gt;&lt;/span&gt;&lt;/span&gt;&lt;/span&gt;&lt;/li&gt;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style="text-decoration:none"&gt;Afinamento do gabinete: Bass-Reflex via duplo duto traseiro sintonizado&lt;/span&gt;&lt;/span&gt;&lt;/span&gt;&lt;/span&gt;&lt;/span&gt;&lt;/span&gt;&lt;/span&gt;&lt;/li&gt;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style="text-decoration:none"&gt;Requisitos de energia: 120 V, 60 Hz (EUA); 220 V–230 V, 50/60 Hz (UE)&lt;/span&gt;&lt;/span&gt;&lt;/span&gt;&lt;/span&gt;&lt;/span&gt;&lt;/span&gt;&lt;/span&gt;&lt;/li&gt;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style="text-decoration:none"&gt;Consumo de energia: &lt; 0,5 W (espera)/205 W/1,6 A (máx de 230 V)/205 W/3,15 A (máx de 120 V)&lt;/span&gt;&lt;/span&gt;&lt;/span&gt;&lt;/span&gt;&lt;/span&gt;&lt;/span&gt;&lt;/span&gt;&lt;/li&gt;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5&lt;/span&gt;&lt;/span&gt;&lt;/span&gt;&lt;/span&gt;&lt;/span&gt;&lt;/span&gt;&lt;/span&gt;&lt;/p&gt;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style="text-decoration:none"&gt;Cabos&lt;/span&gt;&lt;/span&gt;&lt;/span&gt;&lt;/span&gt;&lt;/span&gt;&lt;/span&gt;&lt;/span&gt;&lt;/p&gt;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style="text-decoration:none"&gt;50m de Cabo Paralelo Bicolor 2 X </t>
  </si>
  <si>
    <t>https://cdn.awsli.com.br/948/948321/produto/326434359/plus5-1-10pol-hwrxvrfg6g.png</t>
  </si>
  <si>
    <t>https://cdn.awsli.com.br/948/948321/produto/326434359/2-hkwcffnf6n.png</t>
  </si>
  <si>
    <t>https://cdn.awsli.com.br/948/948321/produto/326434359/ls_jbl_ma510_receivers_right_facing_2_blk_d3-e3uc5w928s.PNG</t>
  </si>
  <si>
    <t>https://cdn.awsli.com.br/948/948321/produto/326434359/d_nq_np_2x_946812-mlu71656882168_092023-f-5sjsv3q2xx.JPEG</t>
  </si>
  <si>
    <t>https://cdn.awsli.com.br/948/948321/produto/326434359/1-lc3kylbup9.PNG</t>
  </si>
  <si>
    <t>Kit 5.1 Home Theater JBL Receiver MA510 + STAGE 260C + STAGE 260CSA + SUB CI8P</t>
  </si>
  <si>
    <t>F76WGF2SS-0EGZ597FC-SAU4H7TPZ-U4JFW86Z5-DWS0OMLD5-VW46PI1CK-DLWCB0C8H-UO11LVVAL</t>
  </si>
  <si>
    <t xml:space="preserve">&lt;p&gt;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style="text-decoration:none"&gt;Receiver JBL MA510 5.2ch 8k Wifi Dolby Digital e DTS (1 unidade)&lt;/span&gt;&lt;/span&gt;&lt;/span&gt;&lt;/span&gt;&lt;/span&gt;&lt;/span&gt;&lt;/span&gt;&lt;/p&gt;
&lt;p style="line-height:1.38; background-color:#ffffff"&gt;&lt;br /&gt;
 &lt;/p&gt;
&lt;p style="line-height:1.38; background-color:#ffffff; padding:0pt 0pt 12pt 0pt"&gt;&lt;span style="font-size:12pt; font-variant:normal; white-space:pre-wrap"&gt;&lt;span style="font-family:Roboto,sans-serif"&gt;&lt;span style="color:#252525"&gt;&lt;span style="background-color:#ffffff"&gt;&lt;span style="font-weight:400"&gt;&lt;span style="font-style:normal"&gt;&lt;span style="text-decoration:none"&gt;O JBL MA510 é um receiver A/V que oferece um realismo espetacular com especificações HDMI 8K para uma super experiência de cinema em casa. Integre perfeitamente sua smart TV ou projetor com 4 entradas HDMI e 1 saída, além de suporte para eARC. Com decodificação nativa de 5 canais dos formatos Dolby e DTS, o MA510 pode proporcionar experiências de cinema incríveis. Ele é projetado com paixão para música e filmes, dando vida a ambos com verdadeira alta fidelidade. Conteúdo de música adicional pode ser acessado via Bluetooth e streaming de rede. O MA510 possui cinco canais de amplificação Classe D de baixo ruído para fornecer potência real a todos os canais.&lt;/span&gt;&lt;/span&gt;&lt;/span&gt;&lt;/span&gt;&lt;/span&gt;&lt;/span&gt;&lt;/span&gt;&lt;/p&gt;
&lt;p style="line-height:1.38; background-color:#ffffff; padding:0pt 0pt 12pt 0pt"&gt;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 Reta 100W Rms (3 unidade)&lt;/span&gt;&lt;/span&gt;&lt;/span&gt;&lt;/span&gt;&lt;/span&gt;&lt;/span&gt;&lt;/span&gt;&lt;/p&gt;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260CSA Angulada 100W Rms (2 unidade)&lt;/span&gt;&lt;/span&gt;&lt;/span&gt;&lt;/span&gt;&lt;/span&gt;&lt;/span&gt;&lt;/span&gt;&lt;/p&gt;
&lt;p style="line-height:1.38; margin-top:16px; margin-bottom:16px"&gt;&lt;span style="font-size:12pt; font-variant:normal; white-space:pre-wrap"&gt;&lt;span style="font-family:Roboto,sans-serif"&gt;&lt;span style="color:#252525"&gt;&lt;span style="background-color:#ffffff"&gt;&lt;span style="font-weight:400"&gt;&lt;span style="font-style:normal"&gt;&lt;span style="text-decoration:none"&gt;A linha Stage possui um woofer de cone de policelulose de 6,5" (165 mm) e um tweeter de cúpula de alumínio de 1" (25 mm) com guia de onda de lente acústica. Uma grade de moldura zero visualmente discreta e fácil instalação permitem que esses alto-falantes sejam ouvidos e não vistos. Elementos incluindo defletores com suavização acústica e tweeters de lentes acústicas foram incorporados ao design para garantir que o som seja claro e preciso.&lt;/span&gt;&lt;/span&gt;&lt;/span&gt;&lt;/span&gt;&lt;/span&gt;&lt;/span&gt;&lt;/span&gt;&lt;/p&gt;
&lt;p&gt; &lt;/p&gt;
&lt;h1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style="text-decoration:none"&gt;JBL SUBWOOFER CI8P 8 Polegadas Preto (1 unidade)&lt;/span&gt;&lt;/span&gt;&lt;/span&gt;&lt;/span&gt;&lt;/span&gt;&lt;/span&gt;&lt;/span&gt;&lt;/h1&gt;
&lt;p style="line-height:1.38; background-color:#ffffff; padding:3pt 0pt 0pt 0pt"&gt;&lt;span style="font-size:12pt; font-variant:normal; white-space:pre-wrap"&gt;&lt;span style="font-family:Roboto,sans-serif"&gt;&lt;span style="color:#252525"&gt;&lt;span style="background-color:#ffffff"&gt;&lt;span style="font-weight:400"&gt;&lt;span style="font-style:normal"&gt;&lt;span style="text-decoration:none"&gt;Caixa de som de embutir com subwoofer ativo e Woofer de baixa frequência em policelulose. Oferece tecnologia de som Virtual Surround, Dolby Atmos e conexão Wi-Fi. A JBL CI8P garante uma resposta de frequência de 35 Hz – 200 Hz e 100 W RMS de potência total.&lt;/span&gt;&lt;/span&gt;&lt;/span&gt;&lt;/span&gt;&lt;/span&gt;&lt;/span&gt;&lt;/span&gt;&lt;/p&gt;
&lt;p style="line-height:1.38; background-color:#ffffff; padding:3pt 0pt 0pt 0pt"&gt; &lt;/p&gt;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style="text-decoration:none"&gt;Item 1&lt;/span&gt;&lt;/span&gt;&lt;/span&gt;&lt;/span&gt;&lt;/span&gt;&lt;/span&gt;&lt;/span&gt;&lt;/p&gt;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style="text-decoration:none"&gt;Receiver JBL MA510 5.2ch 8k Wifi Dolby Digital e DTS &lt;/span&gt;&lt;/span&gt;&lt;/span&gt;&lt;/span&gt;&lt;/span&gt;&lt;/span&gt;&lt;/span&gt;&lt;br /&gt;
 &lt;/p&gt;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style="text-decoration:none"&gt;HDMI eARC: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style="text-decoration:none"&gt;Canal de retorno de áudio HDMI: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style="text-decoration:none"&gt;Conectores de entrada HDMI 8K (HDMI 2.1, HDCP 2.3 até 8K /60 Hz, 4K /120 Hz): 4&lt;/span&gt;&lt;/span&gt;&lt;/span&gt;&lt;/span&gt;&lt;/span&gt;&lt;/span&gt;&lt;/span&gt;&lt;/li&gt;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style="text-decoration:none"&gt;Recursos aprimorados de jogos HDMI 2.1: Games-VRR, ALLM, QFT, HFR (4K a 120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style="text-decoration:none"&gt;HDR 10+, Dolby Vision: Sim ,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style="text-decoration:none"&gt;Formato do arquivo: MP3 / MPEG-4 AAC&lt;/span&gt;&lt;/span&gt;&lt;/span&gt;&lt;/span&gt;&lt;/span&gt;&lt;/span&gt;&lt;/span&gt;&lt;/li&gt;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style="text-decoration:none"&gt;Pure Direct: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style="text-decoration:none"&gt;EZ Set EQ: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style="text-decoration:none"&gt;Processamento de sinal digital: até 24 bits/192 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style="text-decoration:none"&gt;Canais: 5.2&lt;/span&gt;&lt;/span&gt;&lt;/span&gt;&lt;/span&gt;&lt;/span&gt;&lt;/span&gt;&lt;/span&gt;&lt;/li&gt;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2&lt;/span&gt;&lt;/span&gt;&lt;/span&gt;&lt;/span&gt;&lt;/span&gt;&lt;/span&gt;&lt;/span&gt;&lt;/p&gt;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 Reta 100W&lt;/span&gt;&lt;/span&gt;&lt;/span&gt;&lt;/span&gt;&lt;/span&gt;&lt;/span&gt;&lt;/span&gt;&lt;/p&gt;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STAGE 260C&lt;/span&gt;&lt;/span&gt;&lt;/span&gt;&lt;/span&gt;&lt;/span&gt;&lt;/span&gt;&lt;/span&gt;&lt;/li&gt;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alta frequência: domo de alumínio de 1" (25 mm) com lente acústica&lt;/span&gt;&lt;/span&gt;&lt;/span&gt;&lt;/span&gt;&lt;/span&gt;&lt;/span&gt;&lt;/span&gt;&lt;/li&gt;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baixa frequência: woofer de cone de policelulose de 6,5" (165 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recomendada do amplificador (Full Range): 20-100W RMS&lt;/span&gt;&lt;/span&gt;&lt;/span&gt;&lt;/span&gt;&lt;/span&gt;&lt;/span&gt;&lt;/span&gt;&lt;/li&gt;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50Hz-25kHz (-6dB )&lt;/span&gt;&lt;/span&gt;&lt;/span&gt;&lt;/span&gt;&lt;/span&gt;&lt;/span&gt;&lt;/span&gt;&lt;/li&gt;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(2,83V@1m): 87dB&lt;/span&gt;&lt;/span&gt;&lt;/span&gt;&lt;/span&gt;&lt;/span&gt;&lt;/span&gt;&lt;/span&gt;&lt;/li&gt;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nominal: 8ohm&lt;/span&gt;&lt;/span&gt;&lt;/span&gt;&lt;/span&gt;&lt;/span&gt;&lt;/span&gt;&lt;/span&gt;&lt;/li&gt;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style="text-decoration:none"&gt;Frequência de crossover: 3000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style="text-decoration:none"&gt;Entradas: conectores niquelados com mola&lt;/span&gt;&lt;/span&gt;&lt;/span&gt;&lt;/span&gt;&lt;/span&gt;&lt;/span&gt;&lt;/span&gt;&lt;/li&gt;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da grade: Diâmetro&lt;/span&gt;&lt;/span&gt;&lt;/span&gt;&lt;/span&gt;&lt;/span&gt;&lt;/span&gt;&lt;/span&gt;&lt;/li&gt;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do recorte: Diâmetro&lt;/span&gt;&lt;/span&gt;&lt;/span&gt;&lt;/span&gt;&lt;/span&gt;&lt;/span&gt;&lt;/span&gt;&lt;/li&gt;
&lt;/ul&gt;
&lt;p style="line-height:1.38; background-color:#ffffff; margin-top:4px"&gt;&lt;br /&gt;
&lt;span style="font-size:12pt; font-variant:normal; white-space:pre-wrap"&gt;&lt;span style="font-family:Roboto,sans-serif"&gt;&lt;span style="color:#252525"&gt;&lt;span style="background-color:#ffffff"&gt;&lt;span style="font-weight:700"&gt;&lt;span style="font-style:normal"&gt;&lt;span style="text-decoration:none"&gt;Item 3&lt;/span&gt;&lt;/span&gt;&lt;/span&gt;&lt;/span&gt;&lt;/span&gt;&lt;/span&gt;&lt;/span&gt;&lt;/p&gt;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260CSA Angulada 100W&lt;/span&gt;&lt;/span&gt;&lt;/span&gt;&lt;/span&gt;&lt;/span&gt;&lt;/span&gt;&lt;/span&gt;&lt;/p&gt;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STAGE 260CSA&lt;/span&gt;&lt;/span&gt;&lt;/span&gt;&lt;/span&gt;&lt;/span&gt;&lt;/span&gt;&lt;/span&gt;&lt;/li&gt;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alta frequência: domo de alumínio de 1" (25 mm) com lente acústica&lt;/span&gt;&lt;/span&gt;&lt;/span&gt;&lt;/span&gt;&lt;/span&gt;&lt;/span&gt;&lt;/span&gt;&lt;/li&gt;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baixa frequência: woofer de cone de policelulose de 6,5" (165 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recomendada do amplificador (Full Range): 20-100W RMS&lt;/span&gt;&lt;/span&gt;&lt;/span&gt;&lt;/span&gt;&lt;/span&gt;&lt;/span&gt;&lt;/span&gt;&lt;/li&gt;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50Hz-25kHz (-6dB )&lt;/span&gt;&lt;/span&gt;&lt;/span&gt;&lt;/span&gt;&lt;/span&gt;&lt;/span&gt;&lt;/span&gt;&lt;/li&gt;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(2,83V@1m): 87dB&lt;/span&gt;&lt;/span&gt;&lt;/span&gt;&lt;/span&gt;&lt;/span&gt;&lt;/span&gt;&lt;/span&gt;&lt;/li&gt;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nominal: 8ohm&lt;/span&gt;&lt;/span&gt;&lt;/span&gt;&lt;/span&gt;&lt;/span&gt;&lt;/span&gt;&lt;/span&gt;&lt;/li&gt;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style="text-decoration:none"&gt;Frequência de crossover: 2800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style="text-decoration:none"&gt;Entradas: conectores niquelados com mola&lt;/span&gt;&lt;/span&gt;&lt;/span&gt;&lt;/span&gt;&lt;/span&gt;&lt;/span&gt;&lt;/span&gt;&lt;/li&gt;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da grade: A 9,8 pol. (248 mm) x L 9,8 pol. (248 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do recorte: A 8,6 pol. (219 mm) x L 8,6 pol. (219 mm)&lt;/span&gt;&lt;/span&gt;&lt;/span&gt;&lt;/span&gt;&lt;/span&gt;&lt;/span&gt;&lt;/span&gt;&lt;/li&gt;
&lt;/ul&gt;
&lt;p&gt; &lt;/p&gt;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4&lt;/span&gt;&lt;/span&gt;&lt;/span&gt;&lt;/span&gt;&lt;/span&gt;&lt;/span&gt;&lt;/span&gt;&lt;/p&gt;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style="text-decoration:none"&gt;Subwoofer JBL CI8P Ativo 100w 8 Polegadas Preto&lt;/span&gt;&lt;/span&gt;&lt;/span&gt;&lt;/span&gt;&lt;/span&gt;&lt;/span&gt;&lt;/span&gt;&lt;/p&gt;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CI8PP&lt;/span&gt;&lt;/span&gt;&lt;/span&gt;&lt;/span&gt;&lt;/span&gt;&lt;/span&gt;&lt;/span&gt;&lt;/li&gt;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style="text-decoration:none"&gt;Subwoofer ativo: 203,2mm (8") &lt;/span&gt;&lt;/span&gt;&lt;/span&gt;&lt;/span&gt;&lt;/span&gt;&lt;/span&gt;&lt;/span&gt;&lt;/li&gt;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style="text-decoration:none"&gt;Woofer de baixa frequência em policelulose: 203,2mm (8")&lt;/span&gt;&lt;/span&gt;&lt;/span&gt;&lt;/span&gt;&lt;/span&gt;&lt;/span&gt;&lt;/span&gt;&lt;/li&gt;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100 W RMS&lt;/span&gt;&lt;/span&gt;&lt;/span&gt;&lt;/span&gt;&lt;/span&gt;&lt;/span&gt;&lt;/span&gt;&lt;/li&gt;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style="text-decoration:none"&gt;Frequências de crossover: 35 Hz – 200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style="text-decoration:none"&gt;Controles: Alimentação, tipo de entrada, nível de volume&lt;/span&gt;&lt;/span&gt;&lt;/span&gt;&lt;/span&gt;&lt;/span&gt;&lt;/span&gt;&lt;/span&gt;&lt;/li&gt;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 Entrada LFE de nível de linha e R&amp;L&lt;/span&gt;&lt;/span&gt;&lt;/span&gt;&lt;/span&gt;&lt;/span&gt;&lt;/span&gt;&lt;/span&gt;&lt;/li&gt;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style="text-decoration:none"&gt;Tipo de gabinete: Refletor de graves via porta sincronizada de afinação traseira&lt;/span&gt;&lt;/span&gt;&lt;/span&gt;&lt;/span&gt;&lt;/span&gt;&lt;/span&gt;&lt;/span&gt;&lt;/li&gt;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style="text-decoration:none"&gt;Peso: 7,9 Kg&lt;/span&gt;&lt;/span&gt;&lt;/span&gt;&lt;/span&gt;&lt;/span&gt;&lt;/span&gt;&lt;/span&gt;&lt;/li&gt;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5&lt;/span&gt;&lt;/span&gt;&lt;/span&gt;&lt;/span&gt;&lt;/span&gt;&lt;/span&gt;&lt;/span&gt;&lt;/p&gt;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style="text-decoration:none"&gt;Cabos&lt;/span&gt;&lt;/span&gt;&lt;/span&gt;&lt;/span&gt;&lt;/span&gt;&lt;/span&gt;&lt;/span&gt;&lt;/p&gt;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style="text-decoration:none"&gt;50m de Cabo Paralelo Bicolor 2 X 1,5mm&lt;/span&gt;&lt;/span&gt;&lt;/span&gt;&lt;/span&gt;&lt;/span&gt;&lt;/span&gt;&lt;/span&gt;&lt;/li&gt;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style="text-decoration:none"&gt;3m de Cabo HDMI 4k 2.1 &lt;/span&gt;&lt;/span&gt;&lt;/span&gt;&lt;/span&gt;&lt;/span&gt;&lt;/span&gt;&lt;/span&gt;&lt;/li&gt;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style="text-decoration:none"&gt;3m de Cabo de Subwoofer RCA &lt;/span&gt;&lt;/span&gt;&lt;/span&gt;&lt;/span&gt;&lt;/span&gt;&lt;/span&gt;&lt;/span&gt;&lt;/li&gt;
&lt;/ul&gt;
</t>
  </si>
  <si>
    <t>https://cdn.awsli.com.br/948/948321/produto/326445162/stage5-1-8pol-6wg6k280au.png</t>
  </si>
  <si>
    <t>https://cdn.awsli.com.br/948/948321/produto/326445162/2-me9l7yv8k2.png</t>
  </si>
  <si>
    <t>https://cdn.awsli.com.br/948/948321/produto/326445162/ls_jbl_ma510_receivers_right_facing_2_blk_d3-744j6nncg2.PNG</t>
  </si>
  <si>
    <t>https://cdn.awsli.com.br/948/948321/produto/326445162/jbl_stage_260c_-2-_angled_no_grille_1605x1605-lexa1h03qy.png</t>
  </si>
  <si>
    <t>https://cdn.awsli.com.br/948/948321/produto/326445162/jbl-stage-260csa----2--angled-no-grille---1605x1605-7lpqjhulzw.png</t>
  </si>
  <si>
    <t>Kit 7.1 Home Theater JBL Receiver MA7100HP + STAGE 260C + STAGE 260CSA + SUB CI8P</t>
  </si>
  <si>
    <t>F76WGF2SS-0EGZ597FC-SAU4H7TPZ-U4JFW86Z5-DWS0OMLD5-VW46PI1CK-DLWCB0C8H-UO11LVVAL-KDBYI0L2C</t>
  </si>
  <si>
    <t xml:space="preserve">&lt;p&gt;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style="text-decoration:none"&gt;Receiver JBL MA7100HP 7.2ch 8k Wifi Dolby Digital e DTS (1 unidade)&lt;/span&gt;&lt;/span&gt;&lt;/span&gt;&lt;/span&gt;&lt;/span&gt;&lt;/span&gt;&lt;/span&gt;&lt;/p&gt;
&lt;div class="content" style="padding-bottom: 1em; color: rgb(0, 0, 0); font-family: abc-diatype, &amp;quot;ABC Diatype&amp;quot;, roc-grotesk, &amp;quot;system-ui&amp;quot;, -apple-system, BlinkMacSystemFont, &amp;quot;Segoe UI&amp;quot;, Roboto, Oxygen-Sans, Ubuntu, Cantarell, &amp;quot;Helvetica Neue&amp;quot;, sans-serif; font-size: 16px;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initial;"&gt;&lt;slot&gt;
&lt;div class="spec-body" style="box-sizing: border-box; padding: 0px 1.2rem; font-family: var(--font-body,&amp;quot;Arial&amp;quot;);"&gt;
&lt;h6 style="font-family: var(--font-body); line-height: 1.4; font-stretch: condensed; font-variation-settings: &amp;quot;wdth&amp;quot; 75; font-weight: 700; text-wrap: pretty; font-size: var(--f-l); box-sizing: border-box; margin-top: 0px; margin-bottom: 0.5rem;"&gt;Som de Alta Definição com Potência Profissional&lt;/h6&gt;
&lt;p style="box-sizing: border-box; margin-top: 0px; margin-bottom: 1rem; font-size: var(--f-m); line-height: 1.4;"&gt;O JBL MA7100HP é um receiver A/V de alta performance que proporciona um realismo impressionante com as mais recentes especificações HDMI 8K e decodificação nativa de áudio imersivo de Dolby Atmos e DTS:X em 7 canais, para a experiência definitiva de cinema em casa. Integre perfeitamente sua smart TV ou projetor com 6 entradas HDMI e 2 saídas, além de eARC. Projetado com paixão para música e filmes, o MA7100HP dá vida a ambos com verdadeira alta fidelidade. O MA7100HP possui sete canais de amplificação Classe D de baixo ruído para fornecer potência real a todos os canais. Além da entrada de phono para Moving Magnet integrada para conectar um toca-discos, um conteúdo musical adicional pode ser acessado imediatamente através do streaming integrado usando Apple Airplay 2, Google Chromecast e Bluetooth AptX Adaptive. Levando o desempenho para o próximo nível, o MA7100HP vem com “Dirac Live Ready” para correção automática de sala, garantindo uma qualidade sonora de alta fidelidade e permitindo que integradores e usuários avançados otimizem o sistema de acordo com a acústica pessoal de sua sala. Com uma saída de vídeo HDMI secundária e zona de áudio, o conteúdo também pode ser disponibilizado em um local secundário. Além dos controles físicos, o MA7100HP permite o controle IP para integração de sistemas de controle de terceiros.&lt;/p&gt;
&lt;dl class="spec-list" style="box-sizing: border-box; margin: 0px; padding: 0px; display: flex; flex-wrap: wrap;"&gt;
&lt;/dl&gt;
&lt;/div&gt;
&lt;/slot&gt;&lt;/div&gt;
&lt;p style="line-height:1.38; background-color:#ffffff; padding:0pt 0pt 12pt 0pt"&gt; &lt;/p&gt;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 Reta 100W Rms (3 unidade)&lt;/span&gt;&lt;/span&gt;&lt;/span&gt;&lt;/span&gt;&lt;/span&gt;&lt;/span&gt;&lt;/span&gt;&lt;/p&gt;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260CSA Angulada 100W Rms (4 unidade)&lt;/span&gt;&lt;/span&gt;&lt;/span&gt;&lt;/span&gt;&lt;/span&gt;&lt;/span&gt;&lt;/span&gt;&lt;/p&gt;
&lt;p style="line-height:1.38; margin-top:16px; margin-bottom:16px"&gt;&lt;span style="font-size:12pt; font-variant:normal; white-space:pre-wrap"&gt;&lt;span style="font-family:Roboto,sans-serif"&gt;&lt;span style="color:#252525"&gt;&lt;span style="background-color:#ffffff"&gt;&lt;span style="font-weight:400"&gt;&lt;span style="font-style:normal"&gt;&lt;span style="text-decoration:none"&gt;A linha Stage possui um woofer de cone de policelulose de 6,5" (165 mm) e um tweeter de cúpula de alumínio de 1" (25 mm) com guia de onda de lente acústica. Uma grade de moldura zero visualmente discreta e fácil instalação permitem que esses alto-falantes sejam ouvidos e não vistos. Elementos incluindo defletores com suavização acústica e tweeters de lentes acústicas foram incorporados ao design para garantir que o som seja claro e preciso.&lt;/span&gt;&lt;/span&gt;&lt;/span&gt;&lt;/span&gt;&lt;/span&gt;&lt;/span&gt;&lt;/span&gt;&lt;/p&gt;
&lt;p&gt; &lt;/p&gt;
&lt;h1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style="text-decoration:none"&gt;JBL SUBWOOFER CI8P 8 Polegadas Preto (1 unidade)&lt;/span&gt;&lt;/span&gt;&lt;/span&gt;&lt;/span&gt;&lt;/span&gt;&lt;/span&gt;&lt;/span&gt;&lt;/h1&gt;
&lt;p style="line-height:1.38; background-color:#ffffff; padding:3pt 0pt 0pt 0pt"&gt;&lt;span style="font-size:12pt; font-variant:normal; white-space:pre-wrap"&gt;&lt;span style="font-family:Roboto,sans-serif"&gt;&lt;span style="color:#252525"&gt;&lt;span style="background-color:#ffffff"&gt;&lt;span style="font-weight:400"&gt;&lt;span style="font-style:normal"&gt;&lt;span style="text-decoration:none"&gt;Caixa de som de embutir com subwoofer ativo e Woofer de baixa frequência em policelulose. Oferece tecnologia de som Virtual Surround, Dolby Atmos e conexão Wi-Fi. A JBL CI8P garante uma resposta de frequência de 35 Hz – 200 Hz e 100 W RMS de potência total.&lt;/span&gt;&lt;/span&gt;&lt;/span&gt;&lt;/span&gt;&lt;/span&gt;&lt;/span&gt;&lt;/span&gt;&lt;/p&gt;
&lt;p style="line-height:1.38; background-color:#ffffff; padding:3pt 0pt 0pt 0pt"&gt; &lt;/p&gt;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style="text-decoration:none"&gt;Item 1&lt;/span&gt;&lt;/span&gt;&lt;/span&gt;&lt;/span&gt;&lt;/span&gt;&lt;/span&gt;&lt;/span&gt;&lt;/p&gt;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style="text-decoration:none"&gt;Receiver JBL MA7100HP 7.2ch 8k Wifi Dolby Digital e DTS &lt;/span&gt;&lt;/span&gt;&lt;/span&gt;&lt;/span&gt;&lt;/span&gt;&lt;/span&gt;&lt;/span&gt;&lt;br /&gt;
 &lt;/p&gt;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style="text-decoration:none"&gt;HDMI eARC: Sim&lt;/span&gt;&lt;/span&gt;&lt;/span&gt;&lt;/span&gt;&lt;/span&gt;&lt;/span&gt;&lt;/span&gt;&lt;/li&gt;
	&lt;li aria-level="1" style="list-style-type:disc"&gt;&lt;font color="#252525" face="Roboto, sans-serif"&gt;&lt;span style="font-size: 16px; white-space-collapse: preserve;"&gt;Potência: 125w rms em 8 Ohms e 175w rms em 4 Ohms&lt;/span&gt;&lt;/font&gt;&lt;/li&gt;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style="text-decoration:none"&gt;Canal de retorno de áudio HDMI: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style="text-decoration:none"&gt;Conectores de entrada HDMI 8K (HDMI 2.1, HDCP 2.3 até 8K /60 Hz, 4K /120 Hz): 4&lt;/span&gt;&lt;/span&gt;&lt;/span&gt;&lt;/span&gt;&lt;/span&gt;&lt;/span&gt;&lt;/span&gt;&lt;/li&gt;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style="text-decoration:none"&gt;Recursos aprimorados de jogos HDMI 2.1: Games-VRR, ALLM, QFT, HFR (4K a 120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style="text-decoration:none"&gt;HDR 10+, Dolby Vision: Sim ,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style="text-decoration:none"&gt;Formato do arquivo: MP3 / MPEG-4 AAC&lt;/span&gt;&lt;/span&gt;&lt;/span&gt;&lt;/span&gt;&lt;/span&gt;&lt;/span&gt;&lt;/span&gt;&lt;/li&gt;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style="text-decoration:none"&gt;Pure Direct: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style="text-decoration:none"&gt;EZ Set EQ: Sim&lt;/span&gt;&lt;/span&gt;&lt;/span&gt;&lt;/span&gt;&lt;/span&gt;&lt;/span&gt;&lt;/span&gt;&lt;/li&gt;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style="text-decoration:none"&gt;Processamento de sinal digital: até 24 bits/192 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style="text-decoration:none"&gt;Canais: 7.2&lt;/span&gt;&lt;/span&gt;&lt;/span&gt;&lt;/span&gt;&lt;/span&gt;&lt;/span&gt;&lt;/span&gt;&lt;/li&gt;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2&lt;/span&gt;&lt;/span&gt;&lt;/span&gt;&lt;/span&gt;&lt;/span&gt;&lt;/span&gt;&lt;/span&gt;&lt;/p&gt;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 Reta 100W&lt;/span&gt;&lt;/span&gt;&lt;/span&gt;&lt;/span&gt;&lt;/span&gt;&lt;/span&gt;&lt;/span&gt;&lt;/p&gt;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STAGE 260C&lt;/span&gt;&lt;/span&gt;&lt;/span&gt;&lt;/span&gt;&lt;/span&gt;&lt;/span&gt;&lt;/span&gt;&lt;/li&gt;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alta frequência: domo de alumínio de 1" (25 mm) com lente acústica&lt;/span&gt;&lt;/span&gt;&lt;/span&gt;&lt;/span&gt;&lt;/span&gt;&lt;/span&gt;&lt;/span&gt;&lt;/li&gt;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baixa frequência: woofer de cone de policelulose de 6,5" (165 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recomendada do amplificador (Full Range): 20-100W RMS&lt;/span&gt;&lt;/span&gt;&lt;/span&gt;&lt;/span&gt;&lt;/span&gt;&lt;/span&gt;&lt;/span&gt;&lt;/li&gt;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50Hz-25kHz (-6dB )&lt;/span&gt;&lt;/span&gt;&lt;/span&gt;&lt;/span&gt;&lt;/span&gt;&lt;/span&gt;&lt;/span&gt;&lt;/li&gt;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(2,83V@1m): 87dB&lt;/span&gt;&lt;/span&gt;&lt;/span&gt;&lt;/span&gt;&lt;/span&gt;&lt;/span&gt;&lt;/span&gt;&lt;/li&gt;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nominal: 8ohm&lt;/span&gt;&lt;/span&gt;&lt;/span&gt;&lt;/span&gt;&lt;/span&gt;&lt;/span&gt;&lt;/span&gt;&lt;/li&gt;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style="text-decoration:none"&gt;Frequência de crossover: 3000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style="text-decoration:none"&gt;Entradas: conectores niquelados com mola&lt;/span&gt;&lt;/span&gt;&lt;/span&gt;&lt;/span&gt;&lt;/span&gt;&lt;/span&gt;&lt;/span&gt;&lt;/li&gt;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da grade: Diâmetro&lt;/span&gt;&lt;/span&gt;&lt;/span&gt;&lt;/span&gt;&lt;/span&gt;&lt;/span&gt;&lt;/span&gt;&lt;/li&gt;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do recorte: Diâmetro&lt;/span&gt;&lt;/span&gt;&lt;/span&gt;&lt;/span&gt;&lt;/span&gt;&lt;/span&gt;&lt;/span&gt;&lt;/li&gt;
&lt;/ul&gt;
&lt;p style="line-height:1.38; background-color:#ffffff; margin-top:4px"&gt;&lt;br /&gt;
&lt;span style="font-size:12pt; font-variant:normal; white-space:pre-wrap"&gt;&lt;span style="font-family:Roboto,sans-serif"&gt;&lt;span style="color:#252525"&gt;&lt;span style="background-color:#ffffff"&gt;&lt;span style="font-weight:700"&gt;&lt;span style="font-style:normal"&gt;&lt;span style="text-decoration:none"&gt;Item 3&lt;/span&gt;&lt;/span&gt;&lt;/span&gt;&lt;/span&gt;&lt;/span&gt;&lt;/span&gt;&lt;/span&gt;&lt;/p&gt;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style="font-weight:700"&gt;&lt;span style="font-style:normal"&gt;&lt;span style="text-decoration:none"&gt;Caixa de Som JBL STAGE 260CSA Angulada 100W&lt;/span&gt;&lt;/span&gt;&lt;/span&gt;&lt;/span&gt;&lt;/span&gt;&lt;/span&gt;&lt;/span&gt;&lt;/p&gt;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STAGE 260CSA&lt;/span&gt;&lt;/span&gt;&lt;/span&gt;&lt;/span&gt;&lt;/span&gt;&lt;/span&gt;&lt;/span&gt;&lt;/li&gt;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alta frequência: domo de alumínio de 1" (25 mm) com lente acústica&lt;/span&gt;&lt;/span&gt;&lt;/span&gt;&lt;/span&gt;&lt;/span&gt;&lt;/span&gt;&lt;/span&gt;&lt;/li&gt;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style="text-decoration:none"&gt;Transdutor de baixa frequência: woofer de cone de policelulose de 6,5" (165 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recomendada do amplificador (Full Range): 20-100W RMS&lt;/span&gt;&lt;/span&gt;&lt;/span&gt;&lt;/span&gt;&lt;/span&gt;&lt;/span&gt;&lt;/span&gt;&lt;/li&gt;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50Hz-25kHz (-6dB )&lt;/span&gt;&lt;/span&gt;&lt;/span&gt;&lt;/span&gt;&lt;/span&gt;&lt;/span&gt;&lt;/span&gt;&lt;/li&gt;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(2,83V@1m): 87dB&lt;/span&gt;&lt;/span&gt;&lt;/span&gt;&lt;/span&gt;&lt;/span&gt;&lt;/span&gt;&lt;/span&gt;&lt;/li&gt;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nominal: 8ohm&lt;/span&gt;&lt;/span&gt;&lt;/span&gt;&lt;/span&gt;&lt;/span&gt;&lt;/span&gt;&lt;/span&gt;&lt;/li&gt;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style="text-decoration:none"&gt;Frequência de crossover: 2800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style="text-decoration:none"&gt;Entradas: conectores niquelados com mola&lt;/span&gt;&lt;/span&gt;&lt;/span&gt;&lt;/span&gt;&lt;/span&gt;&lt;/span&gt;&lt;/span&gt;&lt;/li&gt;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da grade: A 9,8 pol. (248 mm) x L 9,8 pol. (248 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do recorte: A 8,6 pol. (219 mm) x L 8,6 pol. (219 mm)&lt;/span&gt;&lt;/span&gt;&lt;/span&gt;&lt;/span&gt;&lt;/span&gt;&lt;/span&gt;&lt;/span&gt;&lt;/li&gt;
&lt;/ul&gt;
&lt;p&gt; &lt;/p&gt;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4&lt;/span&gt;&lt;/span&gt;&lt;/span&gt;&lt;/span&gt;&lt;/span&gt;&lt;/span&gt;&lt;/span&gt;&lt;/p&gt;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style="text-decoration:none"&gt;Subwoofer JBL CI8P Ativo 100w 8 Polegadas Preto&lt;/span&gt;&lt;/span&gt;&lt;/span&gt;&lt;/span&gt;&lt;/span&gt;&lt;/span&gt;&lt;/span&gt;&lt;/p&gt;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 Marca: JBL&lt;/span&gt;&lt;/span&gt;&lt;/span&gt;&lt;/span&gt;&lt;/span&gt;&lt;/span&gt;&lt;/span&gt;&lt;/li&gt;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style="text-decoration:none"&gt;Modelo: CI8PP&lt;/span&gt;&lt;/span&gt;&lt;/span&gt;&lt;/span&gt;&lt;/span&gt;&lt;/span&gt;&lt;/span&gt;&lt;/li&gt;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100W&lt;/span&gt;&lt;/span&gt;&lt;/span&gt;&lt;/span&gt;&lt;/span&gt;&lt;/span&gt;&lt;/span&gt;&lt;/li&gt;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style="text-decoration:none"&gt;Subwoofer ativo: 203,2mm (8") &lt;/span&gt;&lt;/span&gt;&lt;/span&gt;&lt;/span&gt;&lt;/span&gt;&lt;/span&gt;&lt;/span&gt;&lt;/li&gt;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style="text-decoration:none"&gt;Woofer de baixa frequência em policelulose: 203,2mm (8")&lt;/span&gt;&lt;/span&gt;&lt;/span&gt;&lt;/span&gt;&lt;/span&gt;&lt;/span&gt;&lt;/span&gt;&lt;/li&gt;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100 W RMS&lt;/span&gt;&lt;/span&gt;&lt;/span&gt;&lt;/span&gt;&lt;/span&gt;&lt;/span&gt;&lt;/span&gt;&lt;/li&gt;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style="text-decoration:none"&gt;Frequências de crossover: 35 Hz – 200 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style="text-decoration:none"&gt;Controles: Alimentação, tipo de entrada, nível de volume&lt;/span&gt;&lt;/span&gt;&lt;/span&gt;&lt;/span&gt;&lt;/span&gt;&lt;/span&gt;&lt;/span&gt;&lt;/li&gt;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style="text-decoration:none"&gt;Entrada: Entrada LFE de nível de linha e R&amp;L&lt;/span&gt;&lt;/span&gt;&lt;/span&gt;&lt;/span&gt;&lt;/span&gt;&lt;/span&gt;&lt;/span&gt;&lt;/li&gt;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style="text-decoration:none"&gt;Tipo de gabinete: Refletor de graves via porta sincronizada de afinação traseira&lt;/span&gt;&lt;/span&gt;&lt;/span&gt;&lt;/span&gt;&lt;/span&gt;&lt;/span&gt;&lt;/span&gt;&lt;/li&gt;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style="text-decoration:none"&gt;Peso: 7,9 Kg&lt;/span&gt;&lt;/span&gt;&lt;/span&gt;&lt;/span&gt;&lt;/span&gt;&lt;/span&gt;&lt;/span&gt;&lt;/li&gt;
&lt;/ul&gt;
&lt;p style="line-height:1.38; background-color:#ffffff; margin-top:4px"&gt;&lt;span style="font-size:12pt; font-variant:normal; white-space:pre-wrap"&gt;&lt;span style="font-family:Roboto,sans-serif"&gt;&lt;span style="color:#252525"&gt;&lt;span style="background-color:#ffffff"&gt;&lt;span style="font-weight:700"&gt;&lt;span style="font-style:normal"&gt;&lt;span style="text-decoration:none"&gt;Item 5&lt;/span&gt;&lt;/span&gt;&lt;/span&gt;&lt;/span&gt;&lt;/span&gt;&lt;/span&gt;&lt;/span&gt;&lt;/p&gt;
&lt;p style="line-height:1.38; background-color:#ffffff; padding:3pt 0pt 0pt 0pt"&gt;&lt;span style="font-size:12pt; font-variant:normal; white-space:pre-wrap"&gt;&lt;span style="font-family:Roboto,sans-serif"&gt;&lt;span style="color:#252525"&gt;&lt;span style="background-color:#ffffff"&gt;&lt;span style="font-weight:700"&gt;&lt;span style="font-style:normal"&gt;&lt;span style="text-decoration:none"&gt;Cabos&lt;/span&gt;&lt;/span&gt;&lt;/span&gt;&lt;/span&gt;&lt;/span&gt;&lt;/span&gt;&lt;/span&gt;&lt;/p&gt;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style="text-decoration:none"&gt;50m de Cabo Paralelo Bicolor 2 X 1,5mm&lt;/span&gt;&lt;/span&gt;&lt;/span&gt;&lt;/span&gt;&lt;/span&gt;&lt;/span&gt;&lt;/span&gt;&lt;/li&gt;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style="text-decoration:none"&gt;3m de Cabo HDMI 4k 2.1 &lt;/span&gt;&lt;/span&gt;&lt;/span&gt;&lt;/span&gt;&lt;/span&gt;&lt;/span&gt;&lt;/span&gt;&lt;/li&gt;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style="text-decoration:none"&gt;3m de Cabo de Subwoofer RCA &lt;/span&gt;&lt;/span&gt;&lt;/span&gt;&lt;/span&gt;&lt;/span&gt;&lt;/span&gt;&lt;/span&gt;&lt;/li&gt;
&lt;/ul&gt;
</t>
  </si>
  <si>
    <t>https://cdn.awsli.com.br/948/948321/produto/326446153/stage7-1-8pol-lp45tb7ugh.png</t>
  </si>
  <si>
    <t>https://cdn.awsli.com.br/948/948321/produto/326446153/13-potruc2u79.jpg</t>
  </si>
  <si>
    <t>https://cdn.awsli.com.br/948/948321/produto/326446153/2-jz8ni6njjz.png</t>
  </si>
  <si>
    <t>https://cdn.awsli.com.br/948/948321/produto/326446153/jbl_stage_260c_-2-_angled_no_grille_1605x1605-3kosqzcbni.png</t>
  </si>
  <si>
    <t>https://cdn.awsli.com.br/948/948321/produto/326446153/jbl-stage-260csa----2--angled-no-grille---1605x1605-ve8idrjfyn.png</t>
  </si>
  <si>
    <t>014-131</t>
  </si>
  <si>
    <t>014-131-branco</t>
  </si>
  <si>
    <t>014-132</t>
  </si>
  <si>
    <t>014-132-branco</t>
  </si>
  <si>
    <t>014-133</t>
  </si>
  <si>
    <t>014-133-branco</t>
  </si>
  <si>
    <t>014-150</t>
  </si>
  <si>
    <t>014-150-branco</t>
  </si>
  <si>
    <t>014-151</t>
  </si>
  <si>
    <t>014-151-preto</t>
  </si>
  <si>
    <t>014-151-branco</t>
  </si>
  <si>
    <t>028-153</t>
  </si>
  <si>
    <t>028-153-branco</t>
  </si>
  <si>
    <t>028-153-preto</t>
  </si>
  <si>
    <t>028-154</t>
  </si>
  <si>
    <t>028-154-branco</t>
  </si>
  <si>
    <t>028-155</t>
  </si>
  <si>
    <t>028-155-preto</t>
  </si>
  <si>
    <t>028-155-branco</t>
  </si>
  <si>
    <t>028-156</t>
  </si>
  <si>
    <t>028-156-branco</t>
  </si>
  <si>
    <t>038-152</t>
  </si>
  <si>
    <t>038-152-branco</t>
  </si>
  <si>
    <t>028-157</t>
  </si>
  <si>
    <t>028-157-preto</t>
  </si>
  <si>
    <t>028-157-branco</t>
  </si>
  <si>
    <t>WSW8</t>
  </si>
  <si>
    <t>WSW8-preto</t>
  </si>
  <si>
    <t>WSW8-branco</t>
  </si>
  <si>
    <t>3KWKJ4P3S</t>
  </si>
  <si>
    <t>3KWKJ4P3S-127v</t>
  </si>
  <si>
    <t>127V</t>
  </si>
  <si>
    <t>3KWKJ4P3S-8S868XB5I</t>
  </si>
  <si>
    <t>3KWKJ4P3S-127v-9P2VUMEFR</t>
  </si>
  <si>
    <t>3KWKJ4P3S-8S868XB5I-38SA6TV4L</t>
  </si>
  <si>
    <t>3KWKJ4P3S-127v-9P2VUMEFR-KYYDUQ6MK</t>
  </si>
  <si>
    <t>KFKQBYFS4</t>
  </si>
  <si>
    <t>KFKQBYFS4-100m</t>
  </si>
  <si>
    <t>100m²</t>
  </si>
  <si>
    <t>KFKQBYFS4-200m</t>
  </si>
  <si>
    <t>200m²</t>
  </si>
  <si>
    <t>KFKQBYFS4-300m</t>
  </si>
  <si>
    <t>300m²</t>
  </si>
  <si>
    <t>KFKQBYFS4-400m</t>
  </si>
  <si>
    <t>400m²</t>
  </si>
  <si>
    <t>KFKQBYFS4-500m</t>
  </si>
  <si>
    <t>500m²</t>
  </si>
  <si>
    <t>S3KWW72J8</t>
  </si>
  <si>
    <t>S3KWW72J8-100m</t>
  </si>
  <si>
    <t>S3KWW72J8-200m</t>
  </si>
  <si>
    <t>S3KWW72J8-300m</t>
  </si>
  <si>
    <t>S3KWW72J8-400m</t>
  </si>
  <si>
    <t>S3KWW72J8-500m</t>
  </si>
  <si>
    <t>XD4KHDSK2-branco</t>
  </si>
  <si>
    <t>ZF227N2ER</t>
  </si>
  <si>
    <t>ZF227N2ER-branco</t>
  </si>
  <si>
    <t>ZF227N2ER-2021-07-18-20-25-50</t>
  </si>
  <si>
    <t>5X8MB29LP</t>
  </si>
  <si>
    <t>5X8MB29LP-branco</t>
  </si>
  <si>
    <t>5X8MB29LP-preto</t>
  </si>
  <si>
    <t>JEC4BYCKW</t>
  </si>
  <si>
    <t>JEC4BYCKW-preto</t>
  </si>
  <si>
    <t>JEC4BYCKW-branco</t>
  </si>
  <si>
    <t>TFKF6HF62</t>
  </si>
  <si>
    <t>TFKF6HF62-branco</t>
  </si>
  <si>
    <t>TFKF6HF62-preto</t>
  </si>
  <si>
    <t>XCC2NLRQ4</t>
  </si>
  <si>
    <t>XCC2NLRQ4-preto</t>
  </si>
  <si>
    <t>R3DJT5K7R</t>
  </si>
  <si>
    <t>R3DJT5K7R-branco</t>
  </si>
  <si>
    <t>R3DJT5K7R-preto</t>
  </si>
  <si>
    <t>MABWXJCYK</t>
  </si>
  <si>
    <t>MABWXJCYK-9m</t>
  </si>
  <si>
    <t>9m</t>
  </si>
  <si>
    <t>MABWXJCYK-12m</t>
  </si>
  <si>
    <t>12m</t>
  </si>
  <si>
    <t>014-1299</t>
  </si>
  <si>
    <t>014-1299-branco</t>
  </si>
  <si>
    <t>9V2N2P9K7</t>
  </si>
  <si>
    <t>9V2N2P9K7-branco</t>
  </si>
  <si>
    <t>9V2N2P9K7-preto</t>
  </si>
  <si>
    <t>2Z8XR8KXT</t>
  </si>
  <si>
    <t>2Z8XR8KXT-branco</t>
  </si>
  <si>
    <t>014-132-preto</t>
  </si>
  <si>
    <t>014-133-preta</t>
  </si>
  <si>
    <t>014-131-preta</t>
  </si>
  <si>
    <t>DUPLICADO-014-1299-branco</t>
  </si>
  <si>
    <t>2Z8XR8KXT-preta</t>
  </si>
  <si>
    <t>014-150-preto</t>
  </si>
  <si>
    <t>028-154-Preto</t>
  </si>
  <si>
    <t>038-152-preto</t>
  </si>
  <si>
    <t>028-156-preto</t>
  </si>
  <si>
    <t>J46EFWNTT</t>
  </si>
  <si>
    <t>J46EFWNTT-branco</t>
  </si>
  <si>
    <t>J46EFWNTT-preto</t>
  </si>
  <si>
    <t>J46EFWNTT-Q4JHIKQX5</t>
  </si>
  <si>
    <t>J46EFWNTA-PRETO</t>
  </si>
  <si>
    <t>J46EFWNTA-MADEIRA</t>
  </si>
  <si>
    <t>Old Copper</t>
  </si>
  <si>
    <t>R1280DB</t>
  </si>
  <si>
    <t>R1280DB-MADEIRA</t>
  </si>
  <si>
    <t>Irish Coffee</t>
  </si>
  <si>
    <t>R1280DB-BRANCO</t>
  </si>
  <si>
    <t>265EA</t>
  </si>
  <si>
    <t>265EA-11m</t>
  </si>
  <si>
    <t>11m</t>
  </si>
  <si>
    <t>265EA-9M</t>
  </si>
  <si>
    <t>bm285ea-kit</t>
  </si>
  <si>
    <t>bm285ea-kit-9m</t>
  </si>
  <si>
    <t>bm285ea-kit-11m</t>
  </si>
  <si>
    <t>HDMIstorm</t>
  </si>
  <si>
    <t>HDMIstorm-1m</t>
  </si>
  <si>
    <t>HDMIstorm-2m</t>
  </si>
  <si>
    <t>HDMIstorm-3m</t>
  </si>
  <si>
    <t>HDMIstorm-1-5m</t>
  </si>
  <si>
    <t>1,5m</t>
  </si>
  <si>
    <t>DHVHP4ZYP</t>
  </si>
  <si>
    <t>DHVHP4ZYP-preto-quadrada</t>
  </si>
  <si>
    <t>Quadrada</t>
  </si>
  <si>
    <t>DHVHP4ZYP-preto-redonda</t>
  </si>
  <si>
    <t>Redonda</t>
  </si>
  <si>
    <t>DHVHP4ZYP-branco-quadrada</t>
  </si>
  <si>
    <t>DUPLICADO-DHVHP4ZYP-branco-redonda</t>
  </si>
  <si>
    <t>kitbtsAAT</t>
  </si>
  <si>
    <t>TESTE-quadrada-branca</t>
  </si>
  <si>
    <t>Quadrada Branca</t>
  </si>
  <si>
    <t>TESTE-quadrada-preta</t>
  </si>
  <si>
    <t>Quadrada Preta</t>
  </si>
  <si>
    <t>TESTE-redonda-branca</t>
  </si>
  <si>
    <t>Redonda Branca</t>
  </si>
  <si>
    <t>TESTE-redonda-preta</t>
  </si>
  <si>
    <t>Redonda Preta</t>
  </si>
  <si>
    <t>Receiver Denon Avr-s650h S650 Wifi 5.2 4k - 02 anos de garantia</t>
  </si>
  <si>
    <t>com-variacao</t>
  </si>
  <si>
    <t>Receiver Denon Avr-s650h 5.2 -nf Garantia 02 Anos</t>
  </si>
  <si>
    <t xml:space="preserve">&lt;h2 class="ui-pdp-description__title" style="box-sizing: border-box; margin: 0px; line-height: 1.25; font-size: 24px; padding-bottom: 24px; color: rgba(0, 0, 0, 0.8); font-family: &amp;quot;Proxima Nova&amp;quot;, -apple-system, &amp;quot;Helvetica Neue&amp;quot;, Helvetica, Roboto, Arial, sans-serif;"&gt;Descrição&lt;/h2&gt;
&lt;p class="ui-pdp-description__content" style="box-sizing: border-box; margin: 0px; font-size: 20px; word-break: break-word; color: rgb(102, 102, 102); font-family: &amp;quot;Proxima Nova&amp;quot;, -apple-system, &amp;quot;Helvetica Neue&amp;quot;, Helvetica, Roboto, Arial, sans-serif;"&gt;Surround Multicanal:&lt;br style="box-sizing: border-box;" /&gt;
DTS HD Master&lt;br style="box-sizing: border-box;" /&gt;
Estéreo Multicanal&lt;br style="box-sizing: border-box;" /&gt;
Número máximo de canais de processamento (pré-amplificação) 5.1&lt;br style="box-sizing: border-box;" /&gt;
Virtualização Dolby TrueHD&lt;br style="box-sizing: border-box;" /&gt;
&lt;br style="box-sizing: border-box;" /&gt;
Aprimoramentos de som:&lt;br style="box-sizing: border-box;" /&gt;
Amplificador de potência discreto&lt;br style="box-sizing: border-box;" /&gt;
Audyssey MultEQ&lt;br style="box-sizing: border-box;" /&gt;
Audyssey Dynamic EQ / Dynamic Volume&lt;br style="box-sizing: border-box;" /&gt;
Restaurador de Áudio Comprimido&lt;br style="box-sizing: border-box;" /&gt;
&lt;br style="box-sizing: border-box;" /&gt;
Rede:&lt;br style="box-sizing: border-box;" /&gt;
Formatos com perdas: MP3 / WMA / AAC&lt;br style="box-sizing: border-box;" /&gt;
Formatos sem perdas: FLAC / ALAC / WAV&lt;br style="box-sizing: border-box;" /&gt;
Streaming de áudio DSD (2,8 / 5,6 MHz)&lt;br style="box-sizing: border-box;" /&gt;
Reprodução sem falhas (FLAC, WAV, ALAC, DSD)&lt;br style="box-sizing: border-box;" /&gt;
Rádio da Internet&lt;br style="box-sizing: border-box;" /&gt;
Portas Ethernet&lt;br style="box-sizing: border-box;" /&gt;
Wi-fi&lt;br style="box-sizing: border-box;" /&gt;
Bluetooth&lt;br style="box-sizing: border-box;" /&gt;
Servidor de mídia&lt;br style="box-sizing: border-box;" /&gt;
Tecnologia de multi-sala sem fio HEOS&lt;br style="box-sizing: border-box;" /&gt;
Formatos sem perdas: FLAC HD 192/24 / WAV 192/24 / ALAC 192/24&lt;br style="box-sizing: border-box;" /&gt;
FLAC HD 192/24&lt;br style="box-sizing: border-box;" /&gt;
WAV 192/24&lt;br style="box-sizing: border-box;" /&gt;
ALAC 192/24&lt;br style="box-sizing: border-box;" /&gt;
&lt;br style="box-sizing: border-box;" /&gt;
Hdmi:&lt;br style="box-sizing: border-box;" /&gt;
Entradas HDMI: Parte traseira&lt;br style="box-sizing: border-box;" /&gt;
Suporte HDCP 2.2 (HDCP 2.3)&lt;br style="box-sizing: border-box;" /&gt;
Saídas HDMI: Principal 1&lt;br style="box-sizing: border-box;" /&gt;
Sobreposição de GUI no HDMI&lt;br style="box-sizing: border-box;" /&gt;
Passagem de sinal em 3D&lt;br style="box-sizing: border-box;" /&gt;
Passagem de sinal de 4K / sobreposição de GUI&lt;br style="box-sizing: border-box;" /&gt;
Passagem HDMI no modo de espera&lt;br style="box-sizing: border-box;" /&gt;
CEC&lt;br style="box-sizing: border-box;" /&gt;
Canal de retorno de áudio&lt;br style="box-sizing: border-box;" /&gt;
Auto LipSync&lt;br style="box-sizing: border-box;" /&gt;
HDMI: 3D / 4K / CEC / ARC&lt;br style="box-sizing: border-box;" /&gt;
HDR (HDR10)/ HLG / Dolby Vision&lt;br style="box-sizing: border-box;" /&gt;
ALLM (Modo de Baixa Latência Automática) Passagem para jogos&lt;br style="box-sizing: border-box;" /&gt;
&lt;br style="box-sizing: border-box;" /&gt;
Outras:&lt;br style="box-sizing: border-box;" /&gt;
Configuração automática de alto-falante por microfone Audyssey MultEQ&lt;br style="box-sizing: border-box;" /&gt;
Display FL&lt;br style="box-sizing: border-box;" /&gt;
Interface gráfica do usuário - GUI GUI híbrido&lt;br style="box-sizing: border-box;" /&gt;
Idiomas GUI 3&lt;br style="box-sizing: border-box;" /&gt;
Assistente de configuração&lt;br style="box-sizing: border-box;" /&gt;
Selecção Rápida Plus&lt;br style="box-sizing: border-box;" /&gt;
Variável Cross Over&lt;br style="box-sizing: border-box;" /&gt;
Redirecionamento de Baixo Otimizado&lt;br style="box-sizing: border-box;" /&gt;
Modo Eco&lt;br style="box-sizing: border-box;" /&gt;
Desligamento Automático&lt;br style="box-sizing: border-box;" /&gt;
Despertador&lt;br style="box-sizing: border-box;" /&gt;
&lt;br style="box-sizing: border-box;" /&gt;
Entradas e Saídas:&lt;br style="box-sizing: border-box;" /&gt;
Entrada / Saída Composta 2/1&lt;br style="box-sizing: border-box;" /&gt;
Entrada / Saída HDMI 5/1&lt;br style="box-sizing: border-box;" /&gt;
Entrada / saída analógica 2/x&lt;br style="box-sizing: border-box;" /&gt;
Digital In: Optical / Coaxial 2/1&lt;br style="box-sizing: border-box;" /&gt;
Pré-out multicanal (0,2)&lt;br style="box-sizing: border-box;" /&gt;
Subwoofer Out 2&lt;br style="box-sizing: border-box;" /&gt;
Número de terminais de alto-falante 5&lt;br style="box-sizing: border-box;" /&gt;
Entradas frontais: USB&lt;br style="box-sizing: border-box;" /&gt;
Áudio USB&lt;br style="box-sizing: border-box;" /&gt;
AM / FM Tuner&lt;br style="box-sizing: border-box;" /&gt;
&lt;br style="box-sizing: border-box;" /&gt;
Especificações de Potência:&lt;br style="box-sizing: border-box;" /&gt;
Número de amplificadores de potência 5&lt;br style="box-sizing: border-box;" /&gt;
Saída de Potência (8 ohm, 20 Hz - 20 kHz, 0,08% 2ch Drive) 75W&lt;br style="box-sizing: border-box;" /&gt;
Saída de Potência (6 ohm, 1 kHz, 0,7% 2ch Drive) 100W&lt;br style="box-sizing: border-box;" /&gt;
Saída de Potência (6 ohms, 1 kHz, 10% 1ch Drive) 150W&lt;br style="box-sizing: border-box;" /&gt;
&lt;br style="box-sizing: border-box;" /&gt;
Geral:&lt;br style="box-sizing: border-box;" /&gt;
Consumo de energia em W 340&lt;br style="box-sizing: border-box;" /&gt;
Consumo de energia sem som (ECO ligado / desligado) em W 29 W / 39 W&lt;br style="box-sizing: border-box;" /&gt;
Consumo em espera em W 0,1&lt;br style="box-sizing: border-box;" /&gt;
Consumo em espera CEC em W 0,5&lt;br style="box-sizing: border-box;" /&gt;
&lt;br style="box-sizing: border-box;" /&gt;
Dimensões máximas&lt;br style="box-sizing: border-box;" /&gt;
Antena: Horizontal: (L x D x A) em Polegadas 17.1 × 13.3 × 6&lt;br style="box-sizing: border-box;" /&gt;
Antena: Vertical: (L x A x A) em Polegadas (17,1 x 13,3 x 8,5)&lt;br style="box-sizing: border-box;" /&gt;
Antena A / C: (L x A x A) em Polegadas&lt;br style="box-sizing: border-box;" /&gt;
&lt;br style="box-sizing: border-box;" /&gt;
Peso em LBS 17,2&lt;br style="box-sizing: border-box;" /&gt;
&lt;br style="box-sizing: border-box;" /&gt;
Dimensões da Caixa (Embalagem) (L x P x A) em Polegadas) 20,6 x 17,1 x 9,1 (in)&lt;br style="box-sizing: border-box;" /&gt;
Peso em LBS (Embalagem) 21,4&lt;br style="box-sizing: border-box;" /&gt;
&lt;br style="box-sizing: border-box;" /&gt;
Fonte de energia CA 120 V, 60 Hz&lt;br style="box-sizing: border-box;" /&gt;
Impedância do alto-falante 4 x16O / ohms&lt;/p&gt;
</t>
  </si>
  <si>
    <t>https://www.youtube.com/watch?v=yrUohmAzx2g</t>
  </si>
  <si>
    <t>Receiver</t>
  </si>
  <si>
    <t>https://cdn.awsli.com.br/948/948321/produto/88436250/eb50aed6b1.jpg</t>
  </si>
  <si>
    <t>https://cdn.awsli.com.br/948/948321/produto/88436250/fa21009560.jpg</t>
  </si>
  <si>
    <t>https://cdn.awsli.com.br/948/948321/produto/88436250/a0ef153d8e.jpg</t>
  </si>
  <si>
    <t>https://cdn.awsli.com.br/948/948321/produto/88436250/58205d821c.jpg</t>
  </si>
  <si>
    <t>Receiver Denon Avr-s750h 7.2 3d 4k - 02 anos de garantia</t>
  </si>
  <si>
    <t>Receiver Denon Avr-s750h 7.2 -nf Garantia 02 Anos</t>
  </si>
  <si>
    <t xml:space="preserve">&lt;h2 class="ui-pdp-description__title" style="box-sizing: border-box; margin: 0px; line-height: 1.25; font-size: 24px; padding-bottom: 24px; color: rgba(0, 0, 0, 0.8); font-family: &amp;quot;Proxima Nova&amp;quot;, -apple-system, &amp;quot;Helvetica Neue&amp;quot;, Helvetica, Roboto, Arial, sans-serif;"&gt;Descrição&lt;/h2&gt;
&lt;p class="ui-pdp-description__content" style="box-sizing: border-box; margin: 0px; font-size: 20px; word-break: break-word; color: rgb(102, 102, 102); font-family: &amp;quot;Proxima Nova&amp;quot;, -apple-system, &amp;quot;Helvetica Neue&amp;quot;, Helvetica, Roboto, Arial, sans-serif;"&gt;&lt;span style="color: rgb(102, 102, 102); font-family: &amp;quot;Proxima Nova&amp;quot;, -apple-system, &amp;quot;Helvetica Neue&amp;quot;, Helvetica, Roboto, Arial, sans-serif; font-size: 20px;"&gt;Especificações Técnicas:&lt;/span&gt;&lt;br style="box-sizing: border-box; color: rgb(102, 102, 102); font-family: &amp;quot;Proxima Nova&amp;quot;, -apple-system, &amp;quot;Helvetica Neue&amp;quot;, Helvetica, Roboto, Arial, sans-serif; font-size: 20px;" /&gt;
&lt;br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20px;"&gt;Amplificador&lt;/span&gt;&lt;br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20px;"&gt;Canais 7.2&lt;/span&gt;&lt;br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20px;"&gt;Potência 75 W @ 8 Ohms, 20 Hz a 20 kHz, THD 0,08% por canal, 2 canais acionados&lt;/span&gt;&lt;br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20px;"&gt;110 W @ 6 Ohms, 1 kHz, THD 0,7% por canal, 2 canais acionados&lt;/span&gt;&lt;br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20px;"&gt;165 W @ 6 Ohms, 1 kHz, 10% THD, acionado por 1 canal&lt;/span&gt;&lt;br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20px;"&gt;Impedância do Alto-falante 4 a 16 Ohms&lt;/span&gt;&lt;br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20px;"&gt;Decodificação de áudio Dolby: Dolby Atmos, Dolby TrueHD, Dolby Surround&lt;/span&gt;&lt;br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20px;"&gt;DTS: DTS: X, DTS Neural: X, Mestre DTS HD&lt;/span&gt;&lt;br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20px;"&gt;Arquivos suportados MP3, WMA, AAC, FLAC, ALAC e WAV&lt;/span&gt;&lt;br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20px;"&gt;Sintonizador&lt;/span&gt;&lt;br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20px;"&gt;Tipo de sintonizador FM / AM&lt;/span&gt;&lt;br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20px;"&gt;Frequências de Recepção FM: 87,5 a 107,9 MHz&lt;/span&gt;&lt;br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20px;"&gt;AM: 520 a 1710 kHz&lt;/span&gt;&lt;br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20px;"&gt;Vídeo&lt;/span&gt;&lt;br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20px;"&gt;Atravessar 4K, HDR, eARC, CEC, 3D&lt;/span&gt;&lt;br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20px;"&gt;Conformidade com HDCP 2.3&lt;/span&gt;&lt;br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20px;"&gt;Conectividade&lt;/span&gt;&lt;br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20px;"&gt;Wi-fi sim&lt;/span&gt;&lt;br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20px;"&gt;Bluetooth sim&lt;/span&gt;&lt;br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20px;"&gt;Entradas 6 x HDMI (1 frontal)&lt;/span&gt;&lt;br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20px;"&gt;2 x vídeo composto RCA&lt;/span&gt;&lt;br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20px;"&gt;3 x RCA estéreo (1 fone com parafuso de aterramento)&lt;/span&gt;&lt;br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20px;"&gt;2 x TOSLINK óptico&lt;/span&gt;&lt;br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20px;"&gt;1 x digital coaxial&lt;/span&gt;&lt;br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20px;"&gt;Saídas 1 x HDMI&lt;/span&gt;&lt;br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20px;"&gt;1 x vídeo composto RCA&lt;/span&gt;&lt;br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20px;"&gt;2 x pré-saída para subwoofer&lt;/span&gt;&lt;br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20px;"&gt;1 x fone de ouvido de 1/4 "/ 6,35 mm (frontal)&lt;/span&gt;&lt;br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20px;"&gt;Outras portas 1 x USB tipo A (frontal)&lt;/span&gt;&lt;br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20px;"&gt;1 x microfone de configuração de 1/8 "/ 3,5 mm (frontal)&lt;/span&gt;&lt;br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20px;"&gt;1 x antena AM&lt;/span&gt;&lt;br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20px;"&gt;1 x antena FM&lt;/span&gt;&lt;br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20px;"&gt;1 x Ethernet LAN RJ45&lt;/span&gt;&lt;br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20px;"&gt;Conectores de alto-falante 7 x pares de bornes de ligação&lt;/span&gt;&lt;br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20px;"&gt;Especificações físicas&lt;/span&gt;&lt;br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20px;"&gt;Requerimentos poderosos 120 VCA, 60 Hz&lt;/span&gt;&lt;br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20px;"&gt;Consumo de energia Ativo: 400 W&lt;/span&gt;&lt;br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20px;"&gt;Sem som, ECO desativado: 39 W&lt;/span&gt;&lt;br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20px;"&gt;Sem som, ECO ativado: 29 W Em&lt;/span&gt;&lt;br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20px;"&gt;espera: 0,1 W Em&lt;/span&gt;&lt;br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20px;"&gt;espera CEC: 0,5 W&lt;/span&gt;&lt;br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20px;"&gt;Dimensões (L x A x P) 17,1 x 6 x 13,3 "/ 43,4 x 15,1 x 33,9 cm com antenas horizontais&lt;/span&gt;&lt;br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20px;"&gt;17,1 x 8,5 x 13,3" / 43,4 x 21,5 x 33,9 cm com antenas verticais&lt;/span&gt;&lt;br style="box-sizing: border-box; color: rgb(102, 102, 102); font-family: &amp;quot;Proxima Nova&amp;quot;, -apple-system, &amp;quot;Helvetica Neue&amp;quot;, Helvetica, Roboto, Arial, sans-serif; font-size: 20px;" /&gt;
&lt;span style="color: rgb(102, 102, 102); font-family: &amp;quot;Proxima Nova&amp;quot;, -apple-system, &amp;quot;Helvetica Neue&amp;quot;, Helvetica, Roboto, Arial, sans-serif; font-size: 20px;"&gt;Peso 8,6 kg / 19 lb&lt;/span&gt;&lt;/p&gt;
</t>
  </si>
  <si>
    <t>https://cdn.awsli.com.br/948/948321/produto/88437277/6ec719329c.jpg</t>
  </si>
  <si>
    <t>https://cdn.awsli.com.br/948/948321/produto/88437277/96d18c35f0.jpg</t>
  </si>
  <si>
    <t>https://cdn.awsli.com.br/948/948321/produto/88437277/a9d0e33335.jpg</t>
  </si>
  <si>
    <t>Receiver Denon Avr-s960 7.2 8k - Nf Garantia De 02 Anos</t>
  </si>
  <si>
    <t>Receiver Denon Avr-s960ht 7.2 8k - Nf Garantia De 02 Anos</t>
  </si>
  <si>
    <t xml:space="preserve">&lt;h2 class="ui-pdp-description__title" style="box-sizing: border-box; margin: 0px; line-height: 1.25; font-size: 24px; padding-bottom: 24px; color: rgba(0, 0, 0, 0.8); font-family: &amp;quot;Proxima Nova&amp;quot;, -apple-system, &amp;quot;Helvetica Neue&amp;quot;, Helvetica, Roboto, Arial, sans-serif;"&gt;&lt;span style="font-size:16px;"&gt;Características principais&lt;br style="box-sizing: border-box;" /&gt;
&lt;br style="box-sizing: border-box;" /&gt;
Desfrute de som surround baseado em objetos de até 7,2 ou 5,1,2 canais com o seu sistema de alto-falantes favorito e o receptor A / V de rede com 7,2 canais Denon AVR-S960H. Ele suporta os formatos de áudio baseados em objetos Dolby Atmos e DTS: X e possui Bluetooth, Wi-Fi, HEOS e A p p l e A i r P l a y 2 integrados para conexão sem fio com seus dispositivos inteligentes compatíveis. Além disso, a conectividade de rede integrada permite que o receptor seja controlado por voz através do ecossistema Alexa, Google Assistant, Siri ou Josh.ai ou através do aplicativo HEOS.&lt;br style="box-sizing: border-box;" /&gt;
&lt;br style="box-sizing: border-box;" /&gt;
O AVR-S960H produz até 90W por canal a 8 ohms e possui a otimização de som Audyssey MultEQ para adaptar o som à sua sala específica. Seis entradas HDMI e duas saídas estão integradas; um de cada suporta vídeo 8K e todos eles suportam upscaling de 8K, HDR e cores 4: 4: 4, e a saída principal suporta o eARC. Uma porta USB na frente fornece conectividade direta ao dispositivo e reprodução de áudio.&lt;br style="box-sizing: border-box;" /&gt;
&lt;br style="box-sizing: border-box;" /&gt;
Amplificador discreto de 7 canais&lt;br style="box-sizing: border-box;" /&gt;
Com dispositivos de saída de energia discretos em todos os canais, o AVR-S960H é classificado até 90 watts por canal a 8 ohms para uma experiência sonora dinâmica e precisa.&lt;br style="box-sizing: border-box;" /&gt;
&lt;br style="box-sizing: border-box;" /&gt;
&lt;br style="box-sizing: border-box;" /&gt;
&lt;br style="box-sizing: border-box;" /&gt;
Amplificador&lt;br style="box-sizing: border-box;" /&gt;
Canais 7.2&lt;br style="box-sizing: border-box;" /&gt;
Configuração Baseada em Objeto :: 5.1.2&lt;br style="box-sizing: border-box;" /&gt;
Potência de saída por canal de 2 canais:&lt;br style="box-sizing: border-box;" /&gt;
90 W a 8 Ohms / 20 Hz a 20 kHz / 0,008% THD&lt;br style="box-sizing: border-box;" /&gt;
125 W a 6 Ohms / 1 kHz / 0,7% THD&lt;br style="box-sizing: border-box;" /&gt;
Acionado por 1 canal:&lt;br style="box-sizing: border-box;" /&gt;
145 W a 6 Ohms / 1 kHz / 0,7% THD&lt;br style="box-sizing: border-box;" /&gt;
185 W a 6 Ohms / 1 kHz / 10% THD&lt;br style="box-sizing: border-box;" /&gt;
Resposta de Frequência 10 Hz a 100 kHz + 1 / -3 dB (Modo Direto)&lt;br style="box-sizing: border-box;" /&gt;
Impedância do Alto-falante de 4 a 16 Ohms&lt;br style="box-sizing: border-box;" /&gt;
Processamento de áudio&lt;br style="box-sizing: border-box;" /&gt;
Compatibilidade com DTS DTS-HD Master Audio, DTS: X&lt;br style="box-sizing: border-box;" /&gt;
Compatibilidade com Dolby Dolby Atmos, Dolby Pro Logic IIz, Dolby TrueHD&lt;br style="box-sizing: border-box;" /&gt;
Suporte Auro 3D Não&lt;br style="box-sizing: border-box;" /&gt;
Tecnologia de upmixing Dolby Surround, DTS Neural: X, DTS Virtual: X, Dolby Atmos Altura Tecnologia de virtualização&lt;br style="box-sizing: border-box;" /&gt;
Formatos de arquivo suportados AAC, ALAC, DSD, FLAC, MP3, WAV, WMA&lt;br style="box-sizing: border-box;" /&gt;
Vídeo&lt;br style="box-sizing: border-box;" /&gt;
Compatibilidade HDR HDR10, HDR10 +, Dolby Vision, Hybrid Log Gamma&lt;br style="box-sizing: border-box;" /&gt;
Suporte de passagem 8K60p 4: 4: 4 (3D, BT.2020)&lt;br style="box-sizing: border-box;" /&gt;
Aumento de 8K&lt;br style="box-sizing: border-box;" /&gt;
GUI Sim&lt;br style="box-sizing: border-box;" /&gt;
Conectividade&lt;br style="box-sizing: border-box;" /&gt;
Entradas A / V traseiras 6 x HDMI&lt;br style="box-sizing: border-box;" /&gt;
2 x Componente 3RCA&lt;br style="box-sizing: border-box;" /&gt;
2 x RCA Composto&lt;br style="box-sizing: border-box;" /&gt;
2 x TOSLINK óptico&lt;br style="box-sizing: border-box;" /&gt;
1 x coaxial digital&lt;br style="box-sizing: border-box;" /&gt;
4 x RCA estéreo&lt;br style="box-sizing: border-box;" /&gt;
1 x RCA estéreo (Phono) com parafuso de aterramento&lt;br style="box-sizing: border-box;" /&gt;
Saídas A / V traseiras 2 x HDMI&lt;br style="box-sizing: border-box;" /&gt;
1 x componente 3RCA&lt;br style="box-sizing: border-box;" /&gt;
1 x composto RCA&lt;br style="box-sizing: border-box;" /&gt;
2 x Subwoofer RCA&lt;br style="box-sizing: border-box;" /&gt;
E / S frontal 1 x entrada USB tipo A&lt;br style="box-sizing: border-box;" /&gt;
1 x Saída de fone de ouvido de 6,35 mm&lt;br style="box-sizing: border-box;" /&gt;
1 entrada de microfone de configuração de 1/8 "/ 3,5 mm&lt;br style="box-sizing: border-box;" /&gt;
Outra E / S traseira 2 x Entrada do terminal da antena Bluetooth / Wi-Fi&lt;br style="box-sizing: border-box;" /&gt;
1 x entrada de terminal de antena AM&lt;br style="box-sizing: border-box;" /&gt;
1 x entrada de terminal de antena FM&lt;br style="box-sizing: border-box;" /&gt;
1 x RJ45 (Ethernet)&lt;br style="box-sizing: border-box;" /&gt;
Conectores de alto-falante 7 x pares de bornes de ligação&lt;br style="box-sizing: border-box;" /&gt;
Suporte para HDCP Versão 2.3&lt;br style="box-sizing: border-box;" /&gt;
Canal de retorno de áudio (ARC) Sim, eARC&lt;br style="box-sizing: border-box;" /&gt;
HDMI CEC Sim&lt;br style="box-sizing: border-box;" /&gt;
Sensibilidade de entrada 200 mV&lt;br style="box-sizing: border-box;" /&gt;
Relação sinal / ruído 100 dB (modo direto / IHF-A)&lt;br style="box-sizing: border-box;" /&gt;
Conectividade sem fio&lt;br style="box-sizing: border-box;" /&gt;
Protocolos de áudio sem fio AirPlay 2, HEOS&lt;br style="box-sizing: border-box;" /&gt;
Ao controle&lt;br style="box-sizing: border-box;" /&gt;
Suporte para assistente virtual Alexa, A p p l e Siri, Google Assistant, Josh.ai&lt;br style="box-sizing: border-box;" /&gt;
&lt;br style="box-sizing: border-box;" /&gt;
&lt;br style="box-sizing: border-box;" /&gt;
DIMENSÕES E PESO&lt;br style="box-sizing: border-box;" /&gt;
Profundidade: 33cm&lt;br style="box-sizing: border-box;" /&gt;
Largura: 43,4 cm&lt;br style="box-sizing: border-box;" /&gt;
Altura: 16,8 cm&lt;br style="box-sizing: border-box;" /&gt;
Peso: 9,5Kg&lt;/span&gt;&lt;/h2&gt;
</t>
  </si>
  <si>
    <t>https://www.youtube.com/watch?v=zeC7x7-LXbs</t>
  </si>
  <si>
    <t>https://cdn.awsli.com.br/948/948321/produto/88437633/6519175687.jpg</t>
  </si>
  <si>
    <t>https://cdn.awsli.com.br/948/948321/produto/88437633/7437a4470f.jpg</t>
  </si>
  <si>
    <t>https://cdn.awsli.com.br/948/948321/produto/88437633/1466433d5a.jpg</t>
  </si>
  <si>
    <t>Par de Caixa Acústica Som Ambiente 50W C621P JBL</t>
  </si>
  <si>
    <t xml:space="preserve">&lt;div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style="font-size:16px;"&gt;A Caixa Acústica Som Ambiente 50W C621P JBL faz parte da linha Ambientare da JBL. Ela oferece uma excelente opção para sonorização de ambientes onde se exija alto desempenho. Possui duas vias em pequenas dimensões.&lt;br style="box-sizing: border-box; font-family: proxima-nova, Arial, Helvetica, sans-serif;" /&gt;
&lt;br style="box-sizing: border-box; font-family: proxima-nova, Arial, Helvetica, sans-serif;" /&gt;
Esse alto desempenho é conseguido através de um woofer com cone de polipropileno e bobina de grande excursão e um tweeter com diafragma em PEI, o que dá ao tweeter um alto desempenho. O woofer é acoplado através de um divisor de frequências interno, especial para cada modelo, desenvolvidos com componentes de alta fidelidade.&lt;br style="box-sizing: border-box; font-family: proxima-nova, Arial, Helvetica, sans-serif;" /&gt;
&lt;br style="box-sizing: border-box; font-family: proxima-nova, Arial, Helvetica, sans-serif;" /&gt;
A forma da Caixa Acústica Som Ambiente 50W C621P JBL sem paredes paralelas propicia uma resposta em frequência plena e suave, além deste design permitir uma ótima integração da caixa com qualquer ambiente.&lt;br style="box-sizing: border-box; font-family: proxima-nova, Arial, Helvetica, sans-serif;" /&gt;
&lt;br style="box-sizing: border-box; font-family: proxima-nova, Arial, Helvetica, sans-serif;" /&gt;
São duas excelentes Caixas para Som Ambiente.&lt;/span&gt;&lt;/p&gt;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&lt;h3 style="box-sizing: border-box; margin-top: 15px; margin-bottom: 15px; font-weight: 700; line-height: 1.2; font-size: 20px; font-family: proxima-nova, Arial, Helvetica, sans-serif; color: rgb(49, 49, 49);"&gt;&lt;span style="font-size:16px;"&gt;Características&lt;/span&gt;&lt;/h3&gt;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style="font-size:16px;"&gt;Alto Falantes: 1 x Woofer 6"&lt;br style="box-sizing: border-box; font-family: proxima-nova, Arial, Helvetica, sans-serif;" /&gt;
1 x Tweeter 1"&lt;/span&gt;&lt;/p&gt;
&lt;p style="box-sizing: border-box; margin-top: 0px; margin-bottom: 5px; font-family: proxima-nova, Arial, Helvetica, sans-serif; font-size: 14px; color: rgb(49, 49, 49);"&gt;&lt;span style="font-size:16px;"&gt;Potência: 50W RMS / Musical: 100W RMS&lt;/span&gt;&lt;/p&gt;
&lt;p style="box-sizing: border-box; margin-top: 0px; margin-bottom: 5px; font-family: proxima-nova, Arial, Helvetica, sans-serif; font-size: 14px; color: rgb(49, 49, 49);"&gt;&lt;span style="font-size:16px;"&gt;Impedância: 8 Ohms&lt;/span&gt;&lt;/p&gt;
&lt;p style="box-sizing: border-box; margin-top: 0px; margin-bottom: 5px; font-family: proxima-nova, Arial, Helvetica, sans-serif; font-size: 14px; color: rgb(49, 49, 49);"&gt;&lt;span style="font-size:16px;"&gt;Resposta Frequência: 85 Hz a 20 KHz&lt;/span&gt;&lt;/p&gt;
&lt;p style="box-sizing: border-box; margin-top: 0px; margin-bottom: 5px; font-family: proxima-nova, Arial, Helvetica, sans-serif; font-size: 14px; color: rgb(49, 49, 49);"&gt;&lt;span style="font-size:16px;"&gt;Acabamento: Injetada em Plástico e tela frontal em alumínio, Material ABS&lt;/span&gt;&lt;/p&gt;
&lt;/div&gt;
</t>
  </si>
  <si>
    <t>https://cdn.awsli.com.br/948/948321/produto/111260503/97ae456269.jpg</t>
  </si>
  <si>
    <t>https://cdn.awsli.com.br/948/948321/produto/111260503/bd2aeeebfd.jpg</t>
  </si>
  <si>
    <t>https://cdn.awsli.com.br/948/948321/produto/111260503/e66620a4b8.jpg</t>
  </si>
  <si>
    <t>https://cdn.awsli.com.br/948/948321/produto/111260503/a938abf5e5.jpg</t>
  </si>
  <si>
    <t>https://cdn.awsli.com.br/948/948321/produto/111260503/2bdc9817bf.jpg</t>
  </si>
  <si>
    <t>Par de caixas sobrepor EPIC E150 OLD Internas/Externas</t>
  </si>
  <si>
    <t>5J9G84LRC</t>
  </si>
  <si>
    <t xml:space="preserve">&lt;p&gt;&lt;span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none;"&gt;Não fique restrito a sua sala de estar ou escritório para premiar experiências de alta fidelidade. Aproveite o desempenho acústico encontrado nos alto-falantes compactos EPIC E150 OD.&lt;/span&gt;&lt;br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none;"&gt;Com design totalmente selado, as grades de alumínio permitem que ele seja totalmente exposto ao ar livre em todas as condições climáticas e ainda oferece de maneira confiável a qualidade do som do alto-falante interno por anos de diversão ao ar livre.&lt;/span&gt;&lt;br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none;"&gt;ESPECIFICAÇÕES:&lt;/span&gt;&lt;br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Woofer: 6,5" Cone de PP&lt;/span&gt;&lt;br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Tweeter: 1" Domo de Titânio&lt;/span&gt;&lt;br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Potência de Saída: 150w&lt;/span&gt;&lt;br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Frequência: 65Hz-20kHz&lt;/span&gt;&lt;br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Impedância: 8 ohms&lt;/span&gt;&lt;br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Sensibilidade: 89dB&lt;/span&gt;&lt;br style="box-sizing: border-box;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Dimensões: 31,5 x 22,2 x 23,5cm&lt;/span&gt;&lt;/p&gt;
</t>
  </si>
  <si>
    <t>Kit Mangueira On-off  Botão+acessórios - Aspiração Central</t>
  </si>
  <si>
    <t>W5TNE23YT</t>
  </si>
  <si>
    <t xml:space="preserve">&lt;p&gt;&lt;span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none;"&gt;O Kit de mangueira é universal, podendo ser utilizados nas principais marcas de aspiração central disponivel no mercado.&lt;/span&gt;&lt;br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&lt;/p&gt;
&lt;p&gt;&lt;span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Mangueira ON OFF com punho Botão e terminal rotativo&lt;/span&gt;&lt;br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Escova móvel&lt;/span&gt;&lt;br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Escova sofá&lt;/span&gt;&lt;br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Bico de cantos&lt;/span&gt;&lt;br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Suporte para escovas&lt;/span&gt;&lt;br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Escova dupla função&lt;/span&gt;&lt;br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Escova crina com rodas&lt;/span&gt;&lt;br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Tudo telescópico Cromado&lt;/span&gt;&lt;br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Suporte para mangueira&lt;/span&gt;&lt;/p&gt;
</t>
  </si>
  <si>
    <t>CABO RCA AR 2 NOISEFREE</t>
  </si>
  <si>
    <t>8518.90.90</t>
  </si>
  <si>
    <t>CABO RCA AAT - PARA SUBWOOFER</t>
  </si>
  <si>
    <t xml:space="preserve">&lt;p&gt;&lt;strong&gt;DESCRIÇÃO&lt;/strong&gt;&lt;br /&gt;
&lt;br /&gt;
&lt;span style="color: rgb(107, 107, 107); font-family: Montserrat, sans-serif; font-size: 14px; font-style: normal; font-variant-ligatures: normal; font-variant-caps: normal; font-weight: 400; letter-spacing: normal; orphans: 2; text-align: justify; text-indent: 0px; text-transform: none; widows: 2; word-spacing: 0px; -webkit-text-stroke-width: 0px; white-space: normal; background-color: rgb(255, 255, 255); text-decoration-thickness: initial; text-decoration-style: initial; text-decoration-color: initial; display: inline !important; float: none;"&gt;Com alta qualidade na conexão aliada a baixo custo unitário. Para uso onde a integridade de sinal nas conexões RCA é fundamental. Condutor em cobre OFHC e dupla blindagem, com alma double twisted pair e utilizando conectores metálicos maciços. O AR-2 é imune a interferências e campos eletromagnéticos externos.&lt;/span&gt;&lt;br /&gt;
&lt;br /&gt;
&lt;strong&gt;CARACTERISTICAS&lt;/strong&gt;&lt;br /&gt;
&lt;br /&gt;
Condutor Central: Double twisted pair oxygen-free copper - OFHC;&lt;br /&gt;
Isolação: Composta por dois metariais, PET e PVC;&lt;br /&gt;
Blindagem: Dupla, com trança de cobre, e película semi-condutiva&lt;br /&gt;
Capa Externa: Em PVC recoberto em Rayon;&lt;br /&gt;
Conectores RCA: Metálicos, blindados, em alta condutividade com contatos banhados em ouro;&lt;br /&gt;
Comprimento: 1, 2, 3, 5 e 10 metros.&lt;/p&gt;
</t>
  </si>
  <si>
    <t>https://cdn.awsli.com.br/948/948321/produto/265737201/banner-zoom-ar2_rca-mb23lt1e2q.PNG</t>
  </si>
  <si>
    <t>CABO RCA AR 1 NOISEFREE</t>
  </si>
  <si>
    <t>CABO RCA AAT AR1</t>
  </si>
  <si>
    <t xml:space="preserve">&lt;p&gt;&lt;strong&gt;DESCRIÇÃO&lt;/strong&gt;&lt;br /&gt;
&lt;br /&gt;
&lt;span style="color: rgb(107, 107, 107); font-family: Montserrat, sans-serif; font-size: 14px; font-style: normal; font-variant-ligatures: normal; font-variant-caps: normal; font-weight: 400; letter-spacing: normal; orphans: 2; text-align: justify; text-indent: 0px; text-transform: none; widows: 2; word-spacing: 0px; -webkit-text-stroke-width: 0px; white-space: normal; background-color: rgb(255, 255, 255); text-decoration-thickness: initial; text-decoration-style: initial; text-decoration-color: initial; display: inline !important; float: none;"&gt;Com alta qualidade na conexão aliada a baixo custo unitário. Para uso onde a integridade de sinal nas conexões RCA é fundamental. Condutor em cobre OFHC e dupla blindagem, com alma double twisted pair e utilizando conectores metálicos maciços. O AR-1 é imune a interferências e campos eletromagnéticos externos.&lt;/span&gt;&lt;br /&gt;
&lt;br /&gt;
&lt;strong&gt;CARACTERISTICAS&lt;/strong&gt;&lt;br /&gt;
&lt;br /&gt;
Condutor Central: oxygen-free copper - OFHC;&lt;br /&gt;
Isolação: Composta por dois metariais, PET e PVC;&lt;br /&gt;
Blindagem: Dupla, com trança de cobre, e película semi-condutiva&lt;br /&gt;
Capa Externa: Em PVC recoberto em Rayon;&lt;br /&gt;
Conectores RCA: Metálicos, blindados, em alta condutividade com contatos banhados em ouro;&lt;br /&gt;
Comprimento: 1, 2, 3, 5 e 10 metros.&lt;/p&gt;
</t>
  </si>
  <si>
    <t>https://cdn.awsli.com.br/948/948321/produto/265741679/banner-zoom-ar1_rca-hx51st8fnh.png</t>
  </si>
  <si>
    <t>MONITOR DE ÁUDIO MR4 EDIFIER 42W RMS - PRETO</t>
  </si>
  <si>
    <t xml:space="preserve">&lt;p&gt;&lt;span style="color:#000000;"&gt;&lt;span style="font-size:14px;"&gt;&lt;span style="font-family: Lato, Rajdhani, &amp;quot;Helvetica Neue&amp;quot;, Verdana, Arial, sans-serif;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!important;"&gt;O monitor de audio para estudio MR4 da EDIFIER foi feito para uso profissional, focado na fidelidade sonora foi calibrado pelo Edifier Acoustic Lab e analisado pelo sistema alemão Klippel GmbH, irá agradar os usuários mais exigentes com seu alcançe de baixas frequências de até 60 Hz.&lt;/span&gt;&lt;/span&gt;&lt;/span&gt;&lt;br /&gt;
 &lt;/p&gt;
&lt;table class="data table additional-attributes" id="product-attribute-specs-table" style="box-sizing: border-box; width: 1320px; border-collapse: collapse; border-spacing: 0px; max-width: 100%; border: none; color: rgb(40, 48, 51); font-family: Lato, Rajdhani, &amp;quot;Helvetica Neue&amp;quot;, Verdana, Arial, sans-serif; font-size: 14px; font-style: normal; font-variant-ligatures: normal; font-variant-caps: normal; font-weight: 400; letter-spacing: normal; orphans: 2; text-align: start; text-transform: none; widows: 2; word-spacing: 0px; -webkit-text-stroke-width: 0px; white-space: normal; background-color: rgb(255, 255, 255); text-decoration-thickness: initial; text-decoration-style: initial; text-decoration-color: initial;"&gt;
	&lt;tbody style="box-sizing: border-box;"&gt;
		&lt;tr style="box-sizing: border-box; margin-bottom: 5px;"&gt;
			&lt;th class="col label" scope="row" style="box-sizing: border-box; text-align: left; vertical-align: top; padding: 10px; border: none; font-size: 16px;"&gt; &lt;/th&gt;
			&lt;td class="col data" data-th="Dados Técnicos" style="box-sizing: border-box; vertical-align: top; padding: 10px 10px 5px; border: none; line-height: 1;"&gt;
			&lt;p style="box-sizing: border-box; margin-top: 0rem; margin-bottom: 1rem; font-style: normal; font-variant: normal; font-kerning: auto; font-optical-sizing: auto; font-feature-settings: normal; font-variation-settings: normal; font-weight: 400; font-stretch: normal; font-size: 14px; line-height: inherit; font-family: Lato, Rajdhani, &amp;quot;Helvetica Neue&amp;quot;, Verdana, Arial, sans-serif; color: rgb(33, 37, 41);"&gt;&lt;span style="color:#000000;"&gt;&lt;span style="font-size:14px;"&gt;&lt;strong style="box-sizing: border-box; font-weight: 700;"&gt;Sensibilidade de entrada:&lt;/strong&gt; Entrada TRS balanceada: +4dBu&lt;br style="box-sizing: border-box;" /&gt;
			Entrada AUX/RCA não balanceada: -10dBV&lt;br style="box-sizing: border-box;" /&gt;
			&lt;strong style="box-sizing: border-box; font-weight: 700;"&gt;Saída de potência:&lt;/strong&gt; 21W+21W&lt;br style="box-sizing: border-box;" /&gt;
			&lt;strong style="box-sizing: border-box; font-weight: 700;"&gt;Resposta de frequência:&lt;/strong&gt; 60Hz-20KHz&lt;br style="box-sizing: border-box;" /&gt;
			Relação sinal/ruído ≥85dBA&lt;br style="box-sizing: border-box;" /&gt;
			Distorção ≤0,2%&lt;br style="box-sizing: border-box;" /&gt;
			&lt;strong style="box-sizing: border-box; font-weight: 700;"&gt;Unidade Tweeter:&lt;/strong&gt; 1 polegada&lt;br style="box-sizing: border-box;" /&gt;
			&lt;strong style="box-sizing: border-box; font-weight: 700;"&gt;Unidade woofer:&lt;/strong&gt; 4 polegadas&lt;br style="box-sizing: border-box;" /&gt;
			&lt;strong style="box-sizing: border-box; font-weight: 700;"&gt;Entradas de áudio:&lt;/strong&gt; Entrada TRS balanceada, Entrada RCA não balanceada,&lt;br style="box-sizing: border-box;" /&gt;
			Entrada AUX não balanceada&lt;br style="box-sizing: border-box;" /&gt;
			&lt;strong style="box-sizing: border-box; font-weight: 700;"&gt;Voltagem Bivolt&lt;/strong&gt;: 100-240 V AC/50-60 Hz&lt;/span&gt;&lt;/span&gt;&lt;/p&gt;
			&lt;/td&gt;
		&lt;/tr&gt;
		&lt;tr style="box-sizing: border-box; margin-bottom: 5px;"&gt;
			&lt;th class="col label" scope="row" style="box-sizing: border-box; text-align: left; vertical-align: top; padding: 10px; border: none; font-size: 16px;"&gt; &lt;/th&gt;
			&lt;td class="col data" data-th="Dimensões" style="box-sizing: border-box; vertical-align: top; padding: 10px 10px 5px; border: none; line-height: 1;"&gt;
			&lt;p style="box-sizing: border-box; margin-top: 0rem; margin-bottom: 1rem; font-style: normal; font-variant: normal; font-kerning: auto; font-optical-sizing: auto; font-feature-settings: normal; font-variation-settings: normal; font-weight: 400; font-stretch: normal; font-size: 14px; line-height: inherit; font-family: Lato, Rajdhani, &amp;quot;Helvetica Neue&amp;quot;, Verdana, Arial, sans-serif; color: rgb(33, 37, 41);"&gt;&lt;span style="color:#000000;"&gt;&lt;span style="font-size:14px;"&gt;&lt;strong style="box-sizing: border-box; font-weight: 700;"&gt;Medidas da caixa(Unid):&lt;/strong&gt; 150(L) x 230(A) x 200(P) mm&lt;br style="box-sizing: border-box;" /&gt;
			&lt;strong style="box-sizing: border-box; font-weight: 700;"&gt;Medidas da Embalagem:&lt;/strong&gt;430(L) x 190(A) x 320(P) mm&lt;br style="box-sizing: border-box;" /&gt;
			&lt;strong style="box-sizing: border-box; font-weight: 700;"&gt;Peso do produto (líquido):&lt;/strong&gt; 5.100 Kg&lt;br style="box-sizing: border-box;" /&gt;
			&lt;br style="box-sizing: border-box;" /&gt;
			&lt;strong style="box-sizing: border-box; font-weight: 700;"&gt;Conteúdo:&lt;br /&gt;
			1 x Alto-falante passivo (esquerdo)&lt;br /&gt;
			1 x Alto-falante ativo (direito)&lt;/strong&gt;&lt;br style="box-sizing: border-box;" /&gt;
			&lt;strong style="box-sizing: border-box; font-weight: 700;"&gt;1 x Cabo de energia:&lt;/strong&gt; 170 Cm&lt;br style="box-sizing: border-box;" /&gt;
			&lt;strong style="box-sizing: border-box; font-weight: 700;"&gt;1 x Cabo RCA-P2:&lt;/strong&gt; 170 Cm&lt;br style="box-sizing: border-box;" /&gt;
			&lt;strong style="box-sizing: border-box; font-weight: 700;"&gt;1 x Cabo P2-P2:&lt;/strong&gt; 170 Cm&lt;br style="box-sizing: border-box;" /&gt;
			&lt;strong style="box-sizing: border-box; font-weight: 700;"&gt;1 x Cabo Link (Ligação entre caixa passiva e ativa):&lt;/strong&gt; 250 Cm&lt;/span&gt;&lt;/span&gt;&lt;/p&gt;
			&lt;/td&gt;
		&lt;/tr&gt;
	&lt;/tbody&gt;
&lt;/table&gt;
</t>
  </si>
  <si>
    <t>EDIFIER</t>
  </si>
  <si>
    <t>https://cdn.awsli.com.br/948/948321/produto/270964941/mr4-caiep95snm.jpg</t>
  </si>
  <si>
    <t>https://cdn.awsli.com.br/948/948321/produto/270964941/mr4-2-heafq0a36r.jpg</t>
  </si>
  <si>
    <t>https://cdn.awsli.com.br/948/948321/produto/270964941/mr4-3-4lpffgln50.jpg</t>
  </si>
  <si>
    <t>https://cdn.awsli.com.br/948/948321/produto/270964941/mr4-5-w678o93b48.jpg</t>
  </si>
  <si>
    <t>MONITOR DE ÁUDIO 2.0 R1700BT BLUETOOTH 66W RMS EDIFIER</t>
  </si>
  <si>
    <t xml:space="preserve">&lt;p&gt;&lt;span style="font-size:14px;"&gt;&lt;span style="color: rgb(33, 37, 41); font-family: Lato, Rajdhani, &amp;quot;Helvetica Neue&amp;quot;, Verdana, Arial,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!important;"&gt;O&lt;/span&gt;&lt;strong style="box-sizing: border-box; font-weight: 700; color: rgb(33, 37, 41); font-family: Lato, Rajdhani, &amp;quot;Helvetica Neue&amp;quot;, Verdana, Arial, sans-serif; font-size: 14px; font-style: normal; font-variant-ligatures: normal; font-variant-caps: normal; letter-spacing: normal; orphans: 2; text-align: left; text-indent: 0px; text-transform: none; widows: 2; word-spacing: 0px; -webkit-text-stroke-width: 0px; white-space: normal; background-color: rgb(255, 255, 255); text-decoration-thickness: initial; text-decoration-style: initial; text-decoration-color: initial;"&gt; Monitor de Áudio 2.0&lt;/strong&gt;&lt;span style="color: rgb(33, 37, 41); font-family: Lato, Rajdhani, &amp;quot;Helvetica Neue&amp;quot;, Verdana, Arial,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 &lt;/span&gt;&lt;strong style="box-sizing: border-box; font-weight: 700; color: rgb(33, 37, 41); font-family: Lato, Rajdhani, &amp;quot;Helvetica Neue&amp;quot;, Verdana, Arial, sans-serif; font-size: 14px; font-style: normal; font-variant-ligatures: normal; font-variant-caps: normal; letter-spacing: normal; orphans: 2; text-align: left; text-indent: 0px; text-transform: none; widows: 2; word-spacing: 0px; -webkit-text-stroke-width: 0px; white-space: normal; background-color: rgb(255, 255, 255); text-decoration-thickness: initial; text-decoration-style: initial; text-decoration-color: initial;"&gt;EDIFIER R1700BT&lt;/strong&gt;&lt;span style="color: rgb(33, 37, 41); font-family: Lato, Rajdhani, &amp;quot;Helvetica Neue&amp;quot;, Verdana, Arial,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 Bluetooth é um poderoso equipamento para usuários exigentes e amantes de fidelidade sonora, com excelente design. O equipamento reproduz 66W RMS com alta definição através dos alto-falantes de 4 polegadas e tweeter´s de 19mm. O duto frontal para saída de ar permite melhor performance na reprodução de graves e facilidade no posicionamento das caixas.&lt;/span&gt;&lt;br style="box-sizing: border-box; color: rgb(33, 37, 41); font-family: Lato, Rajdhani, &amp;quot;Helvetica Neue&amp;quot;, Verdana, Arial, sans-serif; font-size: 14px;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/&gt;
&lt;span style="color: rgb(33, 37, 41); font-family: Lato, Rajdhani, &amp;quot;Helvetica Neue&amp;quot;, Verdana, Arial,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!important;"&gt;A R1700BT possui &lt;/span&gt;&lt;strong style="box-sizing: border-box; font-weight: 700; color: rgb(33, 37, 41); font-family: Lato, Rajdhani, &amp;quot;Helvetica Neue&amp;quot;, Verdana, Arial, sans-serif; font-size: 14px; font-style: normal; font-variant-ligatures: normal; font-variant-caps: normal; letter-spacing: normal; orphans: 2; text-align: left; text-indent: 0px; text-transform: none; widows: 2; word-spacing: 0px; -webkit-text-stroke-width: 0px; white-space: normal; background-color: rgb(255, 255, 255); text-decoration-thickness: initial; text-decoration-style: initial; text-decoration-color: initial;"&gt;DSP&lt;/strong&gt;&lt;span style="color: rgb(33, 37, 41); font-family: Lato, Rajdhani, &amp;quot;Helvetica Neue&amp;quot;, Verdana, Arial,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 (Digital Signal Processing) e &lt;/span&gt;&lt;strong style="box-sizing: border-box; font-weight: 700; color: rgb(33, 37, 41); font-family: Lato, Rajdhani, &amp;quot;Helvetica Neue&amp;quot;, Verdana, Arial, sans-serif; font-size: 14px; font-style: normal; font-variant-ligatures: normal; font-variant-caps: normal; letter-spacing: normal; orphans: 2; text-align: left; text-indent: 0px; text-transform: none; widows: 2; word-spacing: 0px; -webkit-text-stroke-width: 0px; white-space: normal; background-color: rgb(255, 255, 255); text-decoration-thickness: initial; text-decoration-style: initial; text-decoration-color: initial;"&gt;DRC&lt;/strong&gt;&lt;span style="color: rgb(33, 37, 41); font-family: Lato, Rajdhani, &amp;quot;Helvetica Neue&amp;quot;, Verdana, Arial,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 (Dynamic Range Compensation) integrados, melhor performance e menor distorção mesmo em volumes elevados. Os dispositivos de áudio podem ser conectados via Bluetooth ou através das duas entradas RCA,  os botões de ajuste de volume, graves e agudos estão localizados na lateral da caixa de som. Possui controle remoto sem fio para ajuste práticos de Volume, Mute e seleção de entrada.&lt;/span&gt;&lt;/span&gt;&lt;br /&gt;
 &lt;/p&gt;
&lt;table class="data table additional-attributes" style="box-sizing: border-box; width: 1320px; border-collapse: collapse; border-spacing: 0px; max-width: 100%; border: none; color: rgb(40, 48, 51); font-family: Lato, Rajdhani, &amp;quot;Helvetica Neue&amp;quot;, Verdana, Arial, sans-serif; font-size: 14px; font-style: normal; font-variant-ligatures: normal; font-variant-caps: normal; font-weight: 400; letter-spacing: normal; orphans: 2; text-align: start; text-transform: none; widows: 2; word-spacing: 0px; -webkit-text-stroke-width: 0px; white-space: normal; background-color: rgb(255, 255, 255); text-decoration-thickness: initial; text-decoration-style: initial; text-decoration-color: initial;"&gt;
	&lt;tbody style="box-sizing: border-box;"&gt;
		&lt;tr style="box-sizing: border-box; margin-bottom: 5px;"&gt;
			&lt;td class="col data" data-th="Especificações" style="box-sizing: border-box; vertical-align: top; padding: 10px 10px 5px; border: none; line-height: 1;"&gt;
			&lt;p style="box-sizing: border-box; margin: 0px; font-style: normal; font-variant: normal; font-kerning: auto; font-optical-sizing: auto; font-feature-settings: normal; font-variation-settings: normal; font-weight: 400; font-stretch: normal; font-size: 14px; line-height: inherit; font-family: Lato, Rajdhani, &amp;quot;Helvetica Neue&amp;quot;, Verdana, Arial, sans-serif; color: rgb(33, 37, 41);"&gt;&lt;span style="font-size:14px;"&gt;Sistema de alto-falante estante Ativo&lt;br style="box-sizing: border-box;" /&gt;
			Capacidade de emparelhamento Bluetooth para reprodução de música&lt;br style="box-sizing: border-box;" /&gt;
			Duas entradas RCA para conectividade com múltiplas fontes de áudio&lt;br style="box-sizing: border-box;" /&gt;
			Sistema de classe D amplificada com Digital Signal Processing (DSP) e Dynamic Range Control (DRC)&lt;br style="box-sizing: border-box;" /&gt;
			Painel lateral Handy controla Bass, treble volume e mestre&lt;br style="box-sizing: border-box;" /&gt;
			Controle remoto sem fio com a seleção de fonte de áudio, ajuste, mute e volume&lt;br style="box-sizing: border-box;" /&gt;
			Madeira 100% em MDF invólucro para minimizar ressonância acústica&lt;/span&gt;&lt;br style="box-sizing: border-box;" /&gt;
			 &lt;/p&gt;
			&lt;/td&gt;
		&lt;/tr&gt;
		&lt;tr&gt;
			&lt;td class="col data" data-th="Dados Técnicos" style="box-sizing: border-box; vertical-align: top; padding: 10px 10px 5px; border: none; line-height: 1;"&gt;
			&lt;p style="box-sizing: border-box; margin: 0px; font-style: normal; font-variant: normal; font-kerning: auto; font-optical-sizing: auto; font-feature-settings: normal; font-variation-settings: normal; font-weight: 400; font-stretch: normal; font-size: 14px; line-height: inherit; font-family: Lato, Rajdhani, &amp;quot;Helvetica Neue&amp;quot;, Verdana, Arial, sans-serif; color: rgb(33, 37, 41);"&gt;&lt;span style="font-size:14px;"&gt;Produção total de energia: 15W RMS x2 (treble) + 18W x2 (baixo) (DRC ON)&lt;br style="box-sizing: border-box;" /&gt;
			Relação sinal-ruído: ≥ 85dBA&lt;br style="box-sizing: border-box;" /&gt;
			Frequência de resposta: 30Hz-20KHz&lt;br style="box-sizing: border-box;" /&gt;
			Distorção: ≤0.5%&lt;br style="box-sizing: border-box;" /&gt;
			Entradas: PC: 700mV±50mV | Aux: 550mV±50mV&lt;br style="box-sizing: border-box;" /&gt;
			Entradas de Áudio: PC, AUX, Bluetooth&lt;br style="box-sizing: border-box;" /&gt;
			Controle remoto: Controle remoto sem fio para a seleção fonte de áudio, mute e ajuste de volume.&lt;br style="box-sizing: border-box;" /&gt;
			Ajustes de áudio: Volume, Graves e Agudos.&lt;br style="box-sizing: border-box;" /&gt;
			Unidade de agudos: Tweeter 19mm / Cápsula de Seda.&lt;br style="box-sizing: border-box;" /&gt;
			Unidade Bass: 4 polegadas (116 milímetros)&lt;br style="box-sizing: border-box;" /&gt;
			Bivolt&lt;/span&gt;&lt;/p&gt;
			&lt;/td&gt;
		&lt;/tr&gt;
	&lt;/tbody&gt;
&lt;/table&gt;
&lt;table class="data table additional-attributes" id="product-attribute-specs-table" style="box-sizing: border-box; width: 1320px; border-collapse: collapse; border-spacing: 0px; max-width: 100%; border: none; color: rgb(40, 48, 51); font-family: Lato, Rajdhani, &amp;quot;Helvetica Neue&amp;quot;, Verdana, Arial, sans-serif; font-size: 14px; font-style: normal; font-variant-ligatures: normal; font-variant-caps: normal; font-weight: 400; letter-spacing: normal; orphans: 2; text-align: start; text-transform: none; widows: 2; word-spacing: 0px; -webkit-text-stroke-width: 0px; white-space: normal; background-color: rgb(255, 255, 255); text-decoration-thickness: initial; text-decoration-style: initial; text-decoration-color: initial;"&gt;
	&lt;tbody style="box-sizing: border-box;"&gt;
		&lt;tr style="box-sizing: border-box; margin-bottom: 5px;"&gt;
			&lt;th class="col label" scope="row" style="box-sizing: border-box; text-align: left; vertical-align: top; padding: 10px; border: none; font-size: 16px;"&gt;&lt;span style="font-size:14px;"&gt;&lt;span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initial;"&gt;Medidas do produto unitario: C 15.4 x P 21.4 x A 25.4 cm&lt;/span&gt;&lt;br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initial;"&gt;Medidas da embalagem: C 39 x L 29 x A 31 cm&lt;/span&gt;&lt;br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initial;"&gt;Peso aproximado da embalagem com o produto: 8Kg&lt;/span&gt;&lt;br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initial;"&gt;Peso aproximado do produto sem embalagem (par): 6.6Kg&lt;/span&gt;&lt;br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initial;"&gt;Peso aproximado do produto unitario: 3.3Kg&lt;/span&gt;&lt;/span&gt;&lt;/th&gt;
			&lt;td class="col data" data-th="Dimensões" style="box-sizing: border-box; vertical-align: top; padding: 10px 10px 5px; border: none; line-height: 1;"&gt; &lt;/td&gt;
			&lt;td class="col data" data-th="Dimensões" style="box-sizing: border-box; vertical-align: top; padding: 10px 10px 5px; border: none; line-height: 1;"&gt; &lt;/td&gt;
		&lt;/tr&gt;
	&lt;/tbody&gt;
&lt;/table&gt;
&lt;p&gt;&lt;span style="font-size:14px;"&gt;&lt;span style="color: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!important;"&gt;1-Coluna Ativa&lt;/span&gt;&lt;br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!important;"&gt;1-Coluna Passiva&lt;/span&gt;&lt;br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!important;"&gt;1-Controle Remoto&lt;/span&gt;&lt;br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!important;"&gt;1-Cabo de ligação das colunas&lt;/span&gt;&lt;br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!important;"&gt;1-Cabo de ligação de áudio de 3.5mm (p2) para RCA duplo&lt;/span&gt;&lt;br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!important;"&gt;1-Cabo de áudio (RCA – RCA estéreo)&lt;/span&gt;&lt;br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!important;"&gt;1-Manual&lt;/span&gt;&lt;/span&gt;&lt;/p&gt;
&lt;p&gt; &lt;/p&gt;
</t>
  </si>
  <si>
    <t>https://cdn.awsli.com.br/948/948321/produto/270970923/r1700bt_2-f8t57hnwm7.jpg</t>
  </si>
  <si>
    <t>https://cdn.awsli.com.br/948/948321/produto/270970923/r1700bt_3-hysuivsd4l.jpg</t>
  </si>
  <si>
    <t>https://cdn.awsli.com.br/948/948321/produto/270970923/r1700bt--1-ccm7jm45n9.jpg</t>
  </si>
  <si>
    <t>https://cdn.awsli.com.br/948/948321/produto/270970923/r1700bt_6-b380p04lzx.jpg</t>
  </si>
  <si>
    <t>https://cdn.awsli.com.br/948/948321/produto/270970923/r1700bt_5-ak19wcby9s.jpg</t>
  </si>
  <si>
    <t>MONITOR DE ÁUDIO R1280DB BLUETOOTH BIVOLT 42W RMS EDIFIER</t>
  </si>
  <si>
    <t xml:space="preserve">&lt;p&gt;&lt;span style="font-size:14px;"&gt;&lt;span style="color: rgb(33, 37, 41); font-family: Lato, Rajdhani, &amp;quot;Helvetica Neue&amp;quot;, Verdana, Arial,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!important;"&gt;O Monitor de áudio R1280DB possui entradas &lt;/span&gt;&lt;strong style="box-sizing: border-box; font-weight: 700; color: rgb(33, 37, 41); font-family: Lato, Rajdhani, &amp;quot;Helvetica Neue&amp;quot;, Verdana, Arial, sans-serif; font-size: 14px; font-style: normal; font-variant-ligatures: normal; font-variant-caps: normal; letter-spacing: normal; orphans: 2; text-align: left; text-indent: 0px; text-transform: none; widows: 2; word-spacing: 0px; -webkit-text-stroke-width: 0px; white-space: normal; background-color: rgb(255, 255, 255); text-decoration-thickness: initial; text-decoration-style: initial; text-decoration-color: initial;"&gt;óptica digital, coaxial, Dual RCA&lt;/strong&gt;&lt;span style="color: rgb(33, 37, 41); font-family: Lato, Rajdhani, &amp;quot;Helvetica Neue&amp;quot;, Verdana, Arial,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 e também &lt;/span&gt;&lt;strong style="box-sizing: border-box; font-weight: 700; color: rgb(33, 37, 41); font-family: Lato, Rajdhani, &amp;quot;Helvetica Neue&amp;quot;, Verdana, Arial, sans-serif; font-size: 14px; font-style: normal; font-variant-ligatures: normal; font-variant-caps: normal; letter-spacing: normal; orphans: 2; text-align: left; text-indent: 0px; text-transform: none; widows: 2; word-spacing: 0px; -webkit-text-stroke-width: 0px; white-space: normal; background-color: rgb(255, 255, 255); text-decoration-thickness: initial; text-decoration-style: initial; text-decoration-color: initial;"&gt;Bluetooth&lt;/strong&gt;&lt;span style="color: rgb(33, 37, 41); font-family: Lato, Rajdhani, &amp;quot;Helvetica Neue&amp;quot;, Verdana, Arial,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 Potência de &lt;/span&gt;&lt;strong style="box-sizing: border-box; font-weight: 700; color: rgb(33, 37, 41); font-family: Lato, Rajdhani, &amp;quot;Helvetica Neue&amp;quot;, Verdana, Arial, sans-serif; font-size: 14px; font-style: normal; font-variant-ligatures: normal; font-variant-caps: normal; letter-spacing: normal; orphans: 2; text-align: left; text-indent: 0px; text-transform: none; widows: 2; word-spacing: 0px; -webkit-text-stroke-width: 0px; white-space: normal; background-color: rgb(255, 255, 255); text-decoration-thickness: initial; text-decoration-style: initial; text-decoration-color: initial;"&gt;42W RMS&lt;/strong&gt;&lt;span style="color: rgb(33, 37, 41); font-family: Lato, Rajdhani, &amp;quot;Helvetica Neue&amp;quot;, Verdana, Arial,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 com painel lateral para &lt;/span&gt;&lt;strong style="box-sizing: border-box; font-weight: 700; color: rgb(33, 37, 41); font-family: Lato, Rajdhani, &amp;quot;Helvetica Neue&amp;quot;, Verdana, Arial, sans-serif; font-size: 14px; font-style: normal; font-variant-ligatures: normal; font-variant-caps: normal; letter-spacing: normal; orphans: 2; text-align: left; text-indent: 0px; text-transform: none; widows: 2; word-spacing: 0px; -webkit-text-stroke-width: 0px; white-space: normal; background-color: rgb(255, 255, 255); text-decoration-thickness: initial; text-decoration-style: initial; text-decoration-color: initial;"&gt;controles de graves, agudos e volume&lt;/strong&gt;&lt;span style="color: rgb(33, 37, 41); font-family: Lato, Rajdhani, &amp;quot;Helvetica Neue&amp;quot;, Verdana, Arial,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 Acústica em madeira &lt;/span&gt;&lt;strong style="box-sizing: border-box; font-weight: 700; color: rgb(33, 37, 41); font-family: Lato, Rajdhani, &amp;quot;Helvetica Neue&amp;quot;, Verdana, Arial, sans-serif; font-size: 14px; font-style: normal; font-variant-ligatures: normal; font-variant-caps: normal; letter-spacing: normal; orphans: 2; text-align: left; text-indent: 0px; text-transform: none; widows: 2; word-spacing: 0px; -webkit-text-stroke-width: 0px; white-space: normal; background-color: rgb(255, 255, 255); text-decoration-thickness: initial; text-decoration-style: initial; text-decoration-color: initial;"&gt;100% MDF&lt;/strong&gt;&lt;span style="color: rgb(33, 37, 41); font-family: Lato, Rajdhani, &amp;quot;Helvetica Neue&amp;quot;, Verdana, Arial, sans-serif;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float: none; display: inline !important;"&gt; que minimiza a ressonância magnética.&lt;/span&gt;&lt;/span&gt;&lt;/p&gt;
&lt;p&gt; &lt;/p&gt;
&lt;p&gt;&lt;span style="font-size:14px;"&gt;&lt;span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initial;"&gt;Potência de saída: L / R: 21W + 21W RMS&lt;/span&gt;&lt;br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initial;"&gt;Relação sinal / ruído: 85dBA (A)&lt;/span&gt;&lt;br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initial;"&gt;Nível de ruído:&lt; 25dB (A)&lt;/span&gt;&lt;br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initial;"&gt;Sensibilidade de entrada: &lt;/span&gt;&lt;/span&gt;&lt;/p&gt;
&lt;p&gt;&lt;span style="font-size:14px;"&gt;&lt;span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initial;"&gt;LINE IN1: R / L: 450 ± 50mV&lt;/span&gt;&lt;br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initial;"&gt;LINE IN2: R / L: 550 ± 50mV&lt;/span&gt;&lt;br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initial;"&gt;OPT / COA: R / L: 500 ± 50mFFS&lt;/span&gt;&lt;br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initial;"&gt;Bluetooth: R / L: 700 ± 50mFFS&lt;/span&gt;&lt;br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initial;"&gt;Resposta de frequência: 55Hz-20KHz&lt;/span&gt;&lt;br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initial;"&gt;Unidade de graves: 4" (116mm)&lt;/span&gt;&lt;br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initial;"&gt;Unidade de Tweeter: tweeter de cúpula de seda de 13mm&lt;/span&gt;&lt;br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initial;"&gt;Bivolt&lt;/span&gt;&lt;/span&gt;&lt;/p&gt;
&lt;p&gt;&lt;span style="font-size:14px;"&gt;&lt;span style="color: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!important;"&gt;Medidas do produto unitario: C14.6 x P 19.6 x A 23.4 cm&lt;/span&gt;&lt;br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!important;"&gt;Medidas da embalagem: C 35.7 x L 25.6 x A 28,1 cm&lt;/span&gt;&lt;br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!important;"&gt;Peso aproximado da embalagem com o produto: 5.65Kg&lt;/span&gt;&lt;br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!important;"&gt;Peso aproximado do produto sem embalagem (par): 4.92Kg&lt;/span&gt;&lt;br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!important;"&gt;Peso aproximado do produto unitario: 2.46Kg&lt;/span&gt;&lt;/span&gt;&lt;/p&gt;
&lt;p&gt;&lt;span style="font-size:14px;"&gt;&lt;font color="#212529" face="Lato, Rajdhani, Helvetica Neue, Verdana, Arial, sans-serif"&gt;&lt;strong&gt;Conteúdo&lt;/strong&gt;&lt;/font&gt;&lt;br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initial;"&gt;01-Coluna Passiva&lt;/span&gt;&lt;br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initial;"&gt;01-Coluna Ativa&lt;/span&gt;&lt;br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initial;"&gt;01-Controle Remoto&lt;/span&gt;&lt;br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initial;"&gt;01-Cabo p2(3.5mm)-RCA&lt;/span&gt;&lt;br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initial;"&gt;01-Cabo Dual RCA&lt;/span&gt;&lt;br style="box-sizing: border-box;" /&gt;
&lt;span style="color: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!important;"&gt;01-Cabo Optical&lt;/span&gt;&lt;br style="box-sizing: border-box; color: rgb(33, 37, 41); font-family: Lato, Rajdhani, &amp;quot;Helvetica Neue&amp;quot;, Verdana, Arial,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style="box-sizing: border-box; color: rgb(33, 37, 41); font-family: Lato, Rajdhani, &amp;quot;Helvetica Neue&amp;quot;, Verdana, Arial,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initial;"&gt;01-Manual de Instruções&lt;/span&gt;&lt;/span&gt;&lt;/p&gt;
</t>
  </si>
  <si>
    <t>https://cdn.awsli.com.br/948/948321/produto/270980494/r1280db-2-v0u7bcc7vg.jpg</t>
  </si>
  <si>
    <t>https://cdn.awsli.com.br/948/948321/produto/270980494/r1280db-4nh67xkzgs.jpg</t>
  </si>
  <si>
    <t>https://cdn.awsli.com.br/948/948321/produto/270980494/r1280db-4-c4ekjo0bvu.jpg</t>
  </si>
  <si>
    <t>https://cdn.awsli.com.br/948/948321/produto/270980494/r1280db-7-6dkz2o926b.jpg</t>
  </si>
  <si>
    <t>https://cdn.awsli.com.br/948/948321/produto/270980494/r1280db-6-wktwsl4sqd.jpg</t>
  </si>
  <si>
    <t>Kit Caixa de Som AAT BTS-1</t>
  </si>
  <si>
    <t xml:space="preserve">&lt;p style="box-sizing: border-box; margin: 0px 0px 10px; text-align: justify; color: rgb(107, 107, 107); font-family: Montserrat, sans-serif; font-size: 14px; font-style: normal; font-variant-ligatures: normal; font-variant-caps: normal; font-weight: 400; letter-spacing: normal; orphans: 2; text-indent: 0px; text-transform: none; widows: 2; word-spacing: 0px; -webkit-text-stroke-width: 0px; white-space: normal; background-color: rgb(255, 255, 255); text-decoration-thickness: initial; text-decoration-style: initial; text-decoration-color: initial;"&gt;&lt;strong&gt;Descrição&lt;/strong&gt;&lt;/p&gt;
&lt;p style="box-sizing: border-box; margin: 0px 0px 10px; text-align: justify; color: rgb(107, 107, 107); font-family: Montserrat, sans-serif; font-size: 14px; font-style: normal; font-variant-ligatures: normal; font-variant-caps: normal; font-weight: 400; letter-spacing: normal; orphans: 2; text-indent: 0px; text-transform: none; widows: 2; word-spacing: 0px; -webkit-text-stroke-width: 0px; white-space: normal; background-color: rgb(255, 255, 255); text-decoration-thickness: initial; text-decoration-style: initial; text-decoration-color: initial;"&gt;&lt;br /&gt;
&lt;span style="box-sizing: border-box; margin-bottom: 0px; font-weight: 400;"&gt;As caixas acústicas de embutir Bluetooth AAT BTS-1 são a solução prática e perfeita que faltava para projetos de som ambiente em pequenos espaços. Com design moderno e discreto, o kit de caixas de embutir em duas unidades – uma ativa e outra passiva – está disponível em tela quadrada ou redonda nas cores branco ou preto. Esse tipo de configuração utiliza menos cabos, simplificando a instalação.&lt;/span&gt;&lt;/p&gt;
&lt;p style="box-sizing: border-box; margin: 0px 0px 10px; text-align: justify; color: rgb(107, 107, 107); font-family: Montserrat, sans-serif; font-size: 14px; font-style: normal; font-variant-ligatures: normal; font-variant-caps: normal; font-weight: 400; letter-spacing: normal; orphans: 2; text-indent: 0px; text-transform: none; widows: 2; word-spacing: 0px; -webkit-text-stroke-width: 0px; white-space: normal; background-color: rgb(255, 255, 255); text-decoration-thickness: initial; text-decoration-style: initial; text-decoration-color: initial;"&gt;&lt;span style="box-sizing: border-box; margin-bottom: 0px; font-weight: 400;"&gt;Projetado especialmente para uso no teto de suítes, quartos, escritórios, salas de TV e outros ambientes compactos, o kit AAT BTS-1 já vem com amplificador embutido. Traz ainda tweeter pivotante (móvel) de domo de seda de 0,75 polegada, que permite um melhor direcionamento das altas frequências para o ouvinte.&lt;/span&gt;&lt;/p&gt;
&lt;p style="box-sizing: border-box; margin: 0px 0px 10px; text-align: justify; color: rgb(107, 107, 107); font-family: Montserrat, sans-serif; font-size: 14px; font-style: normal; font-variant-ligatures: normal; font-variant-caps: normal; font-weight: 400; letter-spacing: normal; orphans: 2; text-indent: 0px; text-transform: none; widows: 2; word-spacing: 0px; -webkit-text-stroke-width: 0px; white-space: normal; background-color: rgb(255, 255, 255); text-decoration-thickness: initial; text-decoration-style: initial; text-decoration-color: initial;"&gt;&lt;span style="box-sizing: border-box; margin-bottom: 0px; font-weight: 400;"&gt;Com a conexão Bluetooth 5.0 (alcance de até 10m), é possível parear o produto com celular, tablet e outros dispositivos para a reprodução de música sem fio. O kit AAT BTS-1 vem ainda com controle remoto e entrada auxiliar (RCA).&lt;/span&gt;&lt;/p&gt;
&lt;p style="box-sizing: border-box; margin: 0px; text-align: justify; color: rgb(107, 107, 107); font-family: Montserrat, sans-serif; font-size: 14px; font-style: normal; font-variant-ligatures: normal; font-variant-caps: normal; font-weight: 400; letter-spacing: normal; orphans: 2; text-indent: 0px; text-transform: none; widows: 2; word-spacing: 0px; -webkit-text-stroke-width: 0px; white-space: normal; background-color: rgb(255, 255, 255); text-decoration-thickness: initial; text-decoration-style: initial; text-decoration-color: initial;"&gt;&lt;span style="box-sizing: border-box; margin-bottom: 0px; font-weight: 400;"&gt;Para facilitar ainda mais a vida do usuário e habilitar o acesso à conexão, o produto pode ter a identificação Bluetooth e senha configurados pelo instalador por meio de um app no celular. Esse cuidado também garante que vários produtos com identificações diferentes possam ser instalados em locais próximos.&lt;/span&gt;&lt;/p&gt;
&lt;p style="box-sizing: border-box; margin: 0px 0px 10px; color: rgb(107, 107, 107);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style="box-sizing: border-box; margin-bottom: 0px; font-weight: 400;"&gt;As caixas acústicas de embutir do kit AAT BTS-1 apresentam woofer de 6 ½ polegadas, fabricado com cone de IMPP (Injection Molded Polypropylene) com carga de mica. Essa combinação deixa a estrutura mais rígida, proporcionando maior pureza e fidelidade sonora.&lt;/span&gt;&lt;/p&gt;
&lt;p style="box-sizing: border-box; margin: 0px 0px 10px; color: rgb(107, 107, 107);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style="box-sizing: border-box; margin-bottom: 0px; font-weight: 400;"&gt;Com potência de 60W RMS, o produto responde às frequências de 60Hz a 20KHz. Entre as especificações, estão ainda a sensibilidade de 87dB e a impedância de 8 ohms. O produto também é especialmente indicado para uso com a ampla linha de subwoofers ativos da AAT.&lt;/span&gt;&lt;/p&gt;
&lt;p style="box-sizing: border-box; margin: 0px; color: rgb(107, 107, 107);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style="box-sizing: border-box; margin-bottom: 0px; font-weight: 400;"&gt;O Bluetooth segue a versão 5.0. Para ligar uma TV à entrada RCA, o usuário pode utilizar uma Solution Box AAT (procure pelo item Audio &amp; Video Solutions). Já o controle remoto fornecido permite o comando completo das funções e, pelo app de celular, dá para configurar o Bluetooth com troca de senha e identificador.&lt;/span&gt;&lt;/p&gt;
&lt;p style="box-sizing: border-box; margin: 0px; color: rgb(107, 107, 107);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&lt;/p&gt;
&lt;p style="box-sizing: border-box; margin: 0px; color: rgb(107, 107, 107);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initial;"&gt;&lt;strong&gt;Caracrerísticas&lt;/strong&gt;&lt;/p&gt;
&lt;p style="box-sizing: border-box; margin: 0px; color: rgb(107, 107, 107);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&lt;/p&gt;
&lt;p style="box-sizing: border-box; margin: 0px; color: rgb(107, 107, 107);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initial;"&gt;&lt;strong&gt;Diâmetro de corte: 210mm &lt;/strong&gt;&lt;/p&gt;
&lt;p style="box-sizing: border-box; margin: 0px; color: rgb(107, 107, 107);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initial;"&gt;&lt;strong&gt;Potência do kit: 60w &lt;/strong&gt;&lt;/p&gt;
&lt;p style="box-sizing: border-box; margin: 0px; color: rgb(107, 107, 107);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initial;"&gt;&lt;strong&gt;Resposta de frequência: 60Hz-20kHz &lt;/strong&gt;&lt;/p&gt;
&lt;p style="box-sizing: border-box; margin: 0px; color: rgb(107, 107, 107);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initial;"&gt;&lt;strong&gt;Sensibilidade: 87dB &lt;/strong&gt;&lt;/p&gt;
&lt;p style="box-sizing: border-box; margin: 0px; color: rgb(107, 107, 107);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initial;"&gt;&lt;strong&gt;Impedância: 8 Ohms &lt;/strong&gt;&lt;/p&gt;
&lt;p style="box-sizing: border-box; margin: 0px; color: rgb(107, 107, 107);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initial;"&gt;&lt;strong&gt;Dimensões (Diâmetro e profundidade): 227x105mm &lt;/strong&gt;&lt;/p&gt;
&lt;p style="box-sizing: border-box; margin: 0px; color: rgb(107, 107, 107);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initial;"&gt;&lt;strong&gt;Peso: 3,5 Kg&lt;/strong&gt;&lt;/p&gt;
</t>
  </si>
  <si>
    <t>https://cdn.awsli.com.br/948/948321/produto/323109483/todos-w0n0xn3ciq.jpg</t>
  </si>
  <si>
    <t>https://cdn.awsli.com.br/948/948321/produto/323109483/redonda-sem-tela-2-4kptkzz5g4.jpg</t>
  </si>
  <si>
    <t>https://cdn.awsli.com.br/948/948321/produto/323109483/redonda-sem-tela-xa43pho59h.jpg</t>
  </si>
  <si>
    <t>https://cdn.awsli.com.br/948/948321/produto/323109483/banner-zoom-bts-1-3-6pnipg3ixk.jpg</t>
  </si>
  <si>
    <t>https://cdn.awsli.com.br/948/948321/produto/323109483/quadrada-branca-w-qafz19e173.jpg</t>
  </si>
  <si>
    <t>Caixa de som de embutir WIN120 6,5″ - 120w - Wave sound (Uni)</t>
  </si>
  <si>
    <t xml:space="preserve">&lt;h1 style="padding: 0px; margin: 0px; font-variant-numeric: normal; font-variant-east-asian: normal; font-stretch: normal; font-size: 48px; line-height: 54px; font-family: avenir-regular; clear: both; color: rgb(34, 34, 34); text-transform: uppercase;"&gt;&lt;strong&gt;&lt;span style="font-size:16px;"&gt;&lt;span style="font-family:verdana,geneva,sans-serif;"&gt;CAIXA DE SOM DE EMBUTIR 6,5″&lt;/span&gt;&lt;/span&gt;&lt;/strong&gt;&lt;/h1&gt;
&lt;p&gt;&lt;span style="font-size:16px;"&gt;&lt;span style="font-family:verdana,geneva,sans-serif;"&gt;A linha WIN foi pensada para oferecer a maior qualidade sonora possível como caixas frontais em um sistema de Home Theater de embutir. Ela é levemente inclinada e estrategicamente instalada para que ofereça maior precisão ao irradiar o som até quem estiver sentado no sofá.&lt;/span&gt;&lt;/span&gt;&lt;/p&gt;
&lt;p&gt;&lt;span style="font-size:16px;"&gt;&lt;span style="font-family:verdana,geneva,sans-serif;"&gt;A WIN120 tem woofer em polipropileno 6,5” e tweeter em mylar, materiais de altíssima qualidade que faz toda diferença para uma composição harmoniosa desse modelo.&lt;/span&gt;&lt;/span&gt;&lt;/p&gt;
&lt;p&gt;&lt;span style="font-size:16px;"&gt;&lt;span style="font-family:verdana,geneva,sans-serif;"&gt;Por ser embutida em teto de gesso, favorece um projeto arquitetônico &lt;em style="padding: 0px; margin: 0px; color: rgb(34, 34, 34); font-family: avenir-regular; font-size: 16px;"&gt;clean &lt;/em&gt;e moderno, onde os cabos são cuidadosamente instalados de modo que não fiquem visíveis no ambiente. A caixa tem tela em perfil &lt;em style="padding: 0px; margin: 0px; color: rgb(34, 34, 34); font-family: avenir-regular; font-size: 16px;"&gt;Slim&lt;/em&gt;, o que proporciona um acabamento elegante. &lt;/span&gt;&lt;/span&gt;&lt;/p&gt;
&lt;p&gt;&lt;span style="font-size:16px;"&gt;&lt;span style="font-family:verdana,geneva,sans-serif;"&gt;&lt;strong&gt;Resposta de Frequência:&lt;/strong&gt; 65 Hz-29 KHz&lt;/span&gt;&lt;/span&gt;&lt;/p&gt;
&lt;p&gt;&lt;span style="font-size:16px;"&gt;&lt;span style="font-family:verdana,geneva,sans-serif;"&gt;&lt;strong&gt;Potência (RMS):&lt;/strong&gt; 120 watts&lt;/span&gt;&lt;/span&gt;&lt;/p&gt;
&lt;p&gt;&lt;span style="font-size:16px;"&gt;&lt;span style="font-family:verdana,geneva,sans-serif;"&gt;&lt;strong&gt;Impedância:&lt;/strong&gt; 8 Ohms&lt;/span&gt;&lt;/span&gt;&lt;/p&gt;
&lt;p&gt;&lt;span style="font-size:16px;"&gt;&lt;span style="font-family:verdana,geneva,sans-serif;"&gt;&lt;strong&gt;Sensibilidade:&lt;/strong&gt; 90dB&lt;/span&gt;&lt;/span&gt;&lt;/p&gt;
&lt;p&gt;&lt;span style="font-size:16px;"&gt;&lt;span style="font-family:verdana,geneva,sans-serif;"&gt;&lt;strong&gt;Woofer:&lt;/strong&gt; Polipropileno 6,5”&lt;/span&gt;&lt;/span&gt;&lt;/p&gt;
&lt;p&gt;&lt;span style="font-size:16px;"&gt;&lt;span style="font-family:verdana,geneva,sans-serif;"&gt;&lt;strong&gt;Tweeter:&lt;/strong&gt; Mylar&lt;/span&gt;&lt;/span&gt;&lt;/p&gt;
&lt;p&gt;&lt;span style="font-size:16px;"&gt;&lt;span style="font-family:verdana,geneva,sans-serif;"&gt;&lt;strong&gt;Cor da tela:&lt;/strong&gt; Branca ou preta&lt;/span&gt;&lt;/span&gt;&lt;/p&gt;
&lt;p&gt; &lt;/p&gt;
</t>
  </si>
  <si>
    <t>https://cdn.awsli.com.br/948/948321/produto/35767157/eee80a17d1.jpg</t>
  </si>
  <si>
    <t>https://cdn.awsli.com.br/948/948321/produto/35767157/c7f96ec39f.jpg</t>
  </si>
  <si>
    <t>https://cdn.awsli.com.br/948/948321/produto/35767157/3e2bebf8d1.jpg</t>
  </si>
  <si>
    <t>https://cdn.awsli.com.br/948/948321/produto/35767157/da640d719a.jpg</t>
  </si>
  <si>
    <t>Caixa de som de embutir WIN150 6,5″ - 150w - Wave sound</t>
  </si>
  <si>
    <t xml:space="preserve">&lt;h1 style="padding: 0px; margin: 0px; font-variant-numeric: normal; font-variant-east-asian: normal; font-stretch: normal; font-size: 48px; line-height: 54px; font-family: avenir-regular; clear: both; color: rgb(34, 34, 34); text-transform: uppercase;"&gt;&lt;strong&gt;&lt;span style="font-size:16px;"&gt;&lt;span style="font-family:verdana,geneva,sans-serif;"&gt;CAIXA DE SOM DE EMBUTIR INCLINADA 6,5″&lt;/span&gt;&lt;/span&gt;&lt;/strong&gt;&lt;/h1&gt;
&lt;p&gt;&lt;span style="font-size:16px;"&gt;&lt;span style="font-family:verdana,geneva,sans-serif;"&gt;&lt;span style="color: rgb(34, 34, 34);"&gt;A caixa de som da linha WIN foi pensada para oferecer a maior qualidade sonora possível como caixas frontais em um sistema de Home Theater de embutir. Ela é levemente inclinada e estrategicamente instalada para que ofereça maior precisão ao irradiar o som até quem estiver sentado no sofá.&lt;/span&gt;&lt;/span&gt;&lt;/span&gt;&lt;/p&gt;
&lt;p&gt;&lt;span style="font-size:16px;"&gt;&lt;span style="font-family:verdana,geneva,sans-serif;"&gt;&lt;span style="color: rgb(34, 34, 34);"&gt;A WIN150 tem woofer em kevlar 6,5” e tweeter em domo de seda, materiais de altíssima qualidade que fazem toda diferença para uma composição harmoniosa desse modelo.&lt;/span&gt;&lt;/span&gt;&lt;/span&gt;&lt;/p&gt;
&lt;p&gt;&lt;span style="font-size:16px;"&gt;&lt;span style="font-family:verdana,geneva,sans-serif;"&gt;&lt;span style="color: rgb(34, 34, 34);"&gt;Por ser embutida em teto de gesso, favorece um projeto arquitetônico &lt;/span&gt;&lt;em style="padding: 0px; margin: 0px; color: rgb(34, 34, 34); font-family: avenir-regular; font-size: 16px;"&gt;clean &lt;/em&gt;&lt;span style="color: rgb(34, 34, 34);"&gt;e moderno, onde os cabos são cuidadosamente instalados de modo que não fiquem visíveis no ambiente. A caixa tem tela em perfil &lt;/span&gt;&lt;em style="padding: 0px; margin: 0px; color: rgb(34, 34, 34); font-family: avenir-regular; font-size: 16px;"&gt;Slim&lt;/em&gt;&lt;span style="color: rgb(34, 34, 34);"&gt;, na opção quadrada ou redonda, o que proporciona um acabamento elegante. Agora é possível adquirir sua tela também na cor preta.&lt;/span&gt;&lt;/span&gt;&lt;/span&gt;&lt;/p&gt;
&lt;p&gt; &lt;/p&gt;
&lt;p style="padding: 0px; margin: 0px 0px 10px; font-family: avenir-regular; border-bottom: 1px solid rgba(158, 158, 158, 0.3); color: rgb(34, 34, 34); font-size: 16px; background-color: rgb(248, 248, 248);"&gt;&lt;span style="font-size:16px;"&gt;&lt;span style="font-family:verdana,geneva,sans-serif;"&gt;&lt;span style="padding: 0px; margin: 0px; font-weight: 700;"&gt;Resposta de Frequência:&lt;/span&gt; 60 Hz-19 KHz&lt;/span&gt;&lt;/span&gt;&lt;/p&gt;
&lt;p style="padding: 0px; margin: 0px 0px 10px; font-family: avenir-regular; border-bottom: 1px solid rgba(158, 158, 158, 0.3); color: rgb(34, 34, 34); font-size: 16px; background-color: rgb(248, 248, 248);"&gt;&lt;span style="font-size:16px;"&gt;&lt;span style="font-family:verdana,geneva,sans-serif;"&gt;&lt;span style="padding: 0px; margin: 0px; font-weight: 700;"&gt;Potência (RMS):&lt;/span&gt; 150 watts&lt;/span&gt;&lt;/span&gt;&lt;/p&gt;
&lt;p style="padding: 0px; margin: 0px 0px 10px; font-family: avenir-regular; border-bottom: 1px solid rgba(158, 158, 158, 0.3); color: rgb(34, 34, 34); font-size: 16px; background-color: rgb(248, 248, 248);"&gt;&lt;span style="font-size:16px;"&gt;&lt;span style="font-family:verdana,geneva,sans-serif;"&gt;&lt;span style="padding: 0px; margin: 0px; font-weight: 700;"&gt;Impedância:&lt;/span&gt; 8 Ohms&lt;/span&gt;&lt;/span&gt;&lt;/p&gt;
&lt;p style="padding: 0px; margin: 0px 0px 10px; font-family: avenir-regular; border-bottom: 1px solid rgba(158, 158, 158, 0.3); color: rgb(34, 34, 34); font-size: 16px; background-color: rgb(248, 248, 248);"&gt;&lt;span style="font-size:16px;"&gt;&lt;span style="font-family:verdana,geneva,sans-serif;"&gt;&lt;span style="padding: 0px; margin: 0px; font-weight: 700;"&gt;Sensibilidade:&lt;/span&gt; 89dB&lt;/span&gt;&lt;/span&gt;&lt;/p&gt;
&lt;p style="padding: 0px; margin: 0px 0px 10px; font-family: avenir-regular; border-bottom: 1px solid rgba(158, 158, 158, 0.3); color: rgb(34, 34, 34); font-size: 16px; background-color: rgb(248, 248, 248);"&gt;&lt;span style="font-size:16px;"&gt;&lt;span style="font-family:verdana,geneva,sans-serif;"&gt;&lt;span style="padding: 0px; margin: 0px; font-weight: 700;"&gt;Woofer:&lt;/span&gt; Kevlar 6,5”&lt;/span&gt;&lt;/span&gt;&lt;/p&gt;
&lt;p style="padding: 0px; margin: 0px; font-family: avenir-regular; border-bottom: 1px solid rgba(158, 158, 158, 0.3); color: rgb(34, 34, 34); font-size: 16px; background-color: rgb(248, 248, 248);"&gt;&lt;span style="font-size:16px;"&gt;&lt;span style="font-family:verdana,geneva,sans-serif;"&gt;&lt;span style="padding: 0px; margin: 0px; font-weight: 700;"&gt;Tweeter:&lt;/span&gt; Domo de seda 1″&lt;/span&gt;&lt;/span&gt;&lt;/p&gt;
</t>
  </si>
  <si>
    <t>https://cdn.awsli.com.br/948/948321/produto/35767584/62ad882a20.jpg</t>
  </si>
  <si>
    <t>https://cdn.awsli.com.br/948/948321/produto/35767584/0a65c98a9d.jpg</t>
  </si>
  <si>
    <t>https://cdn.awsli.com.br/948/948321/produto/35767584/2839fce15d.jpg</t>
  </si>
  <si>
    <t>https://cdn.awsli.com.br/948/948321/produto/35767584/cc71374dd7.jpg</t>
  </si>
  <si>
    <t>Caixa acústica de embutir WSR120 6,5″ (Uni) - 120w - Wave sound</t>
  </si>
  <si>
    <t xml:space="preserve">&lt;h1 style="padding: 0px; margin: 0px; font-variant-numeric: normal; font-variant-east-asian: normal; font-stretch: normal; font-size: 48px; line-height: 54px; font-family: avenir-regular; clear: both; color: rgb(34, 34, 34); text-transform: uppercase;"&gt;&lt;span style="font-size:16px;"&gt;&lt;span style="font-family:verdana,geneva,sans-serif;"&gt;&lt;strong&gt;CAIXA ACÚSTICA DE EMBUTIR 6,5″&lt;/strong&gt;&lt;/span&gt;&lt;/span&gt;&lt;/h1&gt;
&lt;p&gt;&lt;span style="font-size:16px;"&gt;&lt;span style="font-family:verdana,geneva,sans-serif;"&gt;&lt;span style="color: rgb(34, 34, 34);"&gt;Caixa de som da linha reta foi desenvolvida para oferecer a melhor experiência surround em um sistema de Home Theater de embutir, começando pelos materiais de altíssima qualidade. O Woofer é feito em polipropileno para entregar graves encorpados. Já o tweeter, é feito em domo de Mylar para garantir agudos precisos. Esse modelo também é indicado para som ambiente.&lt;/span&gt;&lt;/span&gt;&lt;/span&gt;&lt;/p&gt;
&lt;p&gt;&lt;span style="font-size:16px;"&gt;&lt;span style="font-family:verdana,geneva,sans-serif;"&gt;&lt;span style="color: rgb(34, 34, 34);"&gt;Por ser embutida em teto de gesso, favorece um projeto arquitetônico &lt;/span&gt;&lt;em style="padding: 0px; margin: 0px; color: rgb(34, 34, 34); font-family: avenir-regular; font-size: 16px;"&gt;clean &lt;/em&gt;&lt;span style="color: rgb(34, 34, 34);"&gt;e moderno, onde os cabos são cuidadosamente instalados de modo que não fiquem visíveis no ambiente. A caixa tem tela em perfil &lt;/span&gt;&lt;em style="padding: 0px; margin: 0px; color: rgb(34, 34, 34); font-family: avenir-regular; font-size: 16px;"&gt;Slim&lt;/em&gt;&lt;span style="color: rgb(34, 34, 34);"&gt;, na opção quadrada ou redonda, o que proporciona um acabamento elegante. Além disso, as telas estão disponíveis na opção branca ou preta.&lt;/span&gt;&lt;/span&gt;&lt;/span&gt;&lt;/p&gt;
&lt;p&gt;&lt;span style="font-size:16px;"&gt;&lt;span style="font-family:verdana,geneva,sans-serif;"&gt;&lt;strong&gt;Resposta de Frequência:&lt;/strong&gt; 65 Hz-19 KHz&lt;/span&gt;&lt;/span&gt;&lt;/p&gt;
&lt;p&gt;&lt;span style="font-size:16px;"&gt;&lt;span style="font-family:verdana,geneva,sans-serif;"&gt;&lt;strong&gt;Potência (RMS):&lt;/strong&gt; 120 watts&lt;/span&gt;&lt;/span&gt;&lt;/p&gt;
&lt;p&gt;&lt;span style="font-size:16px;"&gt;&lt;span style="font-family:verdana,geneva,sans-serif;"&gt;&lt;strong&gt;Impedância:&lt;/strong&gt; 8 Ohms&lt;/span&gt;&lt;/span&gt;&lt;/p&gt;
&lt;p&gt;&lt;span style="font-size:16px;"&gt;&lt;span style="font-family:verdana,geneva,sans-serif;"&gt;&lt;strong&gt;Sensibilidade:&lt;/strong&gt; 90dB&lt;/span&gt;&lt;/span&gt;&lt;/p&gt;
&lt;p&gt;&lt;span style="font-size:16px;"&gt;&lt;span style="font-family:verdana,geneva,sans-serif;"&gt;&lt;strong&gt;Woofer:&lt;/strong&gt; Polipropileno 6,5”&lt;/span&gt;&lt;/span&gt;&lt;/p&gt;
&lt;p&gt;&lt;span style="font-size:16px;"&gt;&lt;span style="font-family:verdana,geneva,sans-serif;"&gt;&lt;strong&gt;Tweeter:&lt;/strong&gt; Domo de Mylar&lt;/span&gt;&lt;/span&gt;&lt;/p&gt;
&lt;p&gt;&lt;span style="font-size:16px;"&gt;&lt;span style="font-family:verdana,geneva,sans-serif;"&gt;&lt;strong&gt;Cor da tela:&lt;/strong&gt; Preta ou Branca&lt;/span&gt;&lt;/span&gt;&lt;/p&gt;
</t>
  </si>
  <si>
    <t>https://cdn.awsli.com.br/948/948321/produto/35767937/64ff16936f.jpg</t>
  </si>
  <si>
    <t>https://cdn.awsli.com.br/948/948321/produto/35767937/9237ee8915.jpg</t>
  </si>
  <si>
    <t>https://cdn.awsli.com.br/948/948321/produto/35767937/2320b3e7cf.jpg</t>
  </si>
  <si>
    <t>https://cdn.awsli.com.br/948/948321/produto/35767937/1adb359539.jpg</t>
  </si>
  <si>
    <t>Caixa de som de embutir WSR150 6,5″ (Uni) - 150w - Wave sound</t>
  </si>
  <si>
    <t xml:space="preserve">&lt;h1 style="padding: 0px; margin: 0px; font-variant-numeric: normal; font-variant-east-asian: normal; font-stretch: normal; font-size: 48px; line-height: 54px; font-family: avenir-regular; clear: both; color: rgb(34, 34, 34); text-transform: uppercase;"&gt;&lt;strong&gt;&lt;span style="font-size:16px;"&gt;&lt;span style="font-family:verdana,geneva,sans-serif;"&gt;CAIXA ACÚSTICA DE EMBUTIR 6,5″&lt;/span&gt;&lt;/span&gt;&lt;/strong&gt;&lt;/h1&gt;
&lt;p&gt;&lt;span style="font-size:16px;"&gt;&lt;span style="font-family:verdana,geneva,sans-serif;"&gt;Caixa de som da linha reta foi desenvolvida para oferecer a melhor experiência surround em um sistema de Home Theater de embutir, começando pelos materiais de altíssima qualidade. O Woofer é feito em Kevlar para entregar graves encorpados. Já o tweeter, é feito em domo de seda para garantir agudos precisos. Esse modelo também é indicado para som ambiente.&lt;/span&gt;&lt;/span&gt;&lt;/p&gt;
&lt;p&gt;&lt;span style="font-size:16px;"&gt;&lt;span style="font-family:verdana,geneva,sans-serif;"&gt;Por ser embutida em teto de gesso, favorece um projeto arquitetônico &lt;em style="padding: 0px; margin: 0px; color: rgb(34, 34, 34); font-family: avenir-regular; font-size: 16px;"&gt;clean &lt;/em&gt;e moderno, onde os cabos são cuidadosamente instalados de modo que não fiquem visíveis no ambiente. A caixa tem tela em perfil &lt;em style="padding: 0px; margin: 0px; color: rgb(34, 34, 34); font-family: avenir-regular; font-size: 16px;"&gt;Slim&lt;/em&gt;, na opção quadrada ou redonda, o que proporciona um acabamento elegante. Além disso, as telas estão disponíveis na opção branca ou preta.&lt;/span&gt;&lt;/span&gt;&lt;/p&gt;
&lt;p&gt; &lt;/p&gt;
&lt;p style="padding: 0px; margin: 0px 0px 10px; font-family: avenir-regular; border-bottom: 1px solid rgba(158, 158, 158, 0.3); color: rgb(34, 34, 34); font-size: 16px; background-color: rgb(248, 248, 248);"&gt;&lt;span style="font-size:16px;"&gt;&lt;span style="font-family:verdana,geneva,sans-serif;"&gt;&lt;span style="padding: 0px; margin: 0px; font-weight: 700;"&gt;Resposta de Frequência:&lt;/span&gt; 60 Hz-20 KHz&lt;/span&gt;&lt;/span&gt;&lt;/p&gt;
&lt;p style="padding: 0px; margin: 0px 0px 10px; font-family: avenir-regular; border-bottom: 1px solid rgba(158, 158, 158, 0.3); color: rgb(34, 34, 34); font-size: 16px; background-color: rgb(248, 248, 248);"&gt;&lt;span style="font-size:16px;"&gt;&lt;span style="font-family:verdana,geneva,sans-serif;"&gt;&lt;span style="padding: 0px; margin: 0px; font-weight: 700;"&gt;Potência (RMS):&lt;/span&gt; 150 watts&lt;/span&gt;&lt;/span&gt;&lt;/p&gt;
&lt;p style="padding: 0px; margin: 0px 0px 10px; font-family: avenir-regular; border-bottom: 1px solid rgba(158, 158, 158, 0.3); color: rgb(34, 34, 34); font-size: 16px; background-color: rgb(248, 248, 248);"&gt;&lt;span style="font-size:16px;"&gt;&lt;span style="font-family:verdana,geneva,sans-serif;"&gt;&lt;span style="padding: 0px; margin: 0px; font-weight: 700;"&gt;Impedância:&lt;/span&gt; 8 Ohms&lt;/span&gt;&lt;/span&gt;&lt;/p&gt;
&lt;p style="padding: 0px; margin: 0px 0px 10px; font-family: avenir-regular; border-bottom: 1px solid rgba(158, 158, 158, 0.3); color: rgb(34, 34, 34); font-size: 16px; background-color: rgb(248, 248, 248);"&gt;&lt;span style="font-size:16px;"&gt;&lt;span style="font-family:verdana,geneva,sans-serif;"&gt;&lt;span style="padding: 0px; margin: 0px; font-weight: 700;"&gt;Sensibilidade:&lt;/span&gt; 89dB&lt;/span&gt;&lt;/span&gt;&lt;/p&gt;
&lt;p style="padding: 0px; margin: 0px 0px 10px; font-family: avenir-regular; border-bottom: 1px solid rgba(158, 158, 158, 0.3); color: rgb(34, 34, 34); font-size: 16px; background-color: rgb(248, 248, 248);"&gt;&lt;span style="font-size:16px;"&gt;&lt;span style="font-family:verdana,geneva,sans-serif;"&gt;&lt;span style="padding: 0px; margin: 0px; font-weight: 700;"&gt;Woofer:&lt;/span&gt; Kevlar 6,5”&lt;/span&gt;&lt;/span&gt;&lt;/p&gt;
&lt;p style="padding: 0px; margin: 0px; font-family: avenir-regular; border-bottom: 1px solid rgba(158, 158, 158, 0.3); color: rgb(34, 34, 34); font-size: 16px; background-color: rgb(248, 248, 248);"&gt;&lt;span style="font-size:16px;"&gt;&lt;span style="font-family:verdana,geneva,sans-serif;"&gt;&lt;span style="padding: 0px; margin: 0px; font-weight: 700;"&gt;Tweeter:&lt;/span&gt; Domo de seda&lt;/span&gt;&lt;/span&gt;&lt;/p&gt;
</t>
  </si>
  <si>
    <t>https://cdn.awsli.com.br/948/948321/produto/35768297/306e6f3bcf.jpg</t>
  </si>
  <si>
    <t>https://cdn.awsli.com.br/948/948321/produto/35768297/52053f34fc.jpg</t>
  </si>
  <si>
    <t>https://cdn.awsli.com.br/948/948321/produto/35768297/e255fda328.jpg</t>
  </si>
  <si>
    <t>https://cdn.awsli.com.br/948/948321/produto/35768297/12babc5d5e.jpg</t>
  </si>
  <si>
    <t>Kit Home Theater 5.0 Wave Sound - 03 Arandelas WIN120 + 02 Arandelas WSR120</t>
  </si>
  <si>
    <t xml:space="preserve">&lt;p&gt;&lt;span style="font-size:14px;"&gt;&lt;span style="font-family:verdana,geneva,sans-serif;"&gt;&lt;strong&gt;Kit 5 Caixas de Embutir Wave Sound - 3x WIN120 + 2x WSR120 - Brancas&lt;/strong&gt;&lt;/span&gt;&lt;/span&gt;&lt;/p&gt;
&lt;p&gt;&lt;span style="font-size:14px;"&gt;&lt;span style="font-family:verdana,geneva,sans-serif;"&gt;&lt;strong&gt;WIN120 (Frontais)&lt;/strong&gt;&lt;/span&gt;&lt;/span&gt;&lt;/p&gt;
&lt;p&gt;&lt;span style="font-size:14px;"&gt;&lt;span style="font-family:verdana,geneva,sans-serif;"&gt;A linha WIN foi pensada para oferecer a maior qualidade sonora possível como caixas frontais em um sistema de Home Theater de embutir. Ela é levemente inclinada e estrategicamente instalada para que ofereça maior precisão ao irradiar o som até quem estiver sentado no sofá.&lt;/span&gt;&lt;/span&gt;&lt;/p&gt;
&lt;p&gt;&lt;span style="font-size:14px;"&gt;&lt;span style="font-family:verdana,geneva,sans-serif;"&gt;A WIN120 tem woofer em polipropileno 6,5” e tweeter em mylar, materiais de altíssima qualidade que faz toda diferença para uma composição harmoniosa desse modelo.&lt;/span&gt;&lt;/span&gt;&lt;/p&gt;
&lt;p&gt;&lt;span style="font-size:14px;"&gt;&lt;span style="font-family:verdana,geneva,sans-serif;"&gt;Por ser embutida em teto de gesso, favorece um projeto arquitetônico clean e moderno, onde os cabos são cuidadosamente instalados de modo que não fiquem visíveis no ambiente. A caixa tem tela em perfil Slim, o que proporciona um acabamento elegante.&lt;/span&gt;&lt;/span&gt;&lt;/p&gt;
&lt;p&gt;&lt;span style="font-size:14px;"&gt;&lt;span style="font-family:verdana,geneva,sans-serif;"&gt;Resposta de Frequência: 65 Hz-29 KHz&lt;/span&gt;&lt;/span&gt;&lt;/p&gt;
&lt;p&gt;&lt;span style="font-size:14px;"&gt;&lt;span style="font-family:verdana,geneva,sans-serif;"&gt;Potência (RMS): 120 watts&lt;/span&gt;&lt;/span&gt;&lt;/p&gt;
&lt;p&gt;&lt;span style="font-size:14px;"&gt;&lt;span style="font-family:verdana,geneva,sans-serif;"&gt;Impedância: 8 Ohms&lt;/span&gt;&lt;/span&gt;&lt;/p&gt;
&lt;p&gt;&lt;span style="font-size:14px;"&gt;&lt;span style="font-family:verdana,geneva,sans-serif;"&gt;Sensibilidade: 90dB&lt;/span&gt;&lt;/span&gt;&lt;/p&gt;
&lt;p&gt;&lt;span style="font-size:14px;"&gt;&lt;span style="font-family:verdana,geneva,sans-serif;"&gt;Woofer: Polipropileno 6,5”&lt;/span&gt;&lt;/span&gt;&lt;/p&gt;
&lt;p&gt;&lt;span style="font-size:14px;"&gt;&lt;span style="font-family:verdana,geneva,sans-serif;"&gt;Tweeter: Mylar&lt;/span&gt;&lt;/span&gt;&lt;/p&gt;
&lt;p&gt;&lt;span style="font-size:14px;"&gt;&lt;span style="font-family: verdana, geneva, sans-serif;"&gt;Cor da tela: Branca ou Preta&lt;/span&gt;&lt;/span&gt;&lt;/p&gt;
&lt;p&gt; &lt;/p&gt;
&lt;p&gt;&lt;span style="font-size:14px;"&gt;&lt;span style="font-family:verdana,geneva,sans-serif;"&gt;&lt;strong&gt;WSR120 (Traseiras)&lt;/strong&gt;&lt;/span&gt;&lt;/span&gt;&lt;/p&gt;
&lt;p&gt;&lt;span style="font-size:14px;"&gt;&lt;span style="font-family:verdana,geneva,sans-serif;"&gt;Caixa de som da linha reta foi desenvolvida para oferecer a melhor experiência surround em um sistema de Home Theater de embutir, começando pelos materiais de altíssima qualidade. O Woofer é feito em polipropileno para entregar graves encorpados. Já o tweeter, é feito em domo de Mylar para garantir agudos precisos. Esse modelo também é indicado para som ambiente.&lt;/span&gt;&lt;/span&gt;&lt;/p&gt;
&lt;p&gt;&lt;span style="font-size:14px;"&gt;&lt;span style="font-family:verdana,geneva,sans-serif;"&gt;Por ser embutida em teto de gesso, favorece um projeto arquitetônico clean e moderno, onde os cabos são cuidadosamente instalados de modo que não fiquem visíveis no ambiente. A caixa tem tela em perfil Slim, o que proporciona um acabamento elegante.&lt;/span&gt;&lt;/span&gt;&lt;/p&gt;
&lt;p&gt;&lt;span style="font-size:14px;"&gt;&lt;span style="font-family:verdana,geneva,sans-serif;"&gt;Resposta de Frequência: 65 Hz-19 KHz&lt;/span&gt;&lt;/span&gt;&lt;/p&gt;
&lt;p&gt;&lt;span style="font-size:14px;"&gt;&lt;span style="font-family:verdana,geneva,sans-serif;"&gt;Potência (RMS): 120 watts&lt;/span&gt;&lt;/span&gt;&lt;/p&gt;
&lt;p&gt;&lt;span style="font-size:14px;"&gt;&lt;span style="font-family:verdana,geneva,sans-serif;"&gt;Impedância: 8 Ohms&lt;/span&gt;&lt;/span&gt;&lt;/p&gt;
&lt;p&gt;&lt;span style="font-size:14px;"&gt;&lt;span style="font-family:verdana,geneva,sans-serif;"&gt;Sensibilidade: 90dB&lt;/span&gt;&lt;/span&gt;&lt;/p&gt;
&lt;p&gt;&lt;span style="font-size:14px;"&gt;&lt;span style="font-family:verdana,geneva,sans-serif;"&gt;Woofer: Polipropileno 6,5”&lt;/span&gt;&lt;/span&gt;&lt;/p&gt;
&lt;p&gt;&lt;span style="font-size:14px;"&gt;&lt;span style="font-family:verdana,geneva,sans-serif;"&gt;Tweeter: Domo de Mylar&lt;/span&gt;&lt;/span&gt;&lt;/p&gt;
&lt;p&gt;&lt;span style="font-size:14px;"&gt;&lt;span style="font-family: verdana, geneva, sans-serif;"&gt;Cor da tela: Branca ou Preta&lt;/span&gt;&lt;/span&gt;&lt;/p&gt;
&lt;p&gt; &lt;/p&gt;
&lt;p&gt;&lt;span style="font-size:14px;"&gt;&lt;span style="font-family:verdana,geneva,sans-serif;"&gt;&lt;strong&gt;O kit é composto por 3 Caixas WIN120 e 2 Caixas WSR120.&lt;/strong&gt;&lt;/span&gt;&lt;/span&gt;&lt;/p&gt;
</t>
  </si>
  <si>
    <t>https://cdn.awsli.com.br/948/948321/produto/55796286/1a25576128.jpg</t>
  </si>
  <si>
    <t>https://cdn.awsli.com.br/948/948321/produto/55796286/b84a9ab2b9.jpg</t>
  </si>
  <si>
    <t>https://cdn.awsli.com.br/948/948321/produto/55796286/541bb398ac.jpg</t>
  </si>
  <si>
    <t>https://cdn.awsli.com.br/948/948321/produto/55796286/d0327eb9cf.jpg</t>
  </si>
  <si>
    <t>https://cdn.awsli.com.br/948/948321/produto/55796286/73d93719e0.jpg</t>
  </si>
  <si>
    <t>Kit Home Theater 5.1 Wave sound - 03 Arandelas WIN120 + 02 Arandelas WSR12O + 01 Subwoofer 8"</t>
  </si>
  <si>
    <t xml:space="preserve">&lt;p&gt;&lt;span style="font-size:14px;"&gt;&lt;span style="font-family:verdana,geneva,sans-serif;"&gt;&lt;strong&gt;Kit Home Theater 5.1 Wave sound - 03 Arandelas WIN120 + 02 Arandelas WSR12O + 01 Subwoofer 8" &lt;/strong&gt;&lt;/span&gt;&lt;/span&gt;&lt;/p&gt;
&lt;p&gt;&lt;span style="font-size:14px;"&gt;&lt;span style="font-family:verdana,geneva,sans-serif;"&gt;&lt;strong&gt;WIN120 (Frontais)&lt;/strong&gt;&lt;/span&gt;&lt;/span&gt;&lt;/p&gt;
&lt;p&gt;&lt;span style="font-size:14px;"&gt;&lt;span style="font-family:verdana,geneva,sans-serif;"&gt;A linha WIN foi pensada para oferecer a maior qualidade sonora possível como caixas frontais em um sistema de Home Theater de embutir. Ela é levemente inclinada e estrategicamente instalada para que ofereça maior precisão ao irradiar o som até quem estiver sentado no sofá.&lt;/span&gt;&lt;/span&gt;&lt;/p&gt;
&lt;p&gt;&lt;span style="font-size:14px;"&gt;&lt;span style="font-family:verdana,geneva,sans-serif;"&gt;A WIN120 tem woofer em polipropileno 6,5” e tweeter em mylar, materiais de altíssima qualidade que faz toda diferença para uma composição harmoniosa desse modelo.&lt;/span&gt;&lt;/span&gt;&lt;/p&gt;
&lt;p&gt;&lt;span style="font-size:14px;"&gt;&lt;span style="font-family:verdana,geneva,sans-serif;"&gt;Por ser embutida em teto de gesso, favorece um projeto arquitetônico clean e moderno, onde os cabos são cuidadosamente instalados de modo que não fiquem visíveis no ambiente. A caixa tem tela em perfil Slim, o que proporciona um acabamento elegante.&lt;/span&gt;&lt;/span&gt;&lt;/p&gt;
&lt;p&gt;&lt;span style="font-size:14px;"&gt;&lt;span style="font-family:verdana,geneva,sans-serif;"&gt;Resposta de Frequência: 65 Hz-29 KHz&lt;/span&gt;&lt;/span&gt;&lt;/p&gt;
&lt;p&gt;&lt;span style="font-size:14px;"&gt;&lt;span style="font-family:verdana,geneva,sans-serif;"&gt;Potência (RMS): 120 watts&lt;/span&gt;&lt;/span&gt;&lt;/p&gt;
&lt;p&gt;&lt;span style="font-size:14px;"&gt;&lt;span style="font-family:verdana,geneva,sans-serif;"&gt;Impedância: 8 Ohms&lt;/span&gt;&lt;/span&gt;&lt;/p&gt;
&lt;p&gt;&lt;span style="font-size:14px;"&gt;&lt;span style="font-family:verdana,geneva,sans-serif;"&gt;Sensibilidade: 90dB&lt;/span&gt;&lt;/span&gt;&lt;/p&gt;
&lt;p&gt;&lt;span style="font-size:14px;"&gt;&lt;span style="font-family:verdana,geneva,sans-serif;"&gt;Woofer: Polipropileno 6,5”&lt;/span&gt;&lt;/span&gt;&lt;/p&gt;
&lt;p&gt;&lt;span style="font-size:14px;"&gt;&lt;span style="font-family:verdana,geneva,sans-serif;"&gt;Tweeter: Mylar&lt;/span&gt;&lt;/span&gt;&lt;/p&gt;
&lt;p&gt;&lt;span style="font-size:14px;"&gt;&lt;span style="font-family:verdana,geneva,sans-serif;"&gt;Cor da tela: Branca ou Preta&lt;/span&gt;&lt;/span&gt;&lt;/p&gt;
&lt;p&gt; &lt;/p&gt;
&lt;p&gt;&lt;span style="font-size:14px;"&gt;&lt;span style="font-family:verdana,geneva,sans-serif;"&gt;&lt;strong&gt;WSR120 (Traseiras)&lt;/strong&gt;&lt;/span&gt;&lt;/span&gt;&lt;/p&gt;
&lt;p&gt;&lt;span style="font-size:14px;"&gt;&lt;span style="font-family:verdana,geneva,sans-serif;"&gt;Caixa de som da linha reta foi desenvolvida para oferecer a melhor experiência surround em um sistema de Home Theater de embutir, começando pelos materiais de altíssima qualidade. O Woofer é feito em polipropileno para entregar graves encorpados. Já o tweeter, é feito em domo de Mylar para garantir agudos precisos. Esse modelo também é indicado para som ambiente.&lt;/span&gt;&lt;/span&gt;&lt;/p&gt;
&lt;p&gt;&lt;span style="font-size:14px;"&gt;&lt;span style="font-family:verdana,geneva,sans-serif;"&gt;Por ser embutida em teto de gesso, favorece um projeto arquitetônico clean e moderno, onde os cabos são cuidadosamente instalados de modo que não fiquem visíveis no ambiente. A caixa tem tela em perfil Slim, o que proporciona um acabamento elegante.&lt;/span&gt;&lt;/span&gt;&lt;/p&gt;
&lt;p&gt;&lt;span style="font-size:14px;"&gt;&lt;span style="font-family:verdana,geneva,sans-serif;"&gt;Resposta de Frequência: 65 Hz-19 KHz&lt;/span&gt;&lt;/span&gt;&lt;/p&gt;
&lt;p&gt;&lt;span style="font-size:14px;"&gt;&lt;span style="font-family:verdana,geneva,sans-serif;"&gt;Potência (RMS): 120 watts&lt;/span&gt;&lt;/span&gt;&lt;/p&gt;
&lt;p&gt;&lt;span style="font-size:14px;"&gt;&lt;span style="font-family:verdana,geneva,sans-serif;"&gt;Impedância: 8 Ohms&lt;/span&gt;&lt;/span&gt;&lt;/p&gt;
&lt;p&gt;&lt;span style="font-size:14px;"&gt;&lt;span style="font-family:verdana,geneva,sans-serif;"&gt;Sensibilidade: 90dB&lt;/span&gt;&lt;/span&gt;&lt;/p&gt;
&lt;p&gt;&lt;span style="font-size:14px;"&gt;&lt;span style="font-family:verdana,geneva,sans-serif;"&gt;Woofer: Polipropileno 6,5”&lt;/span&gt;&lt;/span&gt;&lt;/p&gt;
&lt;p&gt;&lt;span style="font-size:14px;"&gt;&lt;span style="font-family:verdana,geneva,sans-serif;"&gt;Tweeter: Domo de Mylar&lt;/span&gt;&lt;/span&gt;&lt;/p&gt;
&lt;p&gt;&lt;span style="font-size:14px;"&gt;&lt;span style="font-family: verdana, geneva, sans-serif;"&gt;Cor da tela: Branca ou Preta&lt;/span&gt;&lt;/span&gt;&lt;/p&gt;
&lt;p&gt; &lt;/p&gt;
&lt;p&gt;&lt;span style="font-size:14px;"&gt;&lt;span style="font-family:verdana,geneva,sans-serif;"&gt;&lt;strong&gt;Subwoofer WSW8:&lt;/strong&gt;&lt;/span&gt;&lt;/span&gt;&lt;/p&gt;
&lt;p&gt;&lt;span style="font-size:14px;"&gt;&lt;span style="font-family:verdana,geneva,sans-serif;"&gt;O subwoofer ativo de 8” modelo WA8 da Wave é compacto e cabe muito bem em sistemas home theater de baixa ou média potência. Com 150 watts de potência e resposta de frequência que vai de 40 Hz-180 Hz, este modelo produz graves de impactantes complementando seu sistema de som e proporcionando mais realismo às cenas de um filme ou musicais. Um diferencial é a opção de entrada/saída em nível alto para caixa de som que facilita em alguns modos de instalação.&lt;/span&gt;&lt;/span&gt;&lt;/p&gt;
&lt;p&gt;&lt;span style="font-size:14px;"&gt;&lt;span style="font-family:verdana,geneva,sans-serif;"&gt;Resposta de Frequência: 40 Hz-180 Hz&lt;/span&gt;&lt;/span&gt;&lt;/p&gt;
&lt;p&gt;&lt;span style="font-size:14px;"&gt;&lt;span style="font-family:verdana,geneva,sans-serif;"&gt;Woofer: Ativo 8”&lt;/span&gt;&lt;/span&gt;&lt;/p&gt;
&lt;p&gt;&lt;span style="font-size:14px;"&gt;&lt;span style="font-family:verdana,geneva,sans-serif;"&gt;Potência (RMS): 175watts&lt;/span&gt;&lt;/span&gt;&lt;/p&gt;
&lt;p&gt;&lt;span style="font-size:14px;"&gt;&lt;span style="font-family:verdana,geneva,sans-serif;"&gt;Tensão: 120V&lt;/span&gt;&lt;/span&gt;&lt;/p&gt;
&lt;p&gt;&lt;span style="font-size:14px;"&gt;&lt;span style="font-family:verdana,geneva,sans-serif;"&gt;Ajustes: Volume, Frequência e Fase&lt;/span&gt;&lt;/span&gt;&lt;/p&gt;
&lt;p&gt;&lt;span style="font-size:14px;"&gt;&lt;span style="font-family:verdana,geneva,sans-serif;"&gt;Nível Baixo: RCA estéreo in/out&lt;/span&gt;&lt;/span&gt;&lt;/p&gt;
&lt;p&gt;&lt;span style="font-size:14px;"&gt;&lt;span style="font-family:verdana,geneva,sans-serif;"&gt;Nivel Alto: in/out&lt;/span&gt;&lt;/span&gt;&lt;/p&gt;
&lt;p&gt;&lt;span style="font-size:14px;"&gt;&lt;span style="font-family:verdana,geneva,sans-serif;"&gt;Cor: Preto&lt;/span&gt;&lt;/span&gt;&lt;/p&gt;
&lt;p&gt; &lt;/p&gt;
&lt;p&gt;&lt;span style="font-size:14px;"&gt;&lt;span style="font-family:verdana,geneva,sans-serif;"&gt;&lt;strong&gt;O kit é composto por 03 Caixas WIN120, 02 Caixas WSR120 e 01 Subwoofer WSW8&lt;/strong&gt;&lt;/span&gt;&lt;/span&gt;&lt;/p&gt;
</t>
  </si>
  <si>
    <t>https://cdn.awsli.com.br/948/948321/produto/55799073/16fca56a78.jpg</t>
  </si>
  <si>
    <t>https://cdn.awsli.com.br/948/948321/produto/55799073/a6aeb6dc89.jpg</t>
  </si>
  <si>
    <t>https://cdn.awsli.com.br/948/948321/produto/55799073/dbc4469c3c.jpg</t>
  </si>
  <si>
    <t>https://cdn.awsli.com.br/948/948321/produto/55799073/6491f4b59d.jpg</t>
  </si>
  <si>
    <t>https://cdn.awsli.com.br/948/948321/produto/55799073/c3496d6663.jpg</t>
  </si>
  <si>
    <t>Kit Home Theater 7.1 Wave sound - 03 Arandelas WIN120 + 04 Arandelas WSR12O + 01 Subwoofer 8"</t>
  </si>
  <si>
    <t xml:space="preserve">&lt;p&gt;&lt;span style="font-size:14px;"&gt;&lt;span style="font-family:verdana,geneva,sans-serif;"&gt;&lt;strong&gt;Kit Home Theater 7.1 Wave sound - 03 Arandelas WIN120 + 04 Arandelas WSR12O + 01 Subwoofer 8"&lt;/strong&gt;&lt;/span&gt;&lt;/span&gt;&lt;/p&gt;
&lt;p&gt;&lt;span style="font-size:14px;"&gt;&lt;span style="font-family:verdana,geneva,sans-serif;"&gt;&lt;strong&gt;WIN120 (Frontais)&lt;/strong&gt;&lt;/span&gt;&lt;/span&gt;&lt;/p&gt;
&lt;p&gt;&lt;span style="font-size:14px;"&gt;&lt;span style="font-family:verdana,geneva,sans-serif;"&gt;A linha WIN foi pensada para oferecer a maior qualidade sonora possível como caixas frontais em um sistema de Home Theater de embutir. Ela é levemente inclinada e estrategicamente instalada para que ofereça maior precisão ao irradiar o som até quem estiver sentado no sofá.&lt;/span&gt;&lt;/span&gt;&lt;/p&gt;
&lt;p&gt;&lt;span style="font-size:14px;"&gt;&lt;span style="font-family:verdana,geneva,sans-serif;"&gt;A WIN120 tem woofer em polipropileno 6,5” e tweeter em mylar, materiais de altíssima qualidade que faz toda diferença para uma composição harmoniosa desse modelo.&lt;/span&gt;&lt;/span&gt;&lt;/p&gt;
&lt;p&gt;&lt;span style="font-size:14px;"&gt;&lt;span style="font-family:verdana,geneva,sans-serif;"&gt;Por ser embutida em teto de gesso, favorece um projeto arquitetônico clean e moderno, onde os cabos são cuidadosamente instalados de modo que não fiquem visíveis no ambiente. A caixa tem tela em perfil Slim, o que proporciona um acabamento elegante.&lt;/span&gt;&lt;/span&gt;&lt;/p&gt;
&lt;p&gt;&lt;span style="font-size:14px;"&gt;&lt;span style="font-family:verdana,geneva,sans-serif;"&gt;Resposta de Frequência: 65 Hz-29 KHz&lt;/span&gt;&lt;/span&gt;&lt;/p&gt;
&lt;p&gt;&lt;span style="font-size:14px;"&gt;&lt;span style="font-family:verdana,geneva,sans-serif;"&gt;Potência (RMS): 120 watts&lt;/span&gt;&lt;/span&gt;&lt;/p&gt;
&lt;p&gt;&lt;span style="font-size:14px;"&gt;&lt;span style="font-family:verdana,geneva,sans-serif;"&gt;Impedância: 8 Ohms&lt;/span&gt;&lt;/span&gt;&lt;/p&gt;
&lt;p&gt;&lt;span style="font-size:14px;"&gt;&lt;span style="font-family:verdana,geneva,sans-serif;"&gt;Sensibilidade: 90dB&lt;/span&gt;&lt;/span&gt;&lt;/p&gt;
&lt;p&gt;&lt;span style="font-size:14px;"&gt;&lt;span style="font-family:verdana,geneva,sans-serif;"&gt;Woofer: Polipropileno 6,5”&lt;/span&gt;&lt;/span&gt;&lt;/p&gt;
&lt;p&gt;&lt;span style="font-size:14px;"&gt;&lt;span style="font-family:verdana,geneva,sans-serif;"&gt;Tweeter: Mylar&lt;/span&gt;&lt;/span&gt;&lt;/p&gt;
&lt;p&gt;&lt;span style="font-size:14px;"&gt;&lt;span style="font-family: verdana, geneva, sans-serif;"&gt;Cor da tela: Branca ou Preta&lt;/span&gt;&lt;/span&gt;&lt;/p&gt;
&lt;p&gt; &lt;/p&gt;
&lt;p&gt;&lt;span style="font-size:14px;"&gt;&lt;span style="font-family:verdana,geneva,sans-serif;"&gt;&lt;strong&gt;WSR120 (Traseiras)&lt;/strong&gt;&lt;/span&gt;&lt;/span&gt;&lt;/p&gt;
&lt;p&gt;&lt;span style="font-size:14px;"&gt;&lt;span style="font-family:verdana,geneva,sans-serif;"&gt;Caixa de som da linha reta foi desenvolvida para oferecer a melhor experiência surround em um sistema de Home Theater de embutir, começando pelos materiais de altíssima qualidade. O Woofer é feito em polipropileno para entregar graves encorpados. Já o tweeter, é feito em domo de Mylar para garantir agudos precisos. Esse modelo também é indicado para som ambiente.&lt;/span&gt;&lt;/span&gt;&lt;/p&gt;
&lt;p&gt;&lt;span style="font-size:14px;"&gt;&lt;span style="font-family:verdana,geneva,sans-serif;"&gt;Por ser embutida em teto de gesso, favorece um projeto arquitetônico clean e moderno, onde os cabos são cuidadosamente instalados de modo que não fiquem visíveis no ambiente. A caixa tem tela em perfil Slim, o que proporciona um acabamento elegante.&lt;/span&gt;&lt;/span&gt;&lt;/p&gt;
&lt;p&gt;&lt;span style="font-size:14px;"&gt;&lt;span style="font-family:verdana,geneva,sans-serif;"&gt;Resposta de Frequência: 65 Hz-19 KHz&lt;/span&gt;&lt;/span&gt;&lt;/p&gt;
&lt;p&gt;&lt;span style="font-size:14px;"&gt;&lt;span style="font-family:verdana,geneva,sans-serif;"&gt;Potência (RMS): 120 watts&lt;/span&gt;&lt;/span&gt;&lt;/p&gt;
&lt;p&gt;&lt;span style="font-size:14px;"&gt;&lt;span style="font-family:verdana,geneva,sans-serif;"&gt;Impedância: 8 Ohms&lt;/span&gt;&lt;/span&gt;&lt;/p&gt;
&lt;p&gt;&lt;span style="font-size:14px;"&gt;&lt;span style="font-family:verdana,geneva,sans-serif;"&gt;Sensibilidade: 90dB&lt;/span&gt;&lt;/span&gt;&lt;/p&gt;
&lt;p&gt;&lt;span style="font-size:14px;"&gt;&lt;span style="font-family:verdana,geneva,sans-serif;"&gt;Woofer: Polipropileno 6,5”&lt;/span&gt;&lt;/span&gt;&lt;/p&gt;
&lt;p&gt;&lt;span style="font-size:14px;"&gt;&lt;span style="font-family:verdana,geneva,sans-serif;"&gt;Tweeter: Domo de Mylar&lt;/span&gt;&lt;/span&gt;&lt;/p&gt;
&lt;p&gt;&lt;span style="font-size:14px;"&gt;&lt;span style="font-family: verdana, geneva, sans-serif;"&gt;Cor da tela: Branca ou Preta&lt;/span&gt;&lt;/span&gt;&lt;/p&gt;
&lt;p&gt; &lt;/p&gt;
&lt;p&gt;&lt;span style="font-size:14px;"&gt;&lt;span style="font-family:verdana,geneva,sans-serif;"&gt;&lt;strong&gt;Subwoofer WSW8:&lt;/strong&gt;&lt;/span&gt;&lt;/span&gt;&lt;/p&gt;
&lt;p&gt;&lt;span style="font-size:14px;"&gt;&lt;span style="font-family:verdana,geneva,sans-serif;"&gt;O subwoofer ativo de 8” modelo WA8 da Wave é compacto e cabe muito bem em sistemas home theater de baixa ou média potência. Com 150 watts de potência e resposta de frequência que vai de 40 Hz-180 Hz, este modelo produz graves de impactantes complementando seu sistema de som e proporcionando mais realismo às cenas de um filme ou musicais. Um diferencial é a opção de entrada/saída em nível alto para caixa de som que facilita em alguns modos de instalação.&lt;/span&gt;&lt;/span&gt;&lt;/p&gt;
&lt;p&gt;&lt;span style="font-size:14px;"&gt;&lt;span style="font-family:verdana,geneva,sans-serif;"&gt;Resposta de Frequência: 40 Hz-180 Hz&lt;/span&gt;&lt;/span&gt;&lt;/p&gt;
&lt;p&gt;&lt;span style="font-size:14px;"&gt;&lt;span style="font-family:verdana,geneva,sans-serif;"&gt;Woofer: Ativo 8”&lt;/span&gt;&lt;/span&gt;&lt;/p&gt;
&lt;p&gt;&lt;span style="font-size:14px;"&gt;&lt;span style="font-family:verdana,geneva,sans-serif;"&gt;Potência (RMS): 175watts&lt;/span&gt;&lt;/span&gt;&lt;/p&gt;
&lt;p&gt;&lt;span style="font-size:14px;"&gt;&lt;span style="font-family:verdana,geneva,sans-serif;"&gt;Tensão: 120V&lt;/span&gt;&lt;/span&gt;&lt;/p&gt;
&lt;p&gt;&lt;span style="font-size:14px;"&gt;&lt;span style="font-family:verdana,geneva,sans-serif;"&gt;Ajustes: Volume, Frequência e Fase&lt;/span&gt;&lt;/span&gt;&lt;/p&gt;
&lt;p&gt;&lt;span style="font-size:14px;"&gt;&lt;span style="font-family:verdana,geneva,sans-serif;"&gt;Nível Baixo: RCA estéreo in/out&lt;/span&gt;&lt;/span&gt;&lt;/p&gt;
&lt;p&gt;&lt;span style="font-size:14px;"&gt;&lt;span style="font-family:verdana,geneva,sans-serif;"&gt;Nivel Alto: in/out&lt;/span&gt;&lt;/span&gt;&lt;/p&gt;
&lt;p&gt;&lt;span style="font-size:14px;"&gt;&lt;span style="font-family:verdana,geneva,sans-serif;"&gt;Cor: Preto&lt;/span&gt;&lt;/span&gt;&lt;/p&gt;
&lt;p&gt; &lt;/p&gt;
&lt;p&gt;&lt;span style="font-size:14px;"&gt;&lt;span style="font-family:verdana,geneva,sans-serif;"&gt;&lt;strong&gt;O kit é composto por 03 Caixas WIN120, 02 Caixas WSR120 e 01 Subwoofer WSW8&lt;/strong&gt;&lt;/span&gt;&lt;/span&gt;&lt;/p&gt;
</t>
  </si>
  <si>
    <t>https://cdn.awsli.com.br/948/948321/produto/55800718/811d73d8cc.jpg</t>
  </si>
  <si>
    <t>https://cdn.awsli.com.br/948/948321/produto/55800718/c0aa21411a.jpg</t>
  </si>
  <si>
    <t>https://cdn.awsli.com.br/948/948321/produto/55800718/2178ef2985.jpg</t>
  </si>
  <si>
    <t>https://cdn.awsli.com.br/948/948321/produto/55800718/8b59d95cc6.jpg</t>
  </si>
  <si>
    <t>https://cdn.awsli.com.br/948/948321/produto/55800718/1e6e6c8297.jpg</t>
  </si>
  <si>
    <t>Kit Home Theater 5.0 Wave Sound - 03 WIN150 + 02 WSR150</t>
  </si>
  <si>
    <t xml:space="preserve">&lt;p&gt;&lt;span style="font-size:14px;"&gt;&lt;span style="font-family:verdana,geneva,sans-serif;"&gt;&lt;strong&gt;Kit Home Theater 5.0 Wave Sound - 03 Arandelas WIN150 + 02 Arandelas WSR150 - Brancas&lt;/strong&gt;&lt;/span&gt;&lt;/span&gt;&lt;/p&gt;
&lt;p&gt;&lt;span style="font-size:14px;"&gt;&lt;span style="font-family:verdana,geneva,sans-serif;"&gt;&lt;strong&gt;WIN150 (Frontal) &lt;/strong&gt;&lt;br /&gt;
A caixa de som da linha WIN foi pensada para oferecer a maior qualidade sonora possível como caixas frontais em um sistema de Home Theater de embutir. Ela é levemente inclinada e estrategicamente instalada para que ofereça maior precisão ao irradiar o som até quem estiver sentado no sofá.&lt;/span&gt;&lt;/span&gt;&lt;/p&gt;
&lt;p&gt;&lt;span style="font-size:14px;"&gt;&lt;span style="font-family:verdana,geneva,sans-serif;"&gt;A WIN150 tem woofer em kevlar 6,5” e tweeter em domo de seda, materiais de altíssima qualidade que fazem toda diferença para uma composição harmoniosa desse modelo.&lt;/span&gt;&lt;/span&gt;&lt;/p&gt;
&lt;p&gt;&lt;span style="font-size:14px;"&gt;&lt;span style="font-family:verdana,geneva,sans-serif;"&gt;Por ser embutida em teto de gesso, favorece um projeto arquitetônico clean e moderno, onde os cabos são cuidadosamente instalados de modo que não fiquem visíveis no ambiente. A caixa tem tela em perfil Slim, na opção quadrada ou redonda, o que proporciona um acabamento elegante. &lt;/span&gt;&lt;/span&gt;&lt;/p&gt;
&lt;p&gt;&lt;span style="font-size:14px;"&gt;&lt;span style="font-family:verdana,geneva,sans-serif;"&gt;Resposta de Frequência: 60 Hz-19 KHz&lt;/span&gt;&lt;/span&gt;&lt;/p&gt;
&lt;p&gt;&lt;span style="font-size:14px;"&gt;&lt;span style="font-family:verdana,geneva,sans-serif;"&gt;Potência (RMS): 150 watts&lt;/span&gt;&lt;/span&gt;&lt;/p&gt;
&lt;p&gt;&lt;span style="font-size:14px;"&gt;&lt;span style="font-family:verdana,geneva,sans-serif;"&gt;Impedância: 8 Ohms&lt;/span&gt;&lt;/span&gt;&lt;/p&gt;
&lt;p&gt;&lt;span style="font-size:14px;"&gt;&lt;span style="font-family:verdana,geneva,sans-serif;"&gt;Sensibilidade: 89dB&lt;/span&gt;&lt;/span&gt;&lt;/p&gt;
&lt;p&gt;&lt;span style="font-size:14px;"&gt;&lt;span style="font-family:verdana,geneva,sans-serif;"&gt;Woofer: Kevlar 6,5”&lt;/span&gt;&lt;/span&gt;&lt;/p&gt;
&lt;p&gt;&lt;span style="font-size:14px;"&gt;&lt;span style="font-family:verdana,geneva,sans-serif;"&gt;Tweeter: Domo de seda 1&lt;/span&gt;&lt;/span&gt;&lt;/p&gt;
&lt;p&gt;&lt;span style="font-size:14px;"&gt;&lt;span style="font-family:verdana,geneva,sans-serif;"&gt;&lt;strong&gt;WSR150 (Traseira)&lt;/strong&gt;&lt;br /&gt;
Caixa de som da linha reta foi desenvolvida para oferecer a melhor experiência surround em um sistema de Home Theater de embutir, começando pelos materiais de altíssima qualidade. O Woofer é feito em Kevlar para entregar graves encorpados. Já o tweeter, é feito em domo de seda para garantir agudos precisos. Esse modelo também é indicado para som ambiente.&lt;/span&gt;&lt;/span&gt;&lt;/p&gt;
&lt;p&gt;&lt;span style="font-size:14px;"&gt;&lt;span style="font-family:verdana,geneva,sans-serif;"&gt;Por ser embutida em teto de gesso, favorece um projeto arquitetônico clean e moderno, onde os cabos são cuidadosamente instalados de modo que não fiquem visíveis no ambiente. A caixa tem tela em perfil Slim, na opção quadrada ou redonda, o que proporciona um acabamento elegante. Além disso, as telas estão disponíveis na opção branca ou preta.&lt;/span&gt;&lt;/span&gt;&lt;/p&gt;
&lt;p&gt;&lt;span style="font-size:14px;"&gt;&lt;span style="font-family:verdana,geneva,sans-serif;"&gt;Resposta de Frequência: 60 Hz-20 KHz&lt;/span&gt;&lt;/span&gt;&lt;/p&gt;
&lt;p&gt;&lt;span style="font-size:14px;"&gt;&lt;span style="font-family:verdana,geneva,sans-serif;"&gt;Potência (RMS): 150 watts&lt;/span&gt;&lt;/span&gt;&lt;/p&gt;
&lt;p&gt;&lt;span style="font-size:14px;"&gt;&lt;span style="font-family:verdana,geneva,sans-serif;"&gt;Impedância: 8 Ohms&lt;/span&gt;&lt;/span&gt;&lt;/p&gt;
&lt;p&gt;&lt;span style="font-size:14px;"&gt;&lt;span style="font-family:verdana,geneva,sans-serif;"&gt;Sensibilidade: 89dB&lt;/span&gt;&lt;/span&gt;&lt;/p&gt;
&lt;p&gt;&lt;span style="font-size:14px;"&gt;&lt;span style="font-family:verdana,geneva,sans-serif;"&gt;Woofer: Kevlar 6,5”&lt;/span&gt;&lt;/span&gt;&lt;/p&gt;
&lt;p&gt;&lt;span style="font-size:14px;"&gt;&lt;span style="font-family:verdana,geneva,sans-serif;"&gt;Tweeter: Domo de seda&lt;/span&gt;&lt;/span&gt;&lt;/p&gt;
&lt;p&gt; &lt;/p&gt;
&lt;p&gt;&lt;span style="font-size:14px;"&gt;&lt;span style="font-family:verdana,geneva,sans-serif;"&gt;&lt;strong&gt;O kit é composto por 3 Caixas WIN150 e 2 Caixas WSR150.&lt;/strong&gt;&lt;/span&gt;&lt;/span&gt;&lt;/p&gt;
</t>
  </si>
  <si>
    <t>https://cdn.awsli.com.br/948/948321/produto/55801725/88b664892d.jpg</t>
  </si>
  <si>
    <t>https://cdn.awsli.com.br/948/948321/produto/55801725/0f2a12956d.jpg</t>
  </si>
  <si>
    <t>https://cdn.awsli.com.br/948/948321/produto/55801725/f72f4cd4af.jpg</t>
  </si>
  <si>
    <t>https://cdn.awsli.com.br/948/948321/produto/55801725/d346b8b96a.jpg</t>
  </si>
  <si>
    <t>https://cdn.awsli.com.br/948/948321/produto/55801725/88b2dceefa.jpg</t>
  </si>
  <si>
    <t>Kit Home Theater 5.1 Wave sound - 03 Arandelas WIN150 + 02 Arandelas WSR150 + 01 Subwoofer 8"</t>
  </si>
  <si>
    <t xml:space="preserve">&lt;p&gt;&lt;span style="font-size:16px;"&gt;&lt;span style="font-family:verdana,geneva,sans-serif;"&gt;&lt;strong&gt;Kit Home Theater 5.1 Wave sound - 03 Arandelas WIN150 + 02 Arandelas WSR150 + 01 Subwoofer 8"&lt;/strong&gt;&lt;/span&gt;&lt;/span&gt;&lt;/p&gt;
&lt;p&gt;&lt;span style="font-size:16px;"&gt;&lt;span style="font-family:verdana,geneva,sans-serif;"&gt;&lt;strong&gt;WIN150 (Frontal) &lt;/strong&gt;&lt;br /&gt;
A caixa de som da linha WIN foi pensada para oferecer a maior qualidade sonora possível como caixas frontais em um sistema de Home Theater de embutir. Ela é levemente inclinada e estrategicamente instalada para que ofereça maior precisão ao irradiar o som até quem estiver sentado no sofá.&lt;/span&gt;&lt;/span&gt;&lt;/p&gt;
&lt;p&gt;&lt;span style="font-size:16px;"&gt;&lt;span style="font-family:verdana,geneva,sans-serif;"&gt;A WIN150 tem woofer em kevlar 6,5” e tweeter em domo de seda, materiais de altíssima qualidade que fazem toda diferença para uma composição harmoniosa desse modelo.&lt;/span&gt;&lt;/span&gt;&lt;/p&gt;
&lt;p&gt;&lt;span style="font-size:16px;"&gt;&lt;span style="font-family:verdana,geneva,sans-serif;"&gt;Por ser embutida em teto de gesso, favorece um projeto arquitetônico clean e moderno, onde os cabos são cuidadosamente instalados de modo que não fiquem visíveis no ambiente. A caixa tem tela em perfil Slim, na opção quadrada ou redonda, o que proporciona um acabamento elegante. &lt;/span&gt;&lt;/span&gt;&lt;/p&gt;
&lt;p&gt;&lt;span style="font-size:16px;"&gt;&lt;span style="font-family:verdana,geneva,sans-serif;"&gt;Resposta de Frequência: 60 Hz-19 KHz&lt;/span&gt;&lt;/span&gt;&lt;/p&gt;
&lt;p&gt;&lt;span style="font-size:16px;"&gt;&lt;span style="font-family:verdana,geneva,sans-serif;"&gt;Potência (RMS): 150 watts&lt;/span&gt;&lt;/span&gt;&lt;/p&gt;
&lt;p&gt;&lt;span style="font-size:16px;"&gt;&lt;span style="font-family:verdana,geneva,sans-serif;"&gt;Impedância: 8 Ohms&lt;/span&gt;&lt;/span&gt;&lt;/p&gt;
&lt;p&gt;&lt;span style="font-size:16px;"&gt;&lt;span style="font-family:verdana,geneva,sans-serif;"&gt;Sensibilidade: 89dB&lt;/span&gt;&lt;/span&gt;&lt;/p&gt;
&lt;p&gt;&lt;span style="font-size:16px;"&gt;&lt;span style="font-family:verdana,geneva,sans-serif;"&gt;Woofer: Kevlar 6,5”&lt;/span&gt;&lt;/span&gt;&lt;/p&gt;
&lt;p&gt;&lt;span style="font-size:16px;"&gt;&lt;span style="font-family:verdana,geneva,sans-serif;"&gt;Tweeter: Domo de seda 1&lt;/span&gt;&lt;/span&gt;&lt;/p&gt;
&lt;p&gt; &lt;/p&gt;
&lt;p&gt;&lt;span style="font-size:16px;"&gt;&lt;span style="font-family:verdana,geneva,sans-serif;"&gt;&lt;strong&gt;WSR150 (Traseira)&lt;/strong&gt;&lt;br /&gt;
Caixa de som da linha reta foi desenvolvida para oferecer a melhor experiência surround em um sistema de Home Theater de embutir, começando pelos materiais de altíssima qualidade. O Woofer é feito em Kevlar para entregar graves encorpados. Já o tweeter, é feito em domo de seda para garantir agudos precisos. Esse modelo também é indicado para som ambiente.&lt;/span&gt;&lt;/span&gt;&lt;/p&gt;
&lt;p&gt;&lt;span style="font-size:16px;"&gt;&lt;span style="font-family:verdana,geneva,sans-serif;"&gt;Por ser embutida em teto de gesso, favorece um projeto arquitetônico clean e moderno, onde os cabos são cuidadosamente instalados de modo que não fiquem visíveis no ambiente. A caixa tem tela em perfil Slim, na opção quadrada ou redonda, o que proporciona um acabamento elegante.&lt;/span&gt;&lt;/span&gt;&lt;/p&gt;
&lt;p&gt;&lt;span style="font-size:16px;"&gt;&lt;span style="font-family:verdana,geneva,sans-serif;"&gt;Resposta de Frequência: 60 Hz-20 KHz&lt;/span&gt;&lt;/span&gt;&lt;/p&gt;
&lt;p&gt;&lt;span style="font-size:16px;"&gt;&lt;span style="font-family:verdana,geneva,sans-serif;"&gt;Potência (RMS): 150 watts&lt;/span&gt;&lt;/span&gt;&lt;/p&gt;
&lt;p&gt;&lt;span style="font-size:16px;"&gt;&lt;span style="font-family:verdana,geneva,sans-serif;"&gt;Impedância: 8 Ohms&lt;/span&gt;&lt;/span&gt;&lt;/p&gt;
&lt;p&gt;&lt;span style="font-size:16px;"&gt;&lt;span style="font-family:verdana,geneva,sans-serif;"&gt;Sensibilidade: 89dB&lt;/span&gt;&lt;/span&gt;&lt;/p&gt;
&lt;p&gt;&lt;span style="font-size:16px;"&gt;&lt;span style="font-family:verdana,geneva,sans-serif;"&gt;Woofer: Kevlar 6,5”&lt;/span&gt;&lt;/span&gt;&lt;/p&gt;
&lt;p&gt;&lt;span style="font-size:16px;"&gt;&lt;span style="font-family:verdana,geneva,sans-serif;"&gt;Tweeter: Domo de seda&lt;/span&gt;&lt;/span&gt;&lt;/p&gt;
&lt;p&gt; &lt;/p&gt;
&lt;p&gt;&lt;span style="font-size:16px;"&gt;&lt;span style="font-family:verdana,geneva,sans-serif;"&gt;&lt;strong&gt;Subwoofer WSW8:&lt;/strong&gt;&lt;/span&gt;&lt;/span&gt;&lt;/p&gt;
&lt;p&gt;&lt;span style="font-size:16px;"&gt;&lt;span style="font-family:verdana,geneva,sans-serif;"&gt;O subwoofer ativo de 8” modelo WA8 da Wave é compacto e cabe muito bem em sistemas home theater de baixa ou média potência. Com 150 watts de potência e resposta de frequência que vai de 40 Hz-180 Hz, este modelo produz graves de impactantes complementando seu sistema de som e proporcionando mais realismo às cenas de um filme ou musicais. Um diferencial é a opção de entrada/saída em nível alto para caixa de som que facilita em alguns modos de instalação.&lt;/span&gt;&lt;/span&gt;&lt;/p&gt;
&lt;p&gt;&lt;span style="font-size:16px;"&gt;&lt;span style="font-family:verdana,geneva,sans-serif;"&gt;Resposta de Frequência: 40 Hz-180 Hz&lt;/span&gt;&lt;/span&gt;&lt;/p&gt;
&lt;p&gt;&lt;span style="font-size:16px;"&gt;&lt;span style="font-family:verdana,geneva,sans-serif;"&gt;Woofer: Ativo 8”&lt;/span&gt;&lt;/span&gt;&lt;/p&gt;
&lt;p&gt;&lt;span style="font-size:16px;"&gt;&lt;span style="font-family:verdana,geneva,sans-serif;"&gt;Potência (RMS): 175watts&lt;/span&gt;&lt;/span&gt;&lt;/p&gt;
&lt;p&gt;&lt;span style="font-size:16px;"&gt;&lt;span style="font-family:verdana,geneva,sans-serif;"&gt;Tensão: 120V&lt;/span&gt;&lt;/span&gt;&lt;/p&gt;
&lt;p&gt;&lt;span style="font-size:16px;"&gt;&lt;span style="font-family:verdana,geneva,sans-serif;"&gt;Ajustes: Volume, Frequência e Fase&lt;/span&gt;&lt;/span&gt;&lt;/p&gt;
&lt;p&gt;&lt;span style="font-size:16px;"&gt;&lt;span style="font-family:verdana,geneva,sans-serif;"&gt;Nível Baixo: RCA estéreo in/out&lt;/span&gt;&lt;/span&gt;&lt;/p&gt;
&lt;p&gt;&lt;span style="font-size:16px;"&gt;&lt;span style="font-family:verdana,geneva,sans-serif;"&gt;Nivel Alto: in/out&lt;/span&gt;&lt;/span&gt;&lt;/p&gt;
&lt;p&gt; &lt;/p&gt;
&lt;p&gt;&lt;span style="font-size:16px;"&gt;&lt;span style="font-family:verdana,geneva,sans-serif;"&gt;&lt;strong&gt;O kit é composto por 03 Caixas WIN150, 02 Caixas WSR150 e 01 Subwoofer WSW8&lt;/strong&gt;&lt;/span&gt;&lt;/span&gt;&lt;/p&gt;
</t>
  </si>
  <si>
    <t>https://cdn.awsli.com.br/948/948321/produto/55802158/6c53151782.jpg</t>
  </si>
  <si>
    <t>https://cdn.awsli.com.br/948/948321/produto/55802158/0d1385e3a7.jpg</t>
  </si>
  <si>
    <t>https://cdn.awsli.com.br/948/948321/produto/55802158/8a4f81eb1f.jpg</t>
  </si>
  <si>
    <t>https://cdn.awsli.com.br/948/948321/produto/55802158/82c6f29f64.jpg</t>
  </si>
  <si>
    <t>https://cdn.awsli.com.br/948/948321/produto/55802158/bb8ba5feb1.jpg</t>
  </si>
  <si>
    <t>Kit Home Theater 7.0 Wave Sound - 03 Arandelas WIN150 + 04 Arandelas WSR150</t>
  </si>
  <si>
    <t xml:space="preserve">&lt;p&gt;&lt;span style="font-size:14px;"&gt;&lt;span style="font-family:verdana,geneva,sans-serif;"&gt;&lt;strong&gt;Kit Home Theater 7.0 Wave Sound - 03 Arandelas WIN150 + 04 Arandelas WSR150 - Brancas&lt;/strong&gt;&lt;/span&gt;&lt;/span&gt;&lt;/p&gt;
&lt;p&gt;&lt;span style="font-size:14px;"&gt;&lt;span style="font-family:verdana,geneva,sans-serif;"&gt;&lt;strong&gt;WIN150 (Frontal) &lt;/strong&gt;&lt;br /&gt;
A caixa de som da linha WIN foi pensada para oferecer a maior qualidade sonora possível como caixas frontais em um sistema de Home Theater de embutir. Ela é levemente inclinada e estrategicamente instalada para que ofereça maior precisão ao irradiar o som até quem estiver sentado no sofá.&lt;/span&gt;&lt;/span&gt;&lt;/p&gt;
&lt;p&gt;&lt;span style="font-size:14px;"&gt;&lt;span style="font-family:verdana,geneva,sans-serif;"&gt;A WIN150 tem woofer em kevlar 6,5” e tweeter em domo de seda, materiais de altíssima qualidade que fazem toda diferença para uma composição harmoniosa desse modelo.&lt;/span&gt;&lt;/span&gt;&lt;/p&gt;
&lt;p&gt;&lt;span style="font-size:14px;"&gt;&lt;span style="font-family:verdana,geneva,sans-serif;"&gt;Por ser embutida em teto de gesso, favorece um projeto arquitetônico clean e moderno, onde os cabos são cuidadosamente instalados de modo que não fiquem visíveis no ambiente. A caixa tem tela em perfil Slim, na opção quadrada ou redonda, o que proporciona um acabamento elegante. &lt;/span&gt;&lt;/span&gt;&lt;/p&gt;
&lt;p&gt;&lt;span style="font-size:14px;"&gt;&lt;span style="font-family:verdana,geneva,sans-serif;"&gt;Resposta de Frequência: 60 Hz-19 KHz&lt;/span&gt;&lt;/span&gt;&lt;/p&gt;
&lt;p&gt;&lt;span style="font-size:14px;"&gt;&lt;span style="font-family:verdana,geneva,sans-serif;"&gt;Potência (RMS): 150 watts&lt;/span&gt;&lt;/span&gt;&lt;/p&gt;
&lt;p&gt;&lt;span style="font-size:14px;"&gt;&lt;span style="font-family:verdana,geneva,sans-serif;"&gt;Impedância: 8 Ohms&lt;/span&gt;&lt;/span&gt;&lt;/p&gt;
&lt;p&gt;&lt;span style="font-size:14px;"&gt;&lt;span style="font-family:verdana,geneva,sans-serif;"&gt;Sensibilidade: 89dB&lt;/span&gt;&lt;/span&gt;&lt;/p&gt;
&lt;p&gt;&lt;span style="font-size:14px;"&gt;&lt;span style="font-family:verdana,geneva,sans-serif;"&gt;Woofer: Kevlar 6,5”&lt;/span&gt;&lt;/span&gt;&lt;/p&gt;
&lt;p&gt;&lt;span style="font-size:14px;"&gt;&lt;span style="font-family:verdana,geneva,sans-serif;"&gt;Tweeter: Domo de seda 1&lt;/span&gt;&lt;/span&gt;&lt;/p&gt;
&lt;p&gt; &lt;/p&gt;
&lt;p&gt;&lt;span style="font-size:14px;"&gt;&lt;span style="font-family:verdana,geneva,sans-serif;"&gt;&lt;strong&gt;WSR150 (Traseira)&lt;/strong&gt;&lt;br /&gt;
Caixa de som da linha reta foi desenvolvida para oferecer a melhor experiência surround em um sistema de Home Theater de embutir, começando pelos materiais de altíssima qualidade. O Woofer é feito em Kevlar para entregar graves encorpados. Já o tweeter, é feito em domo de seda para garantir agudos precisos. Esse modelo também é indicado para som ambiente.&lt;/span&gt;&lt;/span&gt;&lt;/p&gt;
&lt;p&gt;&lt;span style="font-size:14px;"&gt;&lt;span style="font-family:verdana,geneva,sans-serif;"&gt;Por ser embutida em teto de gesso, favorece um projeto arquitetônico clean e moderno, onde os cabos são cuidadosamente instalados de modo que não fiquem visíveis no ambiente. A caixa tem tela em perfil Slim, na opção quadrada ou redonda, o que proporciona um acabamento elegante.&lt;/span&gt;&lt;/span&gt;&lt;/p&gt;
&lt;p&gt;&lt;span style="font-size:14px;"&gt;&lt;span style="font-family:verdana,geneva,sans-serif;"&gt;Resposta de Frequência: 60 Hz-20 KHz&lt;/span&gt;&lt;/span&gt;&lt;/p&gt;
&lt;p&gt;&lt;span style="font-size:14px;"&gt;&lt;span style="font-family:verdana,geneva,sans-serif;"&gt;Potência (RMS): 150 watts&lt;/span&gt;&lt;/span&gt;&lt;/p&gt;
&lt;p&gt;&lt;span style="font-size:14px;"&gt;&lt;span style="font-family:verdana,geneva,sans-serif;"&gt;Impedância: 8 Ohms&lt;/span&gt;&lt;/span&gt;&lt;/p&gt;
&lt;p&gt;&lt;span style="font-size:14px;"&gt;&lt;span style="font-family:verdana,geneva,sans-serif;"&gt;Sensibilidade: 89dB&lt;/span&gt;&lt;/span&gt;&lt;/p&gt;
&lt;p&gt;&lt;span style="font-size:14px;"&gt;&lt;span style="font-family:verdana,geneva,sans-serif;"&gt;Woofer: Kevlar 6,5”&lt;/span&gt;&lt;/span&gt;&lt;/p&gt;
&lt;p&gt;&lt;span style="font-size:14px;"&gt;&lt;span style="font-family:verdana,geneva,sans-serif;"&gt;Tweeter: Domo de seda&lt;/span&gt;&lt;/span&gt;&lt;/p&gt;
&lt;p&gt; &lt;/p&gt;
&lt;p&gt;&lt;span style="font-size:14px;"&gt;&lt;span style="font-family:verdana,geneva,sans-serif;"&gt;&lt;strong&gt;O kit é composto por 03 Caixas WIN150 e 02 Caixas WSR150&lt;/strong&gt;&lt;/span&gt;&lt;/span&gt;&lt;/p&gt;
</t>
  </si>
  <si>
    <t>https://cdn.awsli.com.br/948/948321/produto/55830207/9e7d0f3261.jpg</t>
  </si>
  <si>
    <t>https://cdn.awsli.com.br/948/948321/produto/55830207/af90987454.jpg</t>
  </si>
  <si>
    <t>https://cdn.awsli.com.br/948/948321/produto/55830207/43427c9d52.jpg</t>
  </si>
  <si>
    <t>https://cdn.awsli.com.br/948/948321/produto/55830207/3fb4c181d4.jpg</t>
  </si>
  <si>
    <t>https://cdn.awsli.com.br/948/948321/produto/55830207/8ef247eac7.jpg</t>
  </si>
  <si>
    <t>Kit Home Theater 7.0 Wave Sound - 03 Arandelas WIN120 + 04 Arandelas WSR120</t>
  </si>
  <si>
    <t xml:space="preserve">&lt;p&gt;&lt;span style="font-size:16px;"&gt;&lt;span style="font-family:verdana,geneva,sans-serif;"&gt;&lt;strong&gt;Kit Home Theater 7.0 Wave Sound - 03 Arandelas WIN120 + 04 Arandelas WSR120 - Brancas&lt;/strong&gt;&lt;/span&gt;&lt;/span&gt;&lt;/p&gt;
&lt;p&gt;&lt;span style="font-size:16px;"&gt;&lt;span style="font-family:verdana,geneva,sans-serif;"&gt;&lt;strong&gt;WIN120 (Frontais)&lt;/strong&gt;&lt;/span&gt;&lt;/span&gt;&lt;/p&gt;
&lt;p&gt;&lt;span style="font-size:16px;"&gt;&lt;span style="font-family:verdana,geneva,sans-serif;"&gt;A linha WIN foi pensada para oferecer a maior qualidade sonora possível como caixas frontais em um sistema de Home Theater de embutir. Ela é levemente inclinada e estrategicamente instalada para que ofereça maior precisão ao irradiar o som até quem estiver sentado no sofá.&lt;/span&gt;&lt;/span&gt;&lt;/p&gt;
&lt;p&gt;&lt;span style="font-size:16px;"&gt;&lt;span style="font-family:verdana,geneva,sans-serif;"&gt;A WIN120 tem woofer em polipropileno 6,5” e tweeter em mylar, materiais de altíssima qualidade que faz toda diferença para uma composição harmoniosa desse modelo.&lt;/span&gt;&lt;/span&gt;&lt;/p&gt;
&lt;p&gt;&lt;span style="font-size:16px;"&gt;&lt;span style="font-family:verdana,geneva,sans-serif;"&gt;Por ser embutida em teto de gesso, favorece um projeto arquitetônico clean e moderno, onde os cabos são cuidadosamente instalados de modo que não fiquem visíveis no ambiente. A caixa tem tela em perfil Slim, o que proporciona um acabamento elegante.&lt;/span&gt;&lt;/span&gt;&lt;/p&gt;
&lt;p&gt;&lt;span style="font-size:16px;"&gt;&lt;span style="font-family:verdana,geneva,sans-serif;"&gt;Resposta de Frequência: 65 Hz-29 KHz&lt;/span&gt;&lt;/span&gt;&lt;/p&gt;
&lt;p&gt;&lt;span style="font-size:16px;"&gt;&lt;span style="font-family:verdana,geneva,sans-serif;"&gt;Potência (RMS): 120 watts&lt;/span&gt;&lt;/span&gt;&lt;/p&gt;
&lt;p&gt;&lt;span style="font-size:16px;"&gt;&lt;span style="font-family:verdana,geneva,sans-serif;"&gt;Impedância: 8 Ohms&lt;/span&gt;&lt;/span&gt;&lt;/p&gt;
&lt;p&gt;&lt;span style="font-size:16px;"&gt;&lt;span style="font-family:verdana,geneva,sans-serif;"&gt;Sensibilidade: 90dB&lt;/span&gt;&lt;/span&gt;&lt;/p&gt;
&lt;p&gt;&lt;span style="font-size:16px;"&gt;&lt;span style="font-family:verdana,geneva,sans-serif;"&gt;Woofer: Polipropileno 6,5”&lt;/span&gt;&lt;/span&gt;&lt;/p&gt;
&lt;p&gt;&lt;span style="font-size:16px;"&gt;&lt;span style="font-family:verdana,geneva,sans-serif;"&gt;Tweeter: Mylar&lt;/span&gt;&lt;/span&gt;&lt;/p&gt;
&lt;p&gt;&lt;span style="font-family: verdana, geneva, sans-serif; font-size: 16px;"&gt;Cor da tela: Branca ou Preta&lt;/span&gt;&lt;/p&gt;
&lt;p&gt; &lt;/p&gt;
&lt;p&gt;&lt;span style="font-size:16px;"&gt;&lt;span style="font-family:verdana,geneva,sans-serif;"&gt;&lt;strong&gt;WSR120 (Traseiras)&lt;/strong&gt;&lt;/span&gt;&lt;/span&gt;&lt;/p&gt;
&lt;p&gt;&lt;span style="font-size:16px;"&gt;&lt;span style="font-family:verdana,geneva,sans-serif;"&gt;Caixa de som da linha reta foi desenvolvida para oferecer a melhor experiência surround em um sistema de Home Theater de embutir, começando pelos materiais de altíssima qualidade. O Woofer é feito em polipropileno para entregar graves encorpados. Já o tweeter, é feito em domo de Mylar para garantir agudos precisos. Esse modelo também é indicado para som ambiente.&lt;/span&gt;&lt;/span&gt;&lt;/p&gt;
&lt;p&gt;&lt;span style="font-size:16px;"&gt;&lt;span style="font-family:verdana,geneva,sans-serif;"&gt;Por ser embutida em teto de gesso, favorece um projeto arquitetônico clean e moderno, onde os cabos são cuidadosamente instalados de modo que não fiquem visíveis no ambiente. A caixa tem tela em perfil Slim, o que proporciona um acabamento elegante.&lt;/span&gt;&lt;/span&gt;&lt;/p&gt;
&lt;p&gt;&lt;span style="font-size:16px;"&gt;&lt;span style="font-family:verdana,geneva,sans-serif;"&gt;Resposta de Frequência: 65 Hz-19 KHz&lt;/span&gt;&lt;/span&gt;&lt;/p&gt;
&lt;p&gt;&lt;span style="font-size:16px;"&gt;&lt;span style="font-family:verdana,geneva,sans-serif;"&gt;Potência (RMS): 120 watts&lt;/span&gt;&lt;/span&gt;&lt;/p&gt;
&lt;p&gt;&lt;span style="font-size:16px;"&gt;&lt;span style="font-family:verdana,geneva,sans-serif;"&gt;Impedância: 8 Ohms&lt;/span&gt;&lt;/span&gt;&lt;/p&gt;
&lt;p&gt;&lt;span style="font-size:16px;"&gt;&lt;span style="font-family:verdana,geneva,sans-serif;"&gt;Sensibilidade: 90dB&lt;/span&gt;&lt;/span&gt;&lt;/p&gt;
&lt;p&gt;&lt;span style="font-size:16px;"&gt;&lt;span style="font-family:verdana,geneva,sans-serif;"&gt;Woofer: Polipropileno 6,5”&lt;/span&gt;&lt;/span&gt;&lt;/p&gt;
&lt;p&gt;&lt;span style="font-size:16px;"&gt;&lt;span style="font-family:verdana,geneva,sans-serif;"&gt;Tweeter: Domo de Mylar&lt;/span&gt;&lt;/span&gt;&lt;/p&gt;
&lt;p&gt;&lt;span style="font-family: verdana, geneva, sans-serif; font-size: 16px;"&gt;Cor da tela: Branca ou Preta&lt;/span&gt;&lt;/p&gt;
&lt;p&gt; &lt;/p&gt;
&lt;p&gt;&lt;span style="font-size:16px;"&gt;&lt;span style="font-family:verdana,geneva,sans-serif;"&gt;&lt;strong&gt;O kit é composto por 03 Caixas WIN120 e 04 Caixas WSR120.&lt;/strong&gt;&lt;/span&gt;&lt;/span&gt;&lt;/p&gt;
</t>
  </si>
  <si>
    <t>https://cdn.awsli.com.br/948/948321/produto/55830440/12517dc26a.jpg</t>
  </si>
  <si>
    <t>https://cdn.awsli.com.br/948/948321/produto/55830440/5554575dd2.jpg</t>
  </si>
  <si>
    <t>https://cdn.awsli.com.br/948/948321/produto/55830440/ebe28eb0ab.jpg</t>
  </si>
  <si>
    <t>https://cdn.awsli.com.br/948/948321/produto/55830440/39afedffa5.jpg</t>
  </si>
  <si>
    <t>https://cdn.awsli.com.br/948/948321/produto/55830440/3db3de36b8.jpg</t>
  </si>
  <si>
    <t>Kit Home Theater 7.1 Wave sound - 03 Arandelas WIN150 + 04 Arandelas WSR150 + 01 Subwoofer 8"</t>
  </si>
  <si>
    <t xml:space="preserve">&lt;p&gt;&lt;span style="font-size:16px;"&gt;&lt;span style="font-family:verdana,geneva,sans-serif;"&gt;&lt;strong&gt;Kit Home Theater 5.1 Wave sound - 03 Arandelas WIN150 + 02 Arandelas WSR150 + 01 Subwoofer 8"&lt;/strong&gt;&lt;/span&gt;&lt;/span&gt;&lt;/p&gt;
&lt;p&gt;&lt;span style="font-size:16px;"&gt;&lt;span style="font-family:verdana,geneva,sans-serif;"&gt;&lt;strong&gt;WIN150 (Frontal) &lt;/strong&gt;&lt;br /&gt;
A caixa de som da linha WIN foi pensada para oferecer a maior qualidade sonora possível como caixas frontais em um sistema de Home Theater de embutir. Ela é levemente inclinada e estrategicamente instalada para que ofereça maior precisão ao irradiar o som até quem estiver sentado no sofá.&lt;/span&gt;&lt;/span&gt;&lt;/p&gt;
&lt;p&gt;&lt;span style="font-size:16px;"&gt;&lt;span style="font-family:verdana,geneva,sans-serif;"&gt;A WIN150 tem woofer em kevlar 6,5” e tweeter em domo de seda, materiais de altíssima qualidade que fazem toda diferença para uma composição harmoniosa desse modelo.&lt;/span&gt;&lt;/span&gt;&lt;/p&gt;
&lt;p&gt;&lt;span style="font-size:16px;"&gt;&lt;span style="font-family:verdana,geneva,sans-serif;"&gt;Por ser embutida em teto de gesso, favorece um projeto arquitetônico clean e moderno, onde os cabos são cuidadosamente instalados de modo que não fiquem visíveis no ambiente. A caixa tem tela em perfil Slim, na opção quadrada ou redonda, o que proporciona um acabamento elegante. &lt;/span&gt;&lt;/span&gt;&lt;/p&gt;
&lt;p&gt;&lt;span style="font-size:16px;"&gt;&lt;span style="font-family:verdana,geneva,sans-serif;"&gt;Resposta de Frequência: 60 Hz-19 KHz&lt;/span&gt;&lt;/span&gt;&lt;/p&gt;
&lt;p&gt;&lt;span style="font-size:16px;"&gt;&lt;span style="font-family:verdana,geneva,sans-serif;"&gt;Potência (RMS): 150 watts&lt;/span&gt;&lt;/span&gt;&lt;/p&gt;
&lt;p&gt;&lt;span style="font-size:16px;"&gt;&lt;span style="font-family:verdana,geneva,sans-serif;"&gt;Impedância: 8 Ohms&lt;/span&gt;&lt;/span&gt;&lt;/p&gt;
&lt;p&gt;&lt;span style="font-size:16px;"&gt;&lt;span style="font-family:verdana,geneva,sans-serif;"&gt;Sensibilidade: 89dB&lt;/span&gt;&lt;/span&gt;&lt;/p&gt;
&lt;p&gt;&lt;span style="font-size:16px;"&gt;&lt;span style="font-family:verdana,geneva,sans-serif;"&gt;Woofer: Kevlar 6,5”&lt;/span&gt;&lt;/span&gt;&lt;/p&gt;
&lt;p&gt;&lt;span style="font-size:16px;"&gt;&lt;span style="font-family:verdana,geneva,sans-serif;"&gt;Tweeter: Domo de seda 1&lt;/span&gt;&lt;/span&gt;&lt;/p&gt;
&lt;p&gt; &lt;/p&gt;
&lt;p&gt;&lt;span style="font-size:16px;"&gt;&lt;span style="font-family:verdana,geneva,sans-serif;"&gt;&lt;strong&gt;WSR150 (Traseira)&lt;/strong&gt;&lt;br /&gt;
Caixa de som da linha reta foi desenvolvida para oferecer a melhor experiência surround em um sistema de Home Theater de embutir, começando pelos materiais de altíssima qualidade. O Woofer é feito em Kevlar para entregar graves encorpados. Já o tweeter, é feito em domo de seda para garantir agudos precisos. Esse modelo também é indicado para som ambiente.&lt;/span&gt;&lt;/span&gt;&lt;/p&gt;
&lt;p&gt;&lt;span style="font-size:16px;"&gt;&lt;span style="font-family:verdana,geneva,sans-serif;"&gt;Por ser embutida em teto de gesso, favorece um projeto arquitetônico clean e moderno, onde os cabos são cuidadosamente instalados de modo que não fiquem visíveis no ambiente. A caixa tem tela em perfil Slim, na opção quadrada ou redonda, o que proporciona um acabamento elegante.&lt;/span&gt;&lt;/span&gt;&lt;/p&gt;
&lt;p&gt;&lt;span style="font-size:16px;"&gt;&lt;span style="font-family:verdana,geneva,sans-serif;"&gt;Resposta de Frequência: 60 Hz-20 KHz&lt;/span&gt;&lt;/span&gt;&lt;/p&gt;
&lt;p&gt;&lt;span style="font-size:16px;"&gt;&lt;span style="font-family:verdana,geneva,sans-serif;"&gt;Potência (RMS): 150 watts&lt;/span&gt;&lt;/span&gt;&lt;/p&gt;
&lt;p&gt;&lt;span style="font-size:16px;"&gt;&lt;span style="font-family:verdana,geneva,sans-serif;"&gt;Impedância: 8 Ohms&lt;/span&gt;&lt;/span&gt;&lt;/p&gt;
&lt;p&gt;&lt;span style="font-size:16px;"&gt;&lt;span style="font-family:verdana,geneva,sans-serif;"&gt;Sensibilidade: 89dB&lt;/span&gt;&lt;/span&gt;&lt;/p&gt;
&lt;p&gt;&lt;span style="font-size:16px;"&gt;&lt;span style="font-family:verdana,geneva,sans-serif;"&gt;Woofer: Kevlar 6,5”&lt;/span&gt;&lt;/span&gt;&lt;/p&gt;
&lt;p&gt;&lt;span style="font-size:16px;"&gt;&lt;span style="font-family:verdana,geneva,sans-serif;"&gt;Tweeter: Domo de seda&lt;/span&gt;&lt;/span&gt;&lt;/p&gt;
&lt;p&gt; &lt;/p&gt;
&lt;p&gt;&lt;span style="font-size:16px;"&gt;&lt;span style="font-family:verdana,geneva,sans-serif;"&gt;&lt;strong&gt;Subwoofer WSW8:&lt;/strong&gt;&lt;/span&gt;&lt;/span&gt;&lt;/p&gt;
&lt;p&gt;&lt;span style="font-size:16px;"&gt;&lt;span style="font-family:verdana,geneva,sans-serif;"&gt;O subwoofer ativo de 8” modelo WA8 da Wave é compacto e cabe muito bem em sistemas home theater de baixa ou média potência. Com 150 watts de potência e resposta de frequência que vai de 40 Hz-180 Hz, este modelo produz graves de impactantes complementando seu sistema de som e proporcionando mais realismo às cenas de um filme ou musicais. Um diferencial é a opção de entrada/saída em nível alto para caixa de som que facilita em alguns modos de instalação.&lt;/span&gt;&lt;/span&gt;&lt;/p&gt;
&lt;p&gt;&lt;span style="font-size:16px;"&gt;&lt;span style="font-family:verdana,geneva,sans-serif;"&gt;Resposta de Frequência: 40 Hz-180 Hz&lt;/span&gt;&lt;/span&gt;&lt;/p&gt;
&lt;p&gt;&lt;span style="font-size:16px;"&gt;&lt;span style="font-family:verdana,geneva,sans-serif;"&gt;Woofer: Ativo 8”&lt;/span&gt;&lt;/span&gt;&lt;/p&gt;
&lt;p&gt;&lt;span style="font-size:16px;"&gt;&lt;span style="font-family:verdana,geneva,sans-serif;"&gt;Potência (RMS): 175watts&lt;/span&gt;&lt;/span&gt;&lt;/p&gt;
&lt;p&gt;&lt;span style="font-size:16px;"&gt;&lt;span style="font-family:verdana,geneva,sans-serif;"&gt;Tensão: 120V&lt;/span&gt;&lt;/span&gt;&lt;/p&gt;
&lt;p&gt;&lt;span style="font-size:16px;"&gt;&lt;span style="font-family:verdana,geneva,sans-serif;"&gt;Ajustes: Volume, Frequência e Fase&lt;/span&gt;&lt;/span&gt;&lt;/p&gt;
&lt;p&gt;&lt;span style="font-size:16px;"&gt;&lt;span style="font-family:verdana,geneva,sans-serif;"&gt;Nível Baixo: RCA estéreo in/out&lt;/span&gt;&lt;/span&gt;&lt;/p&gt;
&lt;p&gt;&lt;span style="font-size:16px;"&gt;&lt;span style="font-family:verdana,geneva,sans-serif;"&gt;Nivel Alto: in/out&lt;/span&gt;&lt;/span&gt;&lt;/p&gt;
&lt;p&gt; &lt;/p&gt;
&lt;p&gt;&lt;span style="font-size:16px;"&gt;&lt;span style="font-family:verdana,geneva,sans-serif;"&gt;&lt;strong&gt;O kit é composto por 03 Caixas WIN150, 04 Caixas WSR150 e 01 Subwoofer WSW8&lt;/strong&gt;&lt;/span&gt;&lt;/span&gt;&lt;/p&gt;
</t>
  </si>
  <si>
    <t>https://cdn.awsli.com.br/948/948321/produto/55830641/a43a584e0b.jpg</t>
  </si>
  <si>
    <t>https://cdn.awsli.com.br/948/948321/produto/55830641/ab79e52832.jpg</t>
  </si>
  <si>
    <t>https://cdn.awsli.com.br/948/948321/produto/55830641/3fb6c686b6.jpg</t>
  </si>
  <si>
    <t>https://cdn.awsli.com.br/948/948321/produto/55830641/d19475f604.jpg</t>
  </si>
  <si>
    <t>https://cdn.awsli.com.br/948/948321/produto/55830641/4d622544b5.jpg</t>
  </si>
  <si>
    <t>Subwoofer WSW8 - 175w - Wave Sound</t>
  </si>
  <si>
    <t xml:space="preserve">&lt;p&gt;&lt;span style="font-size:16px;"&gt;&lt;span style="font-family:verdana,geneva,sans-serif;"&gt;&lt;strong&gt;Subwoofer 8”&lt;/strong&gt;&lt;/span&gt;&lt;/span&gt;&lt;/p&gt;
&lt;p&gt;&lt;span style="font-size:16px;"&gt;&lt;span style="font-family:verdana,geneva,sans-serif;"&gt;O subwoofer ativo de 8” modelo WA8 da Wave é compacto e cabe muito bem em sistemas home theater de baixa ou média potência. Com 150 watts de potência e resposta de frequência que vai de 40 Hz-180 Hz, este modelo produz graves de impactantes complementando seu sistema de som e proporcionando mais realismo às cenas de um filme ou musicais. Um diferencial é a opção de entrada/saída em nível alto para caixa de som que facilita em alguns modos de instalação. Modelo disponível em preto.&lt;/span&gt;&lt;/span&gt;&lt;/p&gt;
&lt;p&gt;&lt;span style="font-size:16px;"&gt;&lt;span style="font-family:verdana,geneva,sans-serif;"&gt;&lt;strong&gt;Resposta de Frequência:&lt;/strong&gt; 40 Hz-180 Hz&lt;/span&gt;&lt;/span&gt;&lt;/p&gt;
&lt;p&gt;&lt;span style="font-size:16px;"&gt;&lt;span style="font-family:verdana,geneva,sans-serif;"&gt;&lt;strong&gt;Woofer:&lt;/strong&gt; Ativo 8”&lt;/span&gt;&lt;/span&gt;&lt;/p&gt;
&lt;p&gt;&lt;span style="font-size:16px;"&gt;&lt;span style="font-family:verdana,geneva,sans-serif;"&gt;&lt;strong&gt;Potência (RMS):&lt;/strong&gt; 175watts&lt;/span&gt;&lt;/span&gt;&lt;/p&gt;
&lt;p&gt;&lt;span style="font-size:16px;"&gt;&lt;span style="font-family:verdana,geneva,sans-serif;"&gt;&lt;strong&gt;Tensão: &lt;/strong&gt;120V&lt;/span&gt;&lt;/span&gt;&lt;/p&gt;
&lt;p&gt;&lt;span style="font-size:16px;"&gt;&lt;span style="font-family:verdana,geneva,sans-serif;"&gt;&lt;strong&gt;Resposta de Frequência:&lt;/strong&gt; 40 Hz-180 KHz&lt;/span&gt;&lt;/span&gt;&lt;/p&gt;
&lt;p&gt;&lt;span style="font-size:16px;"&gt;&lt;span style="font-family:verdana,geneva,sans-serif;"&gt;&lt;strong&gt;Ajustes:&lt;/strong&gt; Volume, Frequência e Fase&lt;/span&gt;&lt;/span&gt;&lt;/p&gt;
&lt;p&gt;&lt;span style="font-size:16px;"&gt;&lt;span style="font-family:verdana,geneva,sans-serif;"&gt;&lt;strong&gt;Nível Baixo:&lt;/strong&gt; RCA estéreo in/out&lt;/span&gt;&lt;/span&gt;&lt;/p&gt;
&lt;p&gt;&lt;span style="font-size:16px;"&gt;&lt;span style="font-family:verdana,geneva,sans-serif;"&gt;&lt;strong&gt;Nivel Alto:&lt;/strong&gt; in/out&lt;/span&gt;&lt;/span&gt;&lt;/p&gt;
</t>
  </si>
  <si>
    <t>https://cdn.awsli.com.br/948/948321/produto/60170500/1656fd97af.jpg</t>
  </si>
  <si>
    <t>https://cdn.awsli.com.br/948/948321/produto/60170500/be93e335f2.jpg</t>
  </si>
  <si>
    <t>https://cdn.awsli.com.br/948/948321/produto/60170500/b75ebcee0e.jpg</t>
  </si>
  <si>
    <t>https://cdn.awsli.com.br/948/948321/produto/60170500/8f13907bb2.jpg</t>
  </si>
  <si>
    <t>https://cdn.awsli.com.br/948/948321/produto/60170500/e63eff7deb.jpg</t>
  </si>
  <si>
    <t>Projeto executivo em Auto Cad Automação Residencial</t>
  </si>
  <si>
    <t>Projetos de automação residencial cabeada ou sem fio</t>
  </si>
  <si>
    <t>Efetuamos o projeto executivo de automação residencial em Auto cad para automação cabeada ou sem fio, nossos projetos são para qualquer marca da automação residencial que trabalham com esses protocolos.</t>
  </si>
  <si>
    <t xml:space="preserve">&lt;p style="padding:0px; text-align:start; margin-bottom:10px"&gt;&lt;span style="font-size:12px"&gt;&lt;span style="color:#666666"&gt;&lt;span style="font-family:Roboto,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face="Times New Roman, Times, serif"&gt;&lt;font style="margin:0px; padding:0px"&gt;&lt;span style="font-size:16px; padding:0px"&gt;Nossa empresa está a mais de 15 anos desenvolvendo e executando os mais variados projetos de automação residencial, home theater, sonorização, aspiração central e piso aquecido para área residencial ou corpotativa.&lt;/span&gt;&lt;/font&gt;&lt;/font&gt;&lt;/span&gt;&lt;/span&gt;&lt;/span&gt;&lt;/span&gt;&lt;/span&gt;&lt;/span&gt;&lt;/span&gt;&lt;/span&gt;&lt;/span&gt;&lt;/span&gt;&lt;/span&gt;&lt;/p&gt;
&lt;p style="padding:0px; text-align:start; margin-bottom:10px"&gt;&lt;span style="font-size:12px"&gt;&lt;span style="color:#666666"&gt;&lt;span style="font-family:Roboto,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face="Times New Roman, Times, serif"&gt;&lt;font style="margin:0px; padding:0px"&gt;&lt;span style="font-size:16px; padding:0px"&gt;através disso resolvemos ampliar nosso leque possibilitando que mais pessoas possam ter um projeto de qualidade e elaborado por quem entende do assunto.&lt;/span&gt;&lt;/font&gt;&lt;/font&gt;&lt;/span&gt;&lt;/span&gt;&lt;/span&gt;&lt;/span&gt;&lt;/span&gt;&lt;/span&gt;&lt;/span&gt;&lt;/span&gt;&lt;/span&gt;&lt;/span&gt;&lt;/span&gt;&lt;/p&gt;
&lt;p&gt;Elaboramos o projeto executivo de automação residencial seja ela cabeada ou sem fio, com esse projeto em mão é só repassar para o responsavél da obra que o mesmo fará a execução conforme os detalhamentos que constam no projeto.&lt;/p&gt;
&lt;p&gt;Esse projeto é universal e atende as principais automações do mercado cabeada ou sem fio.&lt;/p&gt;
&lt;p&gt;Para compra do projeto basta escolher a metragem quadrada do seu imovel, caso seja maior que as opções disponiveis entre em contato conosco para que possamos criar algo personalizado para você.&lt;/p&gt;
&lt;p&gt;Como funcionará esse projeto, feito a compra você encaminha o projeto em CAD (DWG) para nossa empresa faremos a primeira análise e posteriormente entraremos em contato com você para ver toda sua necessidade de automação.&lt;/p&gt;
</t>
  </si>
  <si>
    <t>https://cdn.awsli.com.br/948/948321/produto/102514858/c667b84c8a.jpg</t>
  </si>
  <si>
    <t>Projeto executivo em Auto Cad Aspiração central</t>
  </si>
  <si>
    <t>Projetos de aspiração central</t>
  </si>
  <si>
    <t>E</t>
  </si>
  <si>
    <t xml:space="preserve">&lt;p&gt;&lt;font face="Times New Roman, serif"&gt;&lt;span style="font-size: 16px;"&gt;Nossa empresa está a mais de 15 anos desenvolvendo e executando os mais variados projetos de automação residencial, home theater, sonorização, aspiração central e piso aquecido para área residencial ou corpotativa.&lt;/span&gt;&lt;/font&gt;&lt;/p&gt;
&lt;p&gt;&lt;font face="Times New Roman, serif"&gt;&lt;span style="font-size: 16px;"&gt;através disso resolvemos ampliar nosso leque possibilitando que mais pessoas possam ter um projeto de qualidade e elaborado por quem entende do assunto.&lt;/span&gt;&lt;/font&gt;&lt;/p&gt;
&lt;p&gt;&lt;strong&gt;&lt;font face="Times New Roman, serif"&gt;&lt;span style="font-size: 16px;"&gt;- O que consta nesse projeto de Aspiração central? &lt;/span&gt;&lt;/font&gt;&lt;/strong&gt;&lt;/p&gt;
&lt;p&gt;&lt;font face="Times New Roman, serif"&gt;&lt;span style="font-size: 16px;"&gt;Nós elaboramos o projeto executivo de aspiração central com todo detalhamento necessário para que o mesmo seja executado pela equipe da obra (pedreiro, eletricista, encanador etc). Nesse projeto consta o quantitativo de materiais (conexões, tubulação, etc).&lt;/span&gt;&lt;/font&gt;&lt;/p&gt;
&lt;p&gt;&lt;strong&gt;&lt;font face="Times New Roman, serif"&gt;&lt;span style="font-size: 16px;"&gt;- Como proceder a compra?&lt;/span&gt;&lt;/font&gt;&lt;/strong&gt;&lt;/p&gt;
&lt;p&gt;&lt;font face="Times New Roman, serif"&gt;&lt;span style="font-size: 16px;"&gt;Escolha a metragem quadrada do seu projeto efetue a compra  em seguida entraremos em contato solicitando o projeto arquitetonico em Cad (DWG).&lt;/span&gt;&lt;/font&gt;&lt;/p&gt;
&lt;p&gt;&lt;font face="Times New Roman, serif"&gt;&lt;span style="font-size: 16px;"&gt;assim que recebermos daremos inicio ao projeto que ficará pronto em média 05 dias úteis, depois que estiver com o projeto em mão basta entregar para o resposável da sua obra para que o mesmo seja executato.&lt;/span&gt;&lt;/font&gt;&lt;/p&gt;
&lt;p&gt;&lt;strong&gt;&lt;font face="Times New Roman, serif"&gt;&lt;span style="font-size: 16px;"&gt;- Depois de adquirido terei algum suporte para execução?&lt;/span&gt;&lt;/font&gt;&lt;/strong&gt;&lt;/p&gt;
&lt;p&gt;&lt;font face="Times New Roman, serif"&gt;&lt;span style="font-size: 16px;"&gt;Sim depois que enviarmos o projeto você terá o direto 03 suporte técnicos, porque 03? porque são as etapas necessarias para conclusão do projeto.&lt;/span&gt;&lt;/font&gt;&lt;/p&gt;
&lt;p&gt;&lt;strong&gt;&lt;font face="Times New Roman, Times, serif"&gt;&lt;span style="font-size:16px"&gt;- Esse projeto serve para qualquer marca de aspiração?&lt;/span&gt;&lt;/font&gt;&lt;/strong&gt;&lt;/p&gt;
&lt;p&gt;Sim, a grande maioria dos equipamentos de aspiração central trabalham com tubulações de 50mm.&lt;/p&gt;
&lt;p&gt;&lt;strong&gt;&lt;font face="Times New Roman, Times, serif"&gt;&lt;span style="font-size:16px"&gt;- Vocês fornecem os materiais, acessórios e equipamentos?&lt;/span&gt;&lt;/font&gt;&lt;/strong&gt;&lt;/p&gt;
&lt;p&gt;Sim, nós temos todas as conexões apropriadas para os sistemas de aspiração assim como as centrais, mangueiras e acessórios.&lt;/p&gt;
</t>
  </si>
  <si>
    <t>https://cdn.awsli.com.br/948/948321/produto/106844052/4c7edf4280.jpg</t>
  </si>
  <si>
    <t>https://cdn.awsli.com.br/948/948321/produto/106844052/d49da6cf58.jpg</t>
  </si>
  <si>
    <t>Kit Som Ambiente 400W Musical AMBIENCE 4000 HAYONIK</t>
  </si>
  <si>
    <t xml:space="preserve">&lt;div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style="font-size:16px;"&gt;O Kit para som ambiente AMBIENCE LINE da Hayonik possibilita sonorizar seu ambiente de forma prática e com grande facilidade.&lt;br style="box-sizing: border-box; font-family: proxima-nova, Arial, Helvetica, sans-serif;" /&gt;
Composto por 1 amplificador COMPACT 400, 4 caixas acústicas MSB406, 2 cabos bicolor de 5m cada e 2 cabos bicolor de 10m cada, sua instalação é simples, prática e rápida.&lt;br style="box-sizing: border-box; font-family: proxima-nova, Arial, Helvetica, sans-serif;" /&gt;
&lt;br style="box-sizing: border-box; font-family: proxima-nova, Arial, Helvetica, sans-serif;" /&gt;
Além da incrível qualidade de som, com 400W de potência musical, o kit ainda conta com uma ampla compatibilidade. Reproduz arquivos através da entrada USB, SD/MMC, via Rádio FM e ainda possui Bluetooth para compartilhar suas músicas favoritas diretamente do seu smartphone em diversas áreas como churrasqueiras, áreas gourmet, salões de festas, escritórios, salas de convenção e academias.&lt;br style="box-sizing: border-box; font-family: proxima-nova, Arial, Helvetica, sans-serif;" /&gt;
&lt;br style="box-sizing: border-box; font-family: proxima-nova, Arial, Helvetica, sans-serif;" /&gt;
Instalação Fácil. Faça Você Mesmo!&lt;br style="box-sizing: border-box; font-family: proxima-nova, Arial, Helvetica, sans-serif;" /&gt;
&lt;br style="box-sizing: border-box; font-family: proxima-nova, Arial, Helvetica, sans-serif;" /&gt;
Muito fácil de ser montado, este kit conta com 3 passos para a instalação, assim evitando precisar contratar um técnico para montagem. Os passos são:&lt;br style="box-sizing: border-box; font-family: proxima-nova, Arial, Helvetica, sans-serif;" /&gt;
&lt;br style="box-sizing: border-box; font-family: proxima-nova, Arial, Helvetica, sans-serif;" /&gt;
1. Conecte o cabo bicolor nas entradas da caixa acústica (ponta vermelha no borne vermelho / ponta preta no borne preto).&lt;br style="box-sizing: border-box; font-family: proxima-nova, Arial, Helvetica, sans-serif;" /&gt;
&lt;br style="box-sizing: border-box; font-family: proxima-nova, Arial, Helvetica, sans-serif;" /&gt;
2. Conecte o cabo bicolor nas saídas do amplificador (ponta vermelha no borne vermelho / ponta preta no borne preto).&lt;br style="box-sizing: border-box; font-family: proxima-nova, Arial, Helvetica, sans-serif;" /&gt;
&lt;br style="box-sizing: border-box; font-family: proxima-nova, Arial, Helvetica, sans-serif;" /&gt;
3. Conecte o cabo de energia na entrada do amplificador e na tomada da rede elétrica.&lt;br style="box-sizing: border-box; font-family: proxima-nova, Arial, Helvetica, sans-serif;" /&gt;
&lt;br style="box-sizing: border-box; font-family: proxima-nova, Arial, Helvetica, sans-serif;" /&gt;
Pronto! Basta ligar o amplificador e desfrutar de suas músicas favoritas.&lt;/span&gt;&lt;/p&gt;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&lt;h3 style="box-sizing: border-box; margin-top: 15px; margin-bottom: 15px; font-weight: 700; line-height: 1.2; font-size: 20px; font-family: proxima-nova, Arial, Helvetica, sans-serif; color: rgb(49, 49, 49);"&gt;&lt;span style="font-size:16px;"&gt;Características&lt;/span&gt;&lt;/h3&gt;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style="font-size:16px;"&gt;Potência: Amplificador: 40W RMS / Caixa: 60W RMS (Cada)&lt;/span&gt;&lt;/p&gt;
&lt;p style="box-sizing: border-box; margin-top: 0px; margin-bottom: 5px; font-family: proxima-nova, Arial, Helvetica, sans-serif; font-size: 14px; color: rgb(49, 49, 49);"&gt;&lt;span style="font-size:16px;"&gt;Impedância: Amplificador: 8 Ohms / Caixa: 8 Ohms (Cada)&lt;/span&gt;&lt;/p&gt;
&lt;p style="box-sizing: border-box; margin-top: 0px; margin-bottom: 5px; font-family: proxima-nova, Arial, Helvetica, sans-serif; font-size: 14px; color: rgb(49, 49, 49);"&gt;&lt;span style="font-size:16px;"&gt;Entradas: Amplificador: USB, Cartão SD/MMC, 2x RCA e Microfone (P10)&lt;/span&gt;&lt;/p&gt;
&lt;p style="box-sizing: border-box; margin-top: 0px; margin-bottom: 5px; font-family: proxima-nova, Arial, Helvetica, sans-serif; font-size: 14px; color: rgb(49, 49, 49);"&gt;&lt;span style="font-size:16px;"&gt;Saídas: Até 4 Caixas&lt;/span&gt;&lt;/p&gt;
&lt;p style="box-sizing: border-box; margin-top: 0px; margin-bottom: 5px; font-family: proxima-nova, Arial, Helvetica, sans-serif; font-size: 14px; color: rgb(49, 49, 49);"&gt;&lt;span style="font-size:16px;"&gt;Dimensões: Amplificador: 190x55x115mm / Caixa: 140x205x125mm (LxAxP) (Cada)&lt;/span&gt;&lt;/p&gt;
&lt;p style="box-sizing: border-box; margin-top: 0px; margin-bottom: 5px; font-family: proxima-nova, Arial, Helvetica, sans-serif; font-size: 14px; color: rgb(49, 49, 49);"&gt;&lt;span style="font-size:16px;"&gt;Alimentação: Bivolt&lt;/span&gt;&lt;/p&gt;
&lt;/div&gt;
</t>
  </si>
  <si>
    <t>https://cdn.awsli.com.br/948/948321/produto/111211862/1183eb9f7d.jpg</t>
  </si>
  <si>
    <t>https://cdn.awsli.com.br/948/948321/produto/111211862/6f66ce0ffa.jpg</t>
  </si>
  <si>
    <t>https://cdn.awsli.com.br/948/948321/produto/111211862/97529809a0.jpg</t>
  </si>
  <si>
    <t>https://cdn.awsli.com.br/948/948321/produto/111211862/ff63101b20.jpg</t>
  </si>
  <si>
    <t>Kit Som Ambiente 200W Musical AMBIENCE 2000 HAYONIK</t>
  </si>
  <si>
    <t xml:space="preserve">&lt;div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style="font-size:16px;"&gt;O Kit para som ambiente AMBIENCE LINE da Hayonik possibilita sonorizar seu ambiente de forma prática e com grande facilidade.&lt;br style="box-sizing: border-box; font-family: proxima-nova, Arial, Helvetica, sans-serif;" /&gt;
Composto por 1 amplificador COMPACT 200, 2 caixas acústicas MSB406 e 2 cabos bicolor de 5m cada, sua instalação é simples, prática e rápida.&lt;br style="box-sizing: border-box; font-family: proxima-nova, Arial, Helvetica, sans-serif;" /&gt;
&lt;br style="box-sizing: border-box; font-family: proxima-nova, Arial, Helvetica, sans-serif;" /&gt;
Além da incrível qualidade de som, com 200W de potência musical, o kit ainda conta com uma ampla compatibilidade. Reproduz arquivos através da entrada USB, SD/MMC, via Rádio FM e ainda possui Bluetooth para compartilhar suas músicas favoritas diretamente do seu smartphone em diversas áreas como churrasqueiras, áreas gourmet, salões de festas, escritórios, salas de convenção e academias.&lt;br style="box-sizing: border-box; font-family: proxima-nova, Arial, Helvetica, sans-serif;" /&gt;
&lt;br style="box-sizing: border-box; font-family: proxima-nova, Arial, Helvetica, sans-serif;" /&gt;
Instalação Fácil. Faça Você Mesmo!&lt;br style="box-sizing: border-box; font-family: proxima-nova, Arial, Helvetica, sans-serif;" /&gt;
&lt;br style="box-sizing: border-box; font-family: proxima-nova, Arial, Helvetica, sans-serif;" /&gt;
Muito fácil de ser montado, este kit conta com 3 passos para a instalação, assim evitando precisar contratar um técnico para montagem. Os passos são:&lt;br style="box-sizing: border-box; font-family: proxima-nova, Arial, Helvetica, sans-serif;" /&gt;
&lt;br style="box-sizing: border-box; font-family: proxima-nova, Arial, Helvetica, sans-serif;" /&gt;
1. Conecte o cabo bicolor nas entradas da caixa acústica (ponta vermelha no borne vermelho / ponta preta no borne preto).&lt;br style="box-sizing: border-box; font-family: proxima-nova, Arial, Helvetica, sans-serif;" /&gt;
&lt;br style="box-sizing: border-box; font-family: proxima-nova, Arial, Helvetica, sans-serif;" /&gt;
2. Conecte o cabo bicolor nas saídas do amplificador (ponta vermelha no borne vermelho / ponta preta no borne preto).&lt;br style="box-sizing: border-box; font-family: proxima-nova, Arial, Helvetica, sans-serif;" /&gt;
&lt;br style="box-sizing: border-box; font-family: proxima-nova, Arial, Helvetica, sans-serif;" /&gt;
3. Conecte o cabo de energia na entrada do amplificador e na tomada da rede elétrica.&lt;br style="box-sizing: border-box; font-family: proxima-nova, Arial, Helvetica, sans-serif;" /&gt;
&lt;br style="box-sizing: border-box; font-family: proxima-nova, Arial, Helvetica, sans-serif;" /&gt;
Pronto! Basta ligar o amplificador e desfrutar de suas músicas favoritas.&lt;/span&gt;&lt;/p&gt;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&lt;h3 style="box-sizing: border-box; margin-top: 15px; margin-bottom: 15px; font-weight: 700; line-height: 1.2; font-size: 20px; font-family: proxima-nova, Arial, Helvetica, sans-serif; color: rgb(49, 49, 49);"&gt;&lt;span style="font-size:16px;"&gt;Características&lt;/span&gt;&lt;/h3&gt;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style="font-size:16px;"&gt;Potência: Amplificador: 20W RMS / Caixa: 60W RMS (Cada)&lt;/span&gt;&lt;/p&gt;
&lt;p style="box-sizing: border-box; margin-top: 0px; margin-bottom: 5px; font-family: proxima-nova, Arial, Helvetica, sans-serif; font-size: 14px; color: rgb(49, 49, 49);"&gt;&lt;span style="font-size:16px;"&gt;Impedância: Amplificador: 8 Ohms / Caixa: 8 Ohms (Cada)&lt;/span&gt;&lt;/p&gt;
&lt;p style="box-sizing: border-box; margin-top: 0px; margin-bottom: 5px; font-family: proxima-nova, Arial, Helvetica, sans-serif; font-size: 14px; color: rgb(49, 49, 49);"&gt;&lt;span style="font-size:16px;"&gt;Entradas: Amplificador: USB, Cartão SD/MMC, 2x RCA e Microfone (P10)&lt;/span&gt;&lt;/p&gt;
&lt;p style="box-sizing: border-box; margin-top: 0px; margin-bottom: 5px; font-family: proxima-nova, Arial, Helvetica, sans-serif; font-size: 14px; color: rgb(49, 49, 49);"&gt;&lt;span style="font-size:16px;"&gt;Saídas: Até 2 Caixas&lt;/span&gt;&lt;/p&gt;
&lt;p style="box-sizing: border-box; margin-top: 0px; margin-bottom: 5px; font-family: proxima-nova, Arial, Helvetica, sans-serif; font-size: 14px; color: rgb(49, 49, 49);"&gt;&lt;span style="font-size:16px;"&gt;Dimensões: Amplificador: 190x55x115mm / Caixa: 140x205x125mm (LxAxP) (Cada)&lt;/span&gt;&lt;/p&gt;
&lt;p style="box-sizing: border-box; margin-top: 0px; margin-bottom: 5px; font-family: proxima-nova, Arial, Helvetica, sans-serif; font-size: 14px; color: rgb(49, 49, 49);"&gt;&lt;span style="font-size:16px;"&gt;Alimentação: Bivolt&lt;/span&gt;&lt;/p&gt;
&lt;/div&gt;
</t>
  </si>
  <si>
    <t>https://cdn.awsli.com.br/948/948321/produto/111212409/ebfaabf0b3.jpg</t>
  </si>
  <si>
    <t>https://cdn.awsli.com.br/948/948321/produto/111212409/00c791aa67.jpg</t>
  </si>
  <si>
    <t>https://cdn.awsli.com.br/948/948321/produto/111212409/4b7d62e8ec.jpg</t>
  </si>
  <si>
    <t>https://cdn.awsli.com.br/948/948321/produto/111212409/66c276dfb1.jpg</t>
  </si>
  <si>
    <t>Kit sonorização para 04 ambientes Hayonik e JBL Amplificador MS4000 e caixas JBL C321</t>
  </si>
  <si>
    <t xml:space="preserve">&lt;div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style="font-size:16px;"&gt;O Kit de sonorização é composto por 08 caixas JBL de 30w cada e um amplificador da hayonik com 04 zonas, possibilitando o controle de volume para 04 ambientes distintos, esse kit pode ser instalado em áreas residenciais ou corporativas e possui um excelente custo benefício.&lt;/span&gt;&lt;/p&gt;
&lt;p style="box-sizing: border-box; margin-top: 0px; margin-bottom: 5px; font-family: proxima-nova, Arial, Helvetica, sans-serif; font-size: 14px; color: rgb(49, 49, 49);"&gt; &lt;/p&gt;
&lt;p style="box-sizing: border-box; margin-top: 0px; margin-bottom: 5px; font-family: proxima-nova, Arial, Helvetica, sans-serif; font-size: 14px; color: rgb(49, 49, 49);"&gt;&lt;strong&gt;ESPECIFICAÇÃO TÉCNICA AMPLIFICADOR&lt;/strong&gt;&lt;/p&gt;
&lt;p style="box-sizing: border-box; margin-top: 0px; margin-bottom: 5px; font-family: proxima-nova, Arial, Helvetica, sans-serif; font-size: 14px; color: rgb(49, 49, 49);"&gt; &lt;/p&gt;
&lt;p style="box-sizing: border-box; margin-top: 0px; margin-bottom: 5px; font-family: proxima-nova, Arial, Helvetica, sans-serif; font-size: 14px; color: rgb(49, 49, 49);"&gt;&lt;span style="font-size:16px;"&gt;O amplificador para ambientes Hayonik MS4000, permite ao usuário controlar individualmente o volume de até 4 setores. Com 400W de potência RMS, é ideal para todos os tipos de ambiente.&lt;br style="box-sizing: border-box; font-family: proxima-nova, Arial, Helvetica, sans-serif;" /&gt;
Possui entrada de microfone, entrada USB para pen-drive, Rádio FM, Conexão Bluetooth, Entrada SD CARD, Entrada para Microfone e duas entradas auxiliares RCA para aparelhos eletrônicos.&lt;br style="box-sizing: border-box; font-family: proxima-nova, Arial, Helvetica, sans-serif;" /&gt;
Possui também a função GONGO ELETRÔNICO, que quando acionado emite um alerta para uma mensagem.&lt;br style="box-sizing: border-box; font-family: proxima-nova, Arial, Helvetica, sans-serif;" /&gt;
Este amplificador permite ainda a expansão para mais canais conforme a necessidade do cliente. Utilizando-se o EMS4000 Hayonik. (produto vendido separadamente).&lt;/span&gt;&lt;br style="box-sizing: border-box; font-family: proxima-nova, Arial, Helvetica, sans-serif;" /&gt;
 &lt;/p&gt;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&lt;h3 style="box-sizing: border-box; margin-top: 15px; margin-bottom: 15px; font-weight: 700; line-height: 1.2; font-size: 20px; font-family: proxima-nova, Arial, Helvetica, sans-serif; color: rgb(49, 49, 49);"&gt;&lt;span style="font-size:16px;"&gt;Características&lt;/span&gt;&lt;/h3&gt;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style="font-size:16px;"&gt;Canais: 4 Canais&lt;/span&gt;&lt;/p&gt;
&lt;p style="box-sizing: border-box; margin-top: 0px; margin-bottom: 5px; font-family: proxima-nova, Arial, Helvetica, sans-serif; font-size: 14px; color: rgb(49, 49, 49);"&gt;&lt;span style="font-size:16px;"&gt;Potência: 100W RMS Por Canal&lt;/span&gt;&lt;/p&gt;
&lt;p style="box-sizing: border-box; margin-top: 0px; margin-bottom: 5px; font-family: proxima-nova, Arial, Helvetica, sans-serif; font-size: 14px; color: rgb(49, 49, 49);"&gt;&lt;span style="font-size:16px;"&gt;Impedância: 4 Ohms&lt;/span&gt;&lt;/p&gt;
&lt;p style="box-sizing: border-box; margin-top: 0px; margin-bottom: 5px; font-family: proxima-nova, Arial, Helvetica, sans-serif; font-size: 14px; color: rgb(49, 49, 49);"&gt;&lt;span style="font-size:16px;"&gt;Entradas: USB, SD Card, Microfone, 2 Entradas Auxiliares (RCA), Entrada de 70V (Borne),&lt;/span&gt;&lt;/p&gt;
&lt;p style="box-sizing: border-box; margin-top: 0px; margin-bottom: 5px; font-family: proxima-nova, Arial, Helvetica, sans-serif; font-size: 14px; color: rgb(49, 49, 49);"&gt;&lt;span style="font-size:16px;"&gt;Saídas: 4 Saídas Amplificadas, Saída de Sinal (P10),&lt;/span&gt;&lt;/p&gt;
&lt;p style="box-sizing: border-box; margin-top: 0px; margin-bottom: 5px; font-family: proxima-nova, Arial, Helvetica, sans-serif; font-size: 14px; color: rgb(49, 49, 49);"&gt;&lt;span style="font-size:16px;"&gt;Dimensões: LxHxP 61x410x237mm&lt;/span&gt;&lt;/p&gt;
&lt;p style="box-sizing: border-box; margin-top: 0px; margin-bottom: 5px; font-family: proxima-nova, Arial, Helvetica, sans-serif; font-size: 14px; color: rgb(49, 49, 49);"&gt;&lt;span style="font-size:16px;"&gt;THD: 0,01%&lt;/span&gt;&lt;/p&gt;
&lt;p style="box-sizing: border-box; margin-top: 0px; margin-bottom: 5px; font-family: proxima-nova, Arial, Helvetica, sans-serif; font-size: 14px; color: rgb(49, 49, 49);"&gt;&lt;span style="font-size:16px;"&gt;Sensibilidade: Microfone/Guitar: 15mV / Linha (MS 400) = 775 mV&lt;/span&gt;&lt;/p&gt;
&lt;p style="box-sizing: border-box; margin-top: 0px; margin-bottom: 5px; font-family: proxima-nova, Arial, Helvetica, sans-serif; font-size: 14px; color: rgb(49, 49, 49);"&gt;&lt;span style="font-size:16px;"&gt;Equalização: Auxiliar: 250mV / Entrada 70V = 70V;&lt;/span&gt;&lt;/p&gt;
&lt;p style="box-sizing: border-box; margin-top: 0px; margin-bottom: 5px; font-family: proxima-nova, Arial, Helvetica, sans-serif; font-size: 14px; color: rgb(49, 49, 49);"&gt;&lt;span style="font-size:16px;"&gt;Alimentação: Bivolt&lt;/span&gt;&lt;/p&gt;
&lt;p style="box-sizing: border-box; margin-top: 0px; margin-bottom: 5px; font-family: proxima-nova, Arial, Helvetica, sans-serif; font-size: 14px; color: rgb(49, 49, 49);"&gt; &lt;/p&gt;
&lt;p style="box-sizing: border-box; margin-top: 0px; margin-bottom: 5px; font-family: proxima-nova, Arial, Helvetica, sans-serif; font-size: 14px; color: rgb(49, 49, 49);"&gt;&lt;strong&gt;ESPECIFICAÇÃO TÉCNICA CAIXA JBL&lt;/strong&gt;&lt;/p&gt;
&lt;p style="box-sizing: border-box; margin-top: 0px; margin-bottom: 5px; font-family: proxima-nova, Arial, Helvetica, sans-serif; font-size: 14px; color: rgb(49, 49, 49);"&gt; &lt;/p&gt;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style="font-size:16px;"&gt;A linha Ambientare vem oferecer uma excelente opção para sonorização de ambientes onde se exija alto desempenho. Possui duas vias em pequenas dimensões, porém com ótimo desempenho acústico.&lt;br style="box-sizing: border-box; font-family: proxima-nova, Arial, Helvetica, sans-serif;" /&gt;
&lt;br style="box-sizing: border-box; font-family: proxima-nova, Arial, Helvetica, sans-serif;" /&gt;
Isto é obtido através de um woofer de 3?" com Cone de Polipropileno e bobina de grande excursão e um Tweeter com diafragma de ?" em PEI que que dá ao Tweeter um alto desempenho. O Woofer é acoplado através de um divisor de freqüências interno, especial para cada modelo, desenvolvidos com componentes de alta fidelidade.&lt;br style="box-sizing: border-box; font-family: proxima-nova, Arial, Helvetica, sans-serif;" /&gt;
&lt;br style="box-sizing: border-box; font-family: proxima-nova, Arial, Helvetica, sans-serif;" /&gt;
A forma do gabinete sem paredes paralelas propicia uma resposta em freqüência plana e suave, além deste design permitir uma ótima integração da caixa com qualquer ambiente.&lt;/span&gt;&lt;/p&gt;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&lt;h3 style="box-sizing: border-box; margin-top: 15px; margin-bottom: 15px; font-weight: 700; line-height: 1.2; font-size: 20px; font-family: proxima-nova, Arial, Helvetica, sans-serif; color: rgb(49, 49, 49);"&gt;&lt;span style="font-size:16px;"&gt;Características&lt;/span&gt;&lt;/h3&gt;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style="font-size:16px;"&gt;Alto Falantes: 1 x Woofer 3"&lt;br style="box-sizing: border-box; font-family: proxima-nova, Arial, Helvetica, sans-serif;" /&gt;
1 x Tweeter 0,75"&lt;/span&gt;&lt;/p&gt;
&lt;p style="box-sizing: border-box; margin-top: 0px; margin-bottom: 5px; font-family: proxima-nova, Arial, Helvetica, sans-serif; font-size: 14px; color: rgb(49, 49, 49);"&gt;&lt;span style="font-size:16px;"&gt;Potência: 30W RMS&lt;/span&gt;&lt;/p&gt;
&lt;p style="box-sizing: border-box; margin-top: 0px; margin-bottom: 5px; font-family: proxima-nova, Arial, Helvetica, sans-serif; font-size: 14px; color: rgb(49, 49, 49);"&gt;&lt;span style="font-size:16px;"&gt;Impedância: 8 Ohms&lt;/span&gt;&lt;/p&gt;
&lt;p style="box-sizing: border-box; margin-top: 0px; margin-bottom: 5px; font-family: proxima-nova, Arial, Helvetica, sans-serif; font-size: 14px; color: rgb(49, 49, 49);"&gt;&lt;span style="font-size:16px;"&gt;Resposta Frequência: 110Hz - 20KHz&lt;/span&gt;&lt;/p&gt;
&lt;p style="box-sizing: border-box; margin-top: 0px; margin-bottom: 5px; font-family: proxima-nova, Arial, Helvetica, sans-serif; font-size: 14px; color: rgb(49, 49, 49);"&gt;&lt;span style="font-size:16px;"&gt;Dimensões: 190x190x120mm (LxAxP)&lt;/span&gt;&lt;/p&gt;
&lt;/div&gt;
&lt;/div&gt;
</t>
  </si>
  <si>
    <t>https://cdn.awsli.com.br/948/948321/produto/111215213/def8586d12.jpg</t>
  </si>
  <si>
    <t>https://cdn.awsli.com.br/948/948321/produto/111215213/6008eec724.jpg</t>
  </si>
  <si>
    <t>https://cdn.awsli.com.br/948/948321/produto/111215213/b93de72ecd.jpg</t>
  </si>
  <si>
    <t>https://cdn.awsli.com.br/948/948321/produto/111215213/5c759cf632.jpg</t>
  </si>
  <si>
    <t>https://cdn.awsli.com.br/948/948321/produto/111215213/339e7ae09c.jpg</t>
  </si>
  <si>
    <t>Par Caixa Acústica Som Ambiente 40W C521B JBL</t>
  </si>
  <si>
    <t xml:space="preserve">&lt;div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style="font-size:16px;"&gt;A Caixa Acústica Som Ambiente 40W C521B JBL faz parte da linha Ambientare da JBL. Ela oferece uma excelente opção para sonorização de ambientes onde se exija alto desempenho. Possui duas vias em pequenas dimensões.&lt;br style="box-sizing: border-box; font-family: proxima-nova, Arial, Helvetica, sans-serif;" /&gt;
&lt;br style="box-sizing: border-box; font-family: proxima-nova, Arial, Helvetica, sans-serif;" /&gt;
Esse alto desempenho é conseguido através de um woofer com cone de polipropileno e bobina de grande excursão e um tweeter com diafragma em PEI, o que dá ao tweeter um alto desempenho. O woofer é acoplado através de um divisor de frequências interno, especial para cada modelo, desenvolvidos com componentes de alta fidelidade.&lt;br style="box-sizing: border-box; font-family: proxima-nova, Arial, Helvetica, sans-serif;" /&gt;
&lt;br style="box-sizing: border-box; font-family: proxima-nova, Arial, Helvetica, sans-serif;" /&gt;
A forma da Caixa Acústica Som Ambiente 40W C521B JBL sem paredes paralelas propicia uma resposta em frequência plena e suave, além deste design permitir uma ótima integração da caixa com qualquer ambiente.&lt;br style="box-sizing: border-box; font-family: proxima-nova, Arial, Helvetica, sans-serif;" /&gt;
&lt;br style="box-sizing: border-box; font-family: proxima-nova, Arial, Helvetica, sans-serif;" /&gt;
São duas excelentes Caixas para Som Ambiente.&lt;/span&gt;&lt;/p&gt;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&lt;h3 style="box-sizing: border-box; margin-top: 15px; margin-bottom: 15px; font-weight: 700; line-height: 1.2; font-size: 20px; font-family: proxima-nova, Arial, Helvetica, sans-serif; color: rgb(49, 49, 49);"&gt;&lt;span style="font-size:16px;"&gt;Características&lt;/span&gt;&lt;/h3&gt;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style="font-size:16px;"&gt;Alto Falantes: 5 1/4" WO cone PP + 1" TW dorno PEI&lt;/span&gt;&lt;/p&gt;
&lt;p style="box-sizing: border-box; margin-top: 0px; margin-bottom: 5px; font-family: proxima-nova, Arial, Helvetica, sans-serif; font-size: 14px; color: rgb(49, 49, 49);"&gt;&lt;span style="font-size:16px;"&gt;Potência: - 40 W RMS;&lt;br style="box-sizing: border-box; font-family: proxima-nova, Arial, Helvetica, sans-serif;" /&gt;
- Programa Musical: 80W.&lt;/span&gt;&lt;/p&gt;
&lt;p style="box-sizing: border-box; margin-top: 0px; margin-bottom: 5px; font-family: proxima-nova, Arial, Helvetica, sans-serif; font-size: 14px; color: rgb(49, 49, 49);"&gt;&lt;span style="font-size:16px;"&gt;Impedância: 8 Ohms&lt;/span&gt;&lt;/p&gt;
&lt;p style="box-sizing: border-box; margin-top: 0px; margin-bottom: 5px; font-family: proxima-nova, Arial, Helvetica, sans-serif; font-size: 14px; color: rgb(49, 49, 49);"&gt;&lt;span style="font-size:16px;"&gt;Resposta Frequência: 95 - 20.000 Hz&lt;/span&gt;&lt;/p&gt;
&lt;p style="box-sizing: border-box; margin-top: 0px; margin-bottom: 5px; font-family: proxima-nova, Arial, Helvetica, sans-serif; font-size: 14px; color: rgb(49, 49, 49);"&gt;&lt;span style="font-size:16px;"&gt;Acabamento: Injetada em Plástico e tela frontal em alumínio, Materia ABS&lt;/span&gt;&lt;/p&gt;
&lt;/div&gt;
</t>
  </si>
  <si>
    <t>https://cdn.awsli.com.br/948/948321/produto/111261221/dcee209d8f.jpg</t>
  </si>
  <si>
    <t>https://cdn.awsli.com.br/948/948321/produto/111261221/d3afd171b3.jpg</t>
  </si>
  <si>
    <t>https://cdn.awsli.com.br/948/948321/produto/111261221/c7c1e27924.jpg</t>
  </si>
  <si>
    <t>https://cdn.awsli.com.br/948/948321/produto/111261221/97c6f34fea.jpg</t>
  </si>
  <si>
    <t>https://cdn.awsli.com.br/948/948321/produto/111261221/f467de19f1.jpg</t>
  </si>
  <si>
    <t>Par de Caixa Acústica Som Ambiente 30W C321P JBL</t>
  </si>
  <si>
    <t xml:space="preserve">&lt;div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style="font-size:16px;"&gt;A linha Ambientare vem oferecer uma excelente opção para sonorização de ambientes onde se exija alto desempenho. Possui duas vias em pequenas dimensões, porém com ótimo desempenho acústico.&lt;br style="box-sizing: border-box; font-family: proxima-nova, Arial, Helvetica, sans-serif;" /&gt;
&lt;br style="box-sizing: border-box; font-family: proxima-nova, Arial, Helvetica, sans-serif;" /&gt;
Isto é obtido através de um woofer de 3?" com Cone de Polipropileno e bobina de grande excursão e um Tweeter com diafragma de ?" em PEI que que dá ao Tweeter um alto desempenho. O Woofer é acoplado através de um divisor de freqüências interno, especial para cada modelo, desenvolvidos com componentes de alta fidelidade.&lt;br style="box-sizing: border-box; font-family: proxima-nova, Arial, Helvetica, sans-serif;" /&gt;
&lt;br style="box-sizing: border-box; font-family: proxima-nova, Arial, Helvetica, sans-serif;" /&gt;
A forma do gabinete sem paredes paralelas propicia uma resposta em freqüência plana e suave, além deste design permitir uma ótima integração da caixa com qualquer ambiente.&lt;/span&gt;&lt;/p&gt;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&lt;h3 style="box-sizing: border-box; margin-top: 15px; margin-bottom: 15px; font-weight: 700; line-height: 1.2; font-size: 20px; font-family: proxima-nova, Arial, Helvetica, sans-serif; color: rgb(49, 49, 49);"&gt;&lt;span style="font-size:16px;"&gt;Características&lt;/span&gt;&lt;/h3&gt;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style="font-size:16px;"&gt;Alto Falantes: 1 x Woofer 3"&lt;br style="box-sizing: border-box; font-family: proxima-nova, Arial, Helvetica, sans-serif;" /&gt;
1 x Tweeter 0,75"&lt;/span&gt;&lt;/p&gt;
&lt;p style="box-sizing: border-box; margin-top: 0px; margin-bottom: 5px; font-family: proxima-nova, Arial, Helvetica, sans-serif; font-size: 14px; color: rgb(49, 49, 49);"&gt;&lt;span style="font-size:16px;"&gt;Potência: 30W RMS&lt;/span&gt;&lt;/p&gt;
&lt;p style="box-sizing: border-box; margin-top: 0px; margin-bottom: 5px; font-family: proxima-nova, Arial, Helvetica, sans-serif; font-size: 14px; color: rgb(49, 49, 49);"&gt;&lt;span style="font-size:16px;"&gt;Impedância: 8 Ohms&lt;/span&gt;&lt;/p&gt;
&lt;p style="box-sizing: border-box; margin-top: 0px; margin-bottom: 5px; font-family: proxima-nova, Arial, Helvetica, sans-serif; font-size: 14px; color: rgb(49, 49, 49);"&gt;&lt;span style="font-size:16px;"&gt;Resposta Frequência: 110Hz - 20KHz&lt;/span&gt;&lt;/p&gt;
&lt;p style="box-sizing: border-box; margin-top: 0px; margin-bottom: 5px; font-family: proxima-nova, Arial, Helvetica, sans-serif; font-size: 14px; color: rgb(49, 49, 49);"&gt;&lt;span style="font-size:16px;"&gt;Dimensões: 190x190x120mm (LxAxP)&lt;/span&gt;&lt;/p&gt;
&lt;/div&gt;
</t>
  </si>
  <si>
    <t>https://cdn.awsli.com.br/948/948321/produto/111261605/7ac05ac09b.jpg</t>
  </si>
  <si>
    <t>https://cdn.awsli.com.br/948/948321/produto/111261605/a539f99809.jpg</t>
  </si>
  <si>
    <t>https://cdn.awsli.com.br/948/948321/produto/111261605/52c4ce7ded.jpg</t>
  </si>
  <si>
    <t>https://cdn.awsli.com.br/948/948321/produto/111261605/573afe083e.jpg</t>
  </si>
  <si>
    <t>Par de Caixa Acústica 60W MSB60N  HAYONIK</t>
  </si>
  <si>
    <t xml:space="preserve">&lt;div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style="font-size:16px;"&gt;Quem gosta de música, vai querer ouvir sua playlist na Caixa Acústica 60W MSB60N. Ela possui um sistema de som de altíssima qualidade com 30W de potência RMS cada caixa, é ultraleve, fácil de transportar.&lt;br style="box-sizing: border-box; font-family: proxima-nova, Arial, Helvetica, sans-serif;" /&gt;
É uma ótima opção para potencializar o som ambiente, podendo ser facilmente instaladas com paredes e colunas e posicionadas de acordo com suas necessidades. Ideal para som de ambientes residenciais e comerciais que prezam por tecnologia, elegância e praticidade.&lt;/span&gt;&lt;/p&gt;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&lt;h3 style="box-sizing: border-box; margin-top: 15px; margin-bottom: 15px; font-weight: 700; line-height: 1.2; font-size: 20px; font-family: proxima-nova, Arial, Helvetica, sans-serif; color: rgb(49, 49, 49);"&gt;&lt;span style="font-size:16px;"&gt;Características&lt;/span&gt;&lt;/h3&gt;
&lt;/div&gt;
&lt;div class="col-12" style="box-sizing: border-box; font-family: proxima-nova, Arial, Helvetica, sans-serif; margin: 0px; padding: 0px; position: relative; width: 1248px; flex: 0 0 100%; max-width: 100%; color: rgb(33, 37, 41); font-size: 16px;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&lt;p style="box-sizing: border-box; margin-top: 0px; margin-bottom: 5px; font-family: proxima-nova, Arial, Helvetica, sans-serif; font-size: 14px; color: rgb(49, 49, 49);"&gt;&lt;span style="font-size:16px;"&gt;Alto Falantes: 1 woofer 4" - 1 tweeter 0,5" Mylar Dome&lt;/span&gt;&lt;/p&gt;
&lt;p style="box-sizing: border-box; margin-top: 0px; margin-bottom: 5px; font-family: proxima-nova, Arial, Helvetica, sans-serif; font-size: 14px; color: rgb(49, 49, 49);"&gt;&lt;span style="font-size:16px;"&gt;Potência: 60W&lt;/span&gt;&lt;/p&gt;
&lt;p style="box-sizing: border-box; margin-top: 0px; margin-bottom: 5px; font-family: proxima-nova, Arial, Helvetica, sans-serif; font-size: 14px; color: rgb(49, 49, 49);"&gt;&lt;span style="font-size:16px;"&gt;Impedância: 8 Ohms&lt;/span&gt;&lt;/p&gt;
&lt;p style="box-sizing: border-box; margin-top: 0px; margin-bottom: 5px; font-family: proxima-nova, Arial, Helvetica, sans-serif; font-size: 14px; color: rgb(49, 49, 49);"&gt;&lt;span style="font-size:16px;"&gt;Resposta Frequência: 100Hz - 18KHz&lt;/span&gt;&lt;/p&gt;
&lt;p style="box-sizing: border-box; margin-top: 0px; margin-bottom: 5px; font-family: proxima-nova, Arial, Helvetica, sans-serif; font-size: 14px; color: rgb(49, 49, 49);"&gt;&lt;span style="font-size:16px;"&gt;Dimensões: 210x139x120mm (AxLxP)&lt;/span&gt;&lt;/p&gt;
&lt;/div&gt;
</t>
  </si>
  <si>
    <t>https://cdn.awsli.com.br/948/948321/produto/111265737/69bc59a683.jpg</t>
  </si>
  <si>
    <t>https://cdn.awsli.com.br/948/948321/produto/111265737/7e62f943c8.jpg</t>
  </si>
  <si>
    <t>https://cdn.awsli.com.br/948/948321/produto/111265737/e305d3fb86.jpg</t>
  </si>
  <si>
    <t>https://cdn.awsli.com.br/948/948321/produto/111265737/ffb6e439d9.jpg</t>
  </si>
  <si>
    <t>https://cdn.awsli.com.br/948/948321/produto/111265737/a97ad7ee87.jpg</t>
  </si>
  <si>
    <t>Kit Mangueira aspiração central com ON/OFF no cabo</t>
  </si>
  <si>
    <t xml:space="preserve">&lt;p&gt;&lt;span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none;"&gt;O Kit mangueira ele é universal, podendo ser utilizado nas principais marcas vendidas no mercado, o kit é composto pelos seguintes itens;&lt;/span&gt;&lt;/p&gt;
&lt;p&gt;&lt;br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Mangueira ON OFF com punho Botão e terminal rotativo&lt;/span&gt;&lt;br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Escova móvel&lt;/span&gt;&lt;br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Escova sofá&lt;/span&gt;&lt;br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Bico de cantos&lt;/span&gt;&lt;br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Suporte para escovas&lt;/span&gt;&lt;br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Escova dupla função&lt;/span&gt;&lt;br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Escova crina com rodas&lt;/span&gt;&lt;br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Tudo telescópico Cromado&lt;/span&gt;&lt;br style="box-sizing: border-box; -webkit-font-smoothing: antialiased; margin: 0px; padding: 0px; 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/&gt;
&lt;span style="color: rgb(102, 102, 102); font-family: &amp;quot;Proxima Nova&amp;quot;, -apple-system, &amp;quot;Helvetica Neue&amp;quot;, Helvetica, Roboto, Arial, sans-serif; font-size: 20px;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none;"&gt;01 Suporte para mangueira&lt;/span&gt;&lt;/p&gt;
</t>
  </si>
  <si>
    <t>https://cdn.awsli.com.br/948/948321/produto/158671985/tmpsemttulo-2808b56f72.jpg</t>
  </si>
  <si>
    <t>SUBWOOFER ATIVO JBL STAGE A100P 10 150W RMS PRETO</t>
  </si>
  <si>
    <t>Descrição - 150 Watts com falante de 10” de alta excursão:possibilita graves profundos e precisos; - Usabilidade altamente flexível, pois pode ser utilizado em vários tipos de instalações, seja em home theaters, projetos corporativos, sonorização</t>
  </si>
  <si>
    <t xml:space="preserve">&lt;div class="titulo-categoria" style="margin-top: 0px !important; margin-right: 0px; margin-bottom: 20px !important; margin-left: 0px; padding: 0px !important; box-sizing: border-box; justify-content: center; position: relative; background-image: none !important; background-position: initial !important; background-size: initial !important; background-repeat: initial !important; background-attachment: initial !important; background-origin: initial !important; background-clip: initial !important; background-color: rgb(249, 249, 249); display: flex !important; font-size: initial !important; color: rgb(32, 31, 31); font-family: &amp;quot;Open Sans&amp;quot;;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initial;"&gt;&lt;strong style="margin: 0px; padding: 0px 20px; box-sizing: border-box; font-weight: 700; font-size: 28px; z-index: 1; line-height: 22px; display: flex; align-items: center; justify-content: center; background-color: rgb(249, 249, 249);"&gt;Descrição&lt;/strong&gt;&lt;/div&gt;
&lt;div class="tab-content" style="margin: 0px; padding: 0px; box-sizing: border-box; overflow: initial; box-shadow: none; border: none; color: rgb(32, 31, 31); font-family: &amp;quot;Open Sans&amp;quot;; font-size: 12px; font-style: normal; font-variant-ligatures: normal; font-variant-caps: normal; font-weight: 400; letter-spacing: normal; orphans: 2; text-align: start; text-indent: 0px; text-transform: none; widows: 2; word-spacing: 0px; -webkit-text-stroke-width: 0px; white-space: normal; background-color: rgb(249, 249, 249); text-decoration-thickness: initial; text-decoration-style: initial; text-decoration-color: initial;"&gt;
&lt;div class="tab-pane active" id="descricao" itemprop="description" style="margin: 0px; padding: 0px; box-sizing: border-box; display: block; text-align: justify; font-size: 15px !important;"&gt;
&lt;p style="margin: 0px 0px 10px; padding: 0px; box-sizing: border-box;"&gt;- 150 Watts com falante de 10” de alta excursão:possibilita graves profundos e precisos; - Usabilidade altamente flexível, pois pode ser utilizado em vários tipos de instalações, seja em home theaters, projetos corporativos, sonorização ambiente entre outras; - Controle individual de volume e corte de crossover;&lt;/p&gt;
&lt;p style="margin: 0px 0px 10px; padding: 0px; box-sizing: border-box;"&gt; &lt;/p&gt;
&lt;h4 style="margin: 10px 0px; padding: 25px 0px 0px; box-sizing: border-box; font-family: inherit; font-weight: bold; line-height: 20px; color: inherit; text-rendering: optimizelegibility; font-size: 17.5px;"&gt;JBL A100: a imersão sonora mais profunda que você terá!&lt;/h4&gt;
&lt;p style="margin: 0px 0px 10px; padding: 0px; box-sizing: border-box;"&gt; &lt;/p&gt;
&lt;p style="margin: 0px 0px 10px; padding: 0px; box-sizing: border-box;"&gt;Se está pensando em comprar subwoofer com pressão sonora suficiente para mexer as paredes da sua casa com uma performance de som inimaginável, então o JBL A100 é o que você precisa! Esse subwoofer ativo de design compacto e minimalista, é capaz de se adaptar a qualquer ambiente, sendo perfeito para você aproveitar cada grave do seu som, sem perder em nada na estética do ambiente!&lt;/p&gt;
&lt;p style="margin: 0px 0px 10px; padding: 0px; box-sizing: border-box;"&gt;O desenvolvimento do subwoofer JBL é feito para uma imersão musical daquelas que você sente o som vibrando no corpo do jeito que você merece para ter uma experiência completa e perfeita de audiófilo.&lt;/p&gt;
&lt;p style="margin: 0px 0px 10px; padding: 0px; box-sizing: border-box;"&gt; &lt;/p&gt;
&lt;h4 style="margin: 10px 0px; padding: 25px 0px 0px; box-sizing: border-box; font-family: inherit; font-weight: bold; line-height: 20px; color: inherit; text-rendering: optimizelegibility; font-size: 17.5px;"&gt;A linha da JBL que pode fazer da sua casa o mais novo Rock in Rio!&lt;/h4&gt;
&lt;p style="margin: 0px 0px 10px; padding: 0px; box-sizing: border-box;"&gt; &lt;/p&gt;
&lt;p style="margin: 0px 0px 10px; padding: 0px; box-sizing: border-box;"&gt;A JBL A100P, faz parte da JBL Stage, uma linha desenvolvida para te proporcionar um sistema de alto-falantes com a tecnologia mais avançada, capaz de transformar o seu home theater em um emocionante palco de show privado, onde você tem a autonomia para escolher o que quiser e na hora que quiser ouvir!&lt;/p&gt;
&lt;p style="margin: 0px 0px 10px; padding: 0px; box-sizing: border-box;"&gt;Além da sua tecnologia incrível, ele conta com um design impecável e compacto, em madeira de duas tonalidades ou Pantone preto, altamente flexível, podendo ser usado em uma ampla diversidade de projetos e decorações de ambientes, como para ambientes corporativos, home theaters, sonorização de ambiente, entre outras, para uma qualidade sonora única.&lt;/p&gt;
&lt;p style="margin: 0px 0px 10px; padding: 0px; box-sizing: border-box;"&gt; &lt;/p&gt;
&lt;h4 style="margin: 10px 0px; padding: 25px 0px 0px; box-sizing: border-box; font-family: inherit; font-weight: bold; line-height: 20px; color: inherit; text-rendering: optimizelegibility; font-size: 17.5px;"&gt;Materiais de alta qualidade para um som impecavelmente preciso&lt;/h4&gt;
&lt;p style="margin: 0px 0px 10px; padding: 0px; box-sizing: border-box;"&gt; &lt;/p&gt;
&lt;p style="margin: 0px 0px 10px; padding: 0px; box-sizing: border-box;"&gt;É um subwoofer JBL que possui um woofer de 10 polegadas de baixa frequência em policelulose, para que os graves mais profundos do seu som sejam reproduzidos com máxima precisão, unido a tweeters de 1 polegada com domo de alumínio acoplado à um waveguide, essa tecnologia melhora a circulação do ar no tweeter, reduzindo o impacto da difração do som e, consequentemente, a distorção geral da sua música favorita. Com essas duas especificações, você já tem a garantia de comprar um tweeter com desempenho impecável e uma fidelidade sonora surreal!&lt;/p&gt;
&lt;p style="margin: 0px 0px 10px; padding: 0px; box-sizing: border-box;"&gt; &lt;/p&gt;
&lt;h4 style="margin: 10px 0px; padding: 25px 0px 0px; box-sizing: border-box; font-family: inherit; font-weight: bold; line-height: 20px; color: inherit; text-rendering: optimizelegibility; font-size: 17.5px;"&gt;Tecnologia em forma de subwoofer para graves excepcionais que te farão sair do chão!&lt;/h4&gt;
&lt;p style="margin: 0px 0px 10px; padding: 0px; box-sizing: border-box;"&gt; &lt;/p&gt;
&lt;p style="margin: 0px 0px 10px; padding: 0px; box-sizing: border-box;"&gt;O subwoofer JBL A100 conta com o sistema Bass Reflex, tecnologia limitante das distorções das frequências baixas quando você quer colocar o seu som no volume máximo, com porta sintonizada por Rear Firing, mais uma tecnologia voltada para evitar a distorção da acústica e da música no seu ambiente. Assim, você pode aproveitar o seu entretenimento no volume que for, que seus graves serão reproduzidos de forma excepcional, a partir dos 35 Hz! Essa resposta de frequência junto com sua potência de 150W RMS, chegando a 300W no seu pico dinâmico e a sua característica bivolt, ou seja, não importa se na sua casa a tensão é 110V ou 220V, traz atributos essenciais e ideais para fazer da sua casa um local exclusivo, único e ideal para quem gosta de apreciar um bom som!&lt;/p&gt;
&lt;p style="margin: 0px 0px 10px; padding: 0px; box-sizing: border-box;"&gt; &lt;/p&gt;
&lt;h4 style="margin: 10px 0px; padding: 25px 0px 0px; box-sizing: border-box; font-family: inherit; font-weight: bold; line-height: 20px; color: inherit; text-rendering: optimizelegibility; font-size: 17.5px;"&gt;Um oceano de ondas de baixa frequência para transmitir a profundidade da música com nitidez máxima!&lt;/h4&gt;
&lt;p style="margin: 0px 0px 10px; padding: 0px; box-sizing: border-box;"&gt; &lt;/p&gt;
&lt;p style="margin: 0px 0px 10px; padding: 0px; box-sizing: border-box;"&gt;Outros atributos extremamente funcionais e necessários, são chave seletora e crossover, esses elementos fazem seu som funcionar melhor, pois são capazes de interligar com outros aparelhos e projetar seu som com ainda mais definição, dividir o sinal no sistema, direcionando-o para cada parte específica do sistema de som, de modo que exista uma profundidade sonora e, consequentemente, aumente sua qualidade. Além da entrada LFE (Low Frequency Effects), que é uma entrada específica para transmitir somente áudios de sons graves. Esse subwoofer JBL é um imenso oceano de ondas sonoras de baixa frequência!&lt;/p&gt;
&lt;p style="margin: 0px 0px 10px; padding: 0px; box-sizing: border-box;"&gt; &lt;/p&gt;
&lt;h4 style="margin: 10px 0px; padding: 25px 0px 0px; box-sizing: border-box; font-family: inherit; font-weight: bold; line-height: 20px; color: inherit; text-rendering: optimizelegibility; font-size: 17.5px;"&gt;JBL A100P: a dose de felicidade diária que você precisa experimentar!&lt;/h4&gt;
&lt;p style="margin: 0px 0px 10px; padding: 0px; box-sizing: border-box;"&gt; &lt;/p&gt;
&lt;p style="margin: 0px 0px 10px; padding: 0px; box-sizing: border-box;"&gt;É o equipamento ideal para quem busca comprar um subwoofer de ponta, capaz de trazer um maior dinamismo e qualidade para o seu entretenimento, além de transformar sua casa em um ambiente que sempre proporcionará uma experiência prazerosa no quesito som. Perfeito para quem curte uma aventura segura, mas que não abre mão de ter emoções e elegância, pois esse subwoofer JBL A100P será o mais novo motivo da sua felicidade diária!&lt;/p&gt;
&lt;p style="margin: 0px 0px 10px; padding: 0px; box-sizing: border-box;"&gt;Lembrando que na SoFast você encontra as melhores marcas por um preço justo, é só ir para o site e escolher o subwoofer que melhor irá complementar a sua experiência auditiva!&lt;/p&gt;
&lt;p style="margin: 0px 0px 10px; padding: 0px; box-sizing: border-box;"&gt;Gostou do nosso produto? Ainda tem dúvidas? Deixe seu comentário, que nós complementamos e te ajudamos a esclarecer!&lt;/p&gt;
&lt;p style="margin: 0px 0px 10px; padding: 0px; box-sizing: border-box;"&gt;&lt;br style="margin: 0px; padding: 0px; box-sizing: border-box;" /&gt;
 &lt;/p&gt;
&lt;div class="titulo-categoria" style="margin-top: 0px !important; margin-right: 0px; margin-bottom: 20px !important; margin-left: 0px; padding: 0px !important; box-sizing: border-box; justify-content: center; position: relative; background: none !important; display: flex !important; font-size: initial !important;"&gt;&lt;strong style="margin: 0px; padding: 0px 20px; box-sizing: border-box; font-weight: 700; font-size: 28px; z-index: 1; line-height: 22px; display: flex; align-items: center; justify-content: center; background-color: rgb(249, 249, 249);"&gt;Características&lt;/strong&gt;&lt;/div&gt;
&lt;table style="margin: 0px; padding: 0px; box-sizing: border-box; max-width: 100%; background-color: transparent; border-collapse: collapse; border-spacing: 0px; width: 1220px;"&gt;
	&lt;tbody style="margin: 0px; padding: 0px; box-sizing: border-box;"&gt;
		&lt;tr class="title-grupo-caracteristica" style="margin: 0px; padding: 8px; box-sizing: border-box; border: none;"&gt;
			&lt;td colspan="2" style="margin: 0px; padding: 8px; box-sizing: border-box; border: none;"&gt;
			&lt;h4 style="margin: 10px 0px; padding: 0px; box-sizing: border-box; font-family: inherit; font-weight: bold; line-height: 20px; color: inherit; text-rendering: optimizelegibility; font-size: 17.5px;"&gt; &lt;/h4&gt;
			&lt;/td&gt;
		&lt;/tr&gt;
		&lt;tr style="margin: 0px; padding: 8px; box-sizing: border-box; border: 1px solid rgb(230, 230, 230);"&gt;
			&lt;td class="title-caracteristica" style="margin: 0px; padding: 8px; box-sizing: border-box; border: 1px solid rgb(230, 230, 230); font-weight: bold; width: 25vw;"&gt;Potência&lt;/td&gt;
			&lt;td class="value-caracteristica" style="margin: 0px; padding: 8px; box-sizing: border-box; border: 1px solid rgb(230, 230, 230);"&gt;150W RMS (300W Pico Dinâmico)&lt;/td&gt;
		&lt;/tr&gt;
		&lt;tr style="margin: 0px; padding: 8px; box-sizing: border-box; border: 1px solid rgb(230, 230, 230);"&gt;
			&lt;td class="title-caracteristica" style="margin: 0px; padding: 8px; box-sizing: border-box; border: 1px solid rgb(230, 230, 230); font-weight: bold; width: 25vw;"&gt;Resposta de Frequência&lt;/td&gt;
			&lt;td class="value-caracteristica" style="margin: 0px; padding: 8px; box-sizing: border-box; border: 1px solid rgb(230, 230, 230);"&gt;35Hz – 150Hz&lt;/td&gt;
		&lt;/tr&gt;
		&lt;tr style="margin: 0px; padding: 8px; box-sizing: border-box; border: 1px solid rgb(230, 230, 230);"&gt;
			&lt;td class="title-caracteristica" style="margin: 0px; padding: 8px; box-sizing: border-box; border: 1px solid rgb(230, 230, 230); font-weight: bold; width: 25vw;"&gt;Crossover&lt;/td&gt;
			&lt;td class="value-caracteristica" style="margin: 0px; padding: 8px; box-sizing: border-box; border: 1px solid rgb(230, 230, 230);"&gt;50Hz – 150Hz (variável) 24dB&lt;/td&gt;
		&lt;/tr&gt;
		&lt;tr style="margin: 0px; padding: 8px; box-sizing: border-box; border: 1px solid rgb(230, 230, 230);"&gt;
			&lt;td class="title-caracteristica" style="margin: 0px; padding: 8px; box-sizing: border-box; border: 1px solid rgb(230, 230, 230); font-weight: bold; width: 25vw;"&gt;Alimentação&lt;/td&gt;
			&lt;td class="value-caracteristica" style="margin: 0px; padding: 8px; box-sizing: border-box; border: 1px solid rgb(230, 230, 230);"&gt;120V, 60Hz (US) 220-230V, 50/60Hz (EU) / com chave seletora&lt;/td&gt;
		&lt;/tr&gt;
		&lt;tr style="margin: 0px; padding: 8px; box-sizing: border-box; border: 1px solid rgb(230, 230, 230);"&gt;
			&lt;td class="title-caracteristica" style="margin: 0px; padding: 8px; box-sizing: border-box; border: 1px solid rgb(230, 230, 230); font-weight: bold; width: 25vw;"&gt;Woofer&lt;/td&gt;
			&lt;td class="value-caracteristica" style="margin: 0px; padding: 8px; box-sizing: border-box; border: 1px solid rgb(230, 230, 230);"&gt;baixa frequência em policelulose de 250 mm (10")&lt;/td&gt;
		&lt;/tr&gt;
		&lt;tr class="title-grupo-caracteristica" style="margin: 0px; padding: 8px; box-sizing: border-box; border: none;"&gt;
			&lt;td colspan="2" style="margin: 0px; padding: 8px; box-sizing: border-box; border: none;"&gt;
			&lt;h4 style="margin: 10px 0px; padding: 0px; box-sizing: border-box; font-family: inherit; font-weight: bold; line-height: 20px; color: inherit; text-rendering: optimizelegibility; font-size: 17.5px;"&gt;Outras Especificações&lt;/h4&gt;
			&lt;/td&gt;
		&lt;/tr&gt;
		&lt;tr style="margin: 0px; padding: 8px; box-sizing: border-box; border: 1px solid rgb(230, 230, 230);"&gt;
			&lt;td class="title-caracteristica" style="margin: 0px; padding: 8px; box-sizing: border-box; border: 1px solid rgb(230, 230, 230); font-weight: bold; width: 25vw;"&gt;Entradas&lt;/td&gt;
			&lt;td class="value-caracteristica" style="margin: 0px; padding: 8px; box-sizing: border-box; border: 1px solid rgb(230, 230, 230);"&gt;1 Entrada LFE de nível de linha&lt;/td&gt;
		&lt;/tr&gt;
		&lt;tr style="margin: 0px; padding: 8px; box-sizing: border-box; border: 1px solid rgb(230, 230, 230);"&gt;
			&lt;td class="title-caracteristica" style="margin: 0px; padding: 8px; box-sizing: border-box; border: 1px solid rgb(230, 230, 230); font-weight: bold; width: 25vw;"&gt;Controles&lt;/td&gt;
			&lt;td class="value-caracteristica" style="margin: 0px; padding: 8px; box-sizing: border-box; border: 1px solid rgb(230, 230, 230);"&gt;Liga/desliga automático, crossover, nível, fase&lt;/td&gt;
		&lt;/tr&gt;
		&lt;tr style="margin: 0px; padding: 8px; box-sizing: border-box; border: 1px solid rgb(230, 230, 230);"&gt;
			&lt;td class="title-caracteristica" style="margin: 0px; padding: 8px; box-sizing: border-box; border: 1px solid rgb(230, 230, 230); font-weight: bold; width: 25vw;"&gt;Tipo de revestimento&lt;/td&gt;
			&lt;td class="value-caracteristica" style="margin: 0px; padding: 8px; box-sizing: border-box; border: 1px solid rgb(230, 230, 230);"&gt;Bass-Reflex por porta com sintonização Rear-Firing&lt;/td&gt;
		&lt;/tr&gt;
		&lt;tr style="margin: 0px; padding: 8px; box-sizing: border-box; border: 1px solid rgb(230, 230, 230);"&gt;
			&lt;td class="title-caracteristica" style="margin: 0px; padding: 8px; box-sizing: border-box; border: 1px solid rgb(230, 230, 230); font-weight: bold; width: 25vw;"&gt;Dimensões (L x P x A)&lt;/td&gt;
			&lt;td class="value-caracteristica" style="margin: 0px; padding: 8px; box-sizing: border-box; border: 1px solid rgb(230, 230, 230);"&gt;335 x 380 x 340 mm&lt;/td&gt;
		&lt;/tr&gt;
		&lt;tr style="margin: 0px; padding: 8px; box-sizing: border-box; border: 1px solid rgb(230, 230, 230);"&gt;
			&lt;td class="title-caracteristica" style="margin: 0px; padding: 8px; box-sizing: border-box; border: 1px solid rgb(230, 230, 230); font-weight: bold; width: 25vw;"&gt;Peso&lt;/td&gt;
			&lt;td class="value-caracteristica" style="margin: 0px; padding: 8px; box-sizing: border-box; border: 1px solid rgb(230, 230, 230);"&gt;13,63 Kg&lt;/td&gt;
		&lt;/tr&gt;
	&lt;/tbody&gt;
&lt;/table&gt;
&lt;/div&gt;
&lt;/div&gt;
&lt;p&gt; &lt;/p&gt;
&lt;p&gt; &lt;/p&gt;
</t>
  </si>
  <si>
    <t>https://cdn.awsli.com.br/948/948321/produto/257656857/14909841268b28b19d5-vzk7wd7ymh.jpg</t>
  </si>
  <si>
    <t>https://cdn.awsli.com.br/948/948321/produto/257656857/jbl_stage_a100p-hero_nogrill_1605x1605px-220mc9wd67.png</t>
  </si>
  <si>
    <t>https://cdn.awsli.com.br/948/948321/produto/257656857/jbl_stage_a100p_back_114813_x1-1605x1605px-erb0ind07n.png</t>
  </si>
  <si>
    <t>Par de caixas Outdoor JBL Stage XD-6</t>
  </si>
  <si>
    <t xml:space="preserve">&lt;p style="margin-bottom:11px"&gt;&lt;span style="font-size:18px;"&gt;&lt;strong&gt;DESCRIÇÃO:&lt;/strong&gt;&lt;/span&gt;&lt;/p&gt;
&lt;p style="margin-bottom:11px"&gt;&lt;span style="font-size:11pt"&gt;&lt;span style="line-height:107%"&gt;&lt;span style="font-family:Calibri,sans-serif"&gt;&lt;span style="font-size:13.5pt"&gt;&lt;span style="line-height:107%"&gt;&lt;span style="font-family:&amp;quot;var(--font-headline)&amp;quot;,serif"&gt;Apresentando um Woofer de cone preenchido com grafite de polipropileno de 6,5" (165 mm) e um tweeter de alumínio de 1" (25 mm) com uma lente acústica e guia de ondas HDI™, o alto-falante para qualquer clima Stage XD-5 é perfeito para um local externo quando a proteção contra intempéries é necessária. um requisito. O design elegante e a flexibilidade de montagem tornam-no igualmente adequado para ambientes internos em uma variedade de aplicações. Elementos, incluindo tweeters de lentes acústicas e geometria de guia de onda patenteada de imagem de alta definição (HDItm) foram&lt;/span&gt;&lt;/span&gt;&lt;/span&gt;&lt;/span&gt;&lt;/span&gt;&lt;/span&gt;&lt;/p&gt;
&lt;p style="margin-bottom:11px"&gt;&lt;span style="font-size:18px;"&gt;&lt;span style="line-height:107%"&gt;&lt;span style="font-family:Calibri,sans-serif"&gt;&lt;span style="line-height:107%"&gt;&lt;span style="font-family:&amp;quot;var(--font-headline)&amp;quot;,serif"&gt;Apresentando um Woofer de cone preenchido com grafite de polipropileno de 6,5" (165 mm) e um tweeter de alumínio de 1" (25 mm) com uma lente acústica e guia de ondas HDI™, o alto-falante para qualquer clima Stage XD-5 é perfeito para um local externo quando a proteção contra intempéries é necessária. um requisito. O design elegante e a flexibilidade de montagem tornam-no igualmente adequado para ambientes internos em uma variedade de aplicações. Elementos, incluindo tweeters de lentes acústicas e geometria de guia de onda patenteada de imagem de alta definição (HDItm) foram incorporados ao design para garantir que o som seja nítido e preciso.&lt;/span&gt;&lt;/span&gt;&lt;/span&gt;&lt;/span&gt;&lt;/span&gt;&lt;/p&gt;
&lt;p style="margin-bottom:11px"&gt;&lt;span style="font-size:18px;"&gt;&lt;strong style="box-sizing: border-box; outline: none; font-weight: 700; color: rgb(120, 120, 120); font-family: &amp;quot;Open Sans&amp;quot;; font-size: 14px;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initial;"&gt;Tipo de Produto&lt;/strong&gt;&lt;br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rgb(120, 120, 120); font-family: &amp;quot;Open Sans&amp;quot;;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!important;"&gt;Alto-falante interno/externo de 2 vias de 6,5″ (165 mm) para todos os climas&lt;/span&gt;&lt;br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&lt;strong style="box-sizing: border-box; outline: none; font-weight: 700; color: rgb(120, 120, 120); font-family: &amp;quot;Open Sans&amp;quot;; font-size: 14px;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initial;"&gt;Classificação à prova de intempéries: &lt;/strong&gt;&lt;span style="color: rgb(120, 120, 120); font-family: &amp;quot;Open Sans&amp;quot;;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!important;"&gt;IP67&lt;/span&gt;&lt;br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&lt;strong style="box-sizing: border-box; outline: none; font-weight: 700; color: rgb(120, 120, 120); font-family: &amp;quot;Open Sans&amp;quot;; font-size: 14px;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initial;"&gt;Transdutor de alta frequência&lt;/strong&gt;&lt;br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rgb(120, 120, 120); font-family: &amp;quot;Open Sans&amp;quot;;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!important;"&gt;Cúpula de alumínio de 1″ (25 mm) com guia de onda de imagem de alta definição (HDI™)&lt;/span&gt;&lt;br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&lt;strong style="box-sizing: border-box; outline: none; font-weight: 700; color: rgb(120, 120, 120); font-family: &amp;quot;Open Sans&amp;quot;; font-size: 14px;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initial;"&gt;Transdutor de baixa frequência&lt;/strong&gt;&lt;br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rgb(120, 120, 120); font-family: &amp;quot;Open Sans&amp;quot;;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!important;"&gt;Woofer de cone de polipropileno de 6,5″ (165 mm)&lt;/span&gt;&lt;br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&lt;strong style="box-sizing: border-box; outline: none; font-weight: 700; color: rgb(120, 120, 120); font-family: &amp;quot;Open Sans&amp;quot;; font-size: 14px;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initial;"&gt;Impedância Nominal&lt;/strong&gt;&lt;br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rgb(120, 120, 120); font-family: &amp;quot;Open Sans&amp;quot;;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!important;"&gt;6 ohms&lt;/span&gt;&lt;br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&lt;strong style="box-sizing: border-box; outline: none; font-weight: 700; color: rgb(120, 120, 120); font-family: &amp;quot;Open Sans&amp;quot;; font-size: 14px;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initial;"&gt;Sensibilidade (2,83V@1m)&lt;/strong&gt;&lt;br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rgb(120, 120, 120); font-family: &amp;quot;Open Sans&amp;quot;;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!important;"&gt;88dB&lt;/span&gt;&lt;br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&lt;strong style="box-sizing: border-box; outline: none; font-weight: 700; color: rgb(120, 120, 120); font-family: &amp;quot;Open Sans&amp;quot;; font-size: 14px;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initial;"&gt;Potência recomendada do amplificador&lt;/strong&gt;&lt;br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rgb(120, 120, 120); font-family: &amp;quot;Open Sans&amp;quot;;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!important;"&gt;20-100W RMS&lt;/span&gt;&lt;br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&lt;strong style="box-sizing: border-box; outline: none; font-weight: 700; color: rgb(120, 120, 120); font-family: &amp;quot;Open Sans&amp;quot;; font-size: 14px;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initial;"&gt;Resposta de frequência (-6dB no eixo)&lt;/strong&gt;&lt;br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rgb(120, 120, 120); font-family: &amp;quot;Open Sans&amp;quot;;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!important;"&gt;55Hz-25kHz&lt;/span&gt;&lt;br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&lt;strong style="box-sizing: border-box; outline: none; font-weight: 700; color: rgb(120, 120, 120); font-family: &amp;quot;Open Sans&amp;quot;; font-size: 14px;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initial;"&gt;Frequencia cruzada&lt;/strong&gt;&lt;br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rgb(120, 120, 120); font-family: &amp;quot;Open Sans&amp;quot;;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!important;"&gt;2.500 mil&lt;/span&gt;&lt;br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&lt;strong style="box-sizing: border-box; outline: none; font-weight: 700; color: rgb(120, 120, 120); font-family: &amp;quot;Open Sans&amp;quot;; font-size: 14px;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initial;"&gt;Temperatura de operação&lt;/strong&gt;&lt;br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rgb(120, 120, 120); font-family: &amp;quot;Open Sans&amp;quot;;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!important;"&gt;-31° F (-35° C) a 167° F (75° C)&lt;/span&gt;&lt;br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&lt;strong style="box-sizing: border-box; outline: none; font-weight: 700; color: rgb(120, 120, 120); font-family: &amp;quot;Open Sans&amp;quot;; font-size: 14px;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initial;"&gt;Dimensões do produto (AxLxP)&lt;/strong&gt;&lt;br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rgb(120, 120, 120); font-family: &amp;quot;Open Sans&amp;quot;;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!important;"&gt;299 mm (11,8 pol.) x 221,8 mm (8,7 pol.) X 194 mm (7,7 pol.)&lt;/span&gt;&lt;/span&gt;&lt;br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&lt;br style="box-sizing: border-box; outline: none; color: rgb(120, 120, 120); font-family: &amp;quot;Open Sans&amp;quot;; font-size: 14px; font-style: normal; font-variant-ligatures: normal; font-variant-caps: normal; font-weight: 500; letter-spacing: normal; orphans: 2; text-align: start; text-indent: 0px; text-transform: none; widows: 2; word-spacing: 0px; -webkit-text-stroke-width: 0px; white-space: normal; background-color: rgb(255, 255, 255); text-decoration-thickness: initial; text-decoration-style: initial; text-decoration-color: initial;" /&gt;
 &lt;/p&gt;
&lt;p style="margin-bottom:11px"&gt; &lt;/p&gt;
&lt;p style="margin-bottom:11px"&gt; &lt;/p&gt;
</t>
  </si>
  <si>
    <t>https://cdn.awsli.com.br/948/948321/produto/257659159/814snevobxl-_ac_uf894-1000_ql80_-7acr1q0cdq.jpg</t>
  </si>
  <si>
    <t>https://cdn.awsli.com.br/948/948321/produto/257659159/images--1--y664zzdogr.jpeg</t>
  </si>
  <si>
    <t>https://cdn.awsli.com.br/948/948321/produto/257659159/41lid7gswsl-_ac_-il9hs59x1e.jpg</t>
  </si>
  <si>
    <t>https://cdn.awsli.com.br/948/948321/produto/257659159/jbl-stage-xd-5-outdoor-speakers-white-4-92ycyxw9e8.jpg</t>
  </si>
  <si>
    <t>Caixa Wave WSR 1508 linha Premium</t>
  </si>
  <si>
    <t>Com a caixa de som da linha reta WSR1508 você terá a melhor experiência surround em um sistema de Home Theater (home cinema) de embutir, começando pelos materiais de altíssima resistência. Garantindo um som puro, como se estivesse na frente do palco</t>
  </si>
  <si>
    <t>&lt;p&gt;&lt;span style="font-size:18px;"&gt;&lt;span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!important;"&gt;CONHEÇA MAIS UM GRANDE LANÇAMENTO DA WAVE ONE:&lt;/span&gt;&lt;br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!important;"&gt;Caixa de Som de Embutir WaveOne WSR1508 de 8 polegadas!&lt;/span&gt;&lt;br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!important;"&gt;Com a caixa de som da linha reta WSR1508 você terá a melhor experiência surround em um sistema de Home Theater (home cinema) de embutir, começando pelos materiais de altíssima resistência. Garantindo um som puro, como se estivesse na frente do palco ou da cena de filme.&lt;/span&gt;&lt;br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!important;"&gt;Com Woofers de 8 polegadas feitos em kevlar e os Tweeters em domo de seda com 150W, ela entrega graves limpos e ainda mais potentes.&lt;/span&gt;&lt;br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!important;"&gt;Com design elegante e discreto ela chega para proporcionar um som ainda mais potente aos seus projetos de áudio. Suas telas de acabamento em perfil slim possuem variação de formato nas opções: quadrada ou redonda e na cor preto ou branco, passando facilmente despercebidas na decoração do seu ambiente.&lt;/span&gt;&lt;br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!important;"&gt;Viva a experiência sonora ao máximo, com WaveOn.&lt;/span&gt;&lt;br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!important;"&gt;CARACTERÍSTICAS:&lt;/span&gt;&lt;br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Woofer feito em kevlar de 8 pol. com graves surpreendentes;&lt;/span&gt;&lt;br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Tweeter pivotante em domo de seda;&lt;/span&gt;&lt;br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Graves limpos e ainda mais potentes;&lt;/span&gt;&lt;br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!important;"&gt;- 150W de potência;&lt;/span&gt;&lt;br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Tela com borda ultra fina;&lt;/span&gt;&lt;br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Desing elegante e discreto;&lt;/span&gt;&lt;br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Materiais de altíssima resistência;&lt;/span&gt;&lt;br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Impedância de 8 Ohms.&lt;/span&gt;&lt;br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!important;"&gt;ESPECIFICAÇÕES TÉCNICAS:&lt;/span&gt;&lt;br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Marca: Wave One&lt;/span&gt;&lt;br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Modelo: WSR1508&lt;/span&gt;&lt;br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Modelo: Reta&lt;/span&gt;&lt;br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Tela: Borda ultra-fina (slim)&lt;/span&gt;&lt;br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Formatos da tela: redondo ou quadrado&lt;/span&gt;&lt;br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Fixada por imã&lt;/span&gt;&lt;br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Acabamento branco ou preto&lt;/span&gt;&lt;br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Resposta de Frequência: 50 Hz-19 KHz&lt;/span&gt;&lt;br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/&gt;
&lt;span style="color: rgb(49, 49, 49); font-family: Roboto;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 Potência (RMS): 150 watts&lt;/span&gt;&lt;br style="margin: 0px; padding: 0px; box-sizing: border-box; color: rgb(49, 49, 49); font-family: Roboto;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t>
  </si>
  <si>
    <t>https://cdn.awsli.com.br/948/948321/produto/257701207/1-nlrma8lb52.jpg</t>
  </si>
  <si>
    <t>https://cdn.awsli.com.br/948/948321/produto/257701207/2-dz6x7rtnvk.jpg</t>
  </si>
  <si>
    <t>https://cdn.awsli.com.br/948/948321/produto/257701207/821-7ohhzb8d3u.jpg</t>
  </si>
  <si>
    <t>CENTRAL DE ASPIRAÇÃO BM 265EA BEAM ELECTROLUX + KIT DE ACESSÓRIOS COM MANGUEIRA STANDARD</t>
  </si>
  <si>
    <t xml:space="preserve">&lt;div class="row-fluid descricao-new" style="margin: 0px 0px 40px; padding: 0px; width: 1140px; color: rgb(102, 102, 102); font-family: Roboto, sans-serif;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&lt;div class="box-descricao" style="margin: 0px; padding: 0px;"&gt;
&lt;div class="span12" style="margin: 0px; padding: 0px; width: 1140px; float: left; min-height: 30px; display: block; box-sizing: border-box;"&gt;
&lt;div class="abas-custom" style="margin: 0px; padding: 0px;"&gt;
&lt;div class="tab-content" style="margin: 0px; padding: 0px; overflow: auto; box-shadow: none;"&gt;
&lt;div class="tab-pane active" id="descricao" itemprop="description" style="margin: 0px; padding: 0px; display: block;"&gt;
&lt;div class="tituloSecao" style="margin: 0px; padding: 0px; box-sizing: border-box; color: rgb(17, 17, 17); font-family: &amp;quot;Open Sans&amp;quot;, sans-serif; font-size: 14px; font-style: normal; font-variant-ligatures: normal; font-variant-caps: normal; font-weight: 400; letter-spacing: normal; orphans: 2; text-align: start; text-indent: 0px; text-transform: none; white-space: normal; widows: 2; word-spacing: 0px; -webkit-text-stroke-width: 0px; background-color: rgb(238, 238, 238); text-decoration-thickness: initial; text-decoration-style: initial; text-decoration-color: initial;"&gt;
&lt;p style="margin: 0px 0px 0.5em; padding: 0px; font-family: Roboto, sans-serif; font-weight: 400; line-height: 1.2; color: rgb(34, 34, 34); text-rendering: optimizelegibility; font-size: 24px; box-sizing: border-box; font-style: normal; text-transform: none;"&gt;&lt;strong&gt;&lt;span style="font-size:14px;"&gt;Descrição&lt;/span&gt;&lt;/strong&gt;&lt;/p&gt;
&lt;/div&gt;
&lt;div style="margin: 0px; padding: 0px; box-sizing: border-box; color: rgb(17, 17, 17); font-family: &amp;quot;Open Sans&amp;quot;, sans-serif; font-size: 14px; font-style: normal; font-variant-ligatures: normal; font-variant-caps: normal; font-weight: 400; letter-spacing: normal; orphans: 2; text-align: start; text-indent: 0px; text-transform: none; white-space: normal; widows: 2; word-spacing: 0px; -webkit-text-stroke-width: 0px; background-color: rgb(238, 238, 238); text-decoration-thickness: initial; text-decoration-style: initial; text-decoration-color: initial;"&gt;
&lt;div class="conteudoSecao" style="margin: 0px 0px 50px; padding: 0px; box-sizing: border-box;"&gt;
&lt;p class="std" style="margin: 0px; padding: 0px; box-sizing: border-box; font-size: 16px; line-height: 1.8em; font-weight: 300;"&gt;&lt;span style="font-size:14px;"&gt;Empresa líder mundial em sistemas de Aspiração Central. A BEAM é uma divisão da Electrolux AB. Presente em diversos países, a BEAM presa pela excelência.&lt;br style="margin: 0px; padding: 0px; box-sizing: border-box;" /&gt;
&lt;br style="margin: 0px; padding: 0px; box-sizing: border-box;" /&gt;
Presente no mercado há décadas, a BEAM oferece a mais completa linha de centrais de aspiração e acessórios, todos projetados e desenvolvidos pela própria empresa. No brasil, está presente desde 1998 e, tem compromisso com a melhoria da qualidade de vida do brasileiro.&lt;br style="margin: 0px; padding: 0px; box-sizing: border-box;" /&gt;
&lt;br style="margin: 0px; padding: 0px; box-sizing: border-box;" /&gt;
O que é? como funciona?&lt;br style="margin: 0px; padding: 0px; box-sizing: border-box;" /&gt;
O sistema BEAM é o pacote completo em Aspiração Central. Faz a limpeza de sua casa, de uma maneira mais fácil, mais saudável, fornecendo uma melhor qualidade de vida, no que tange a limpeza do ar.&lt;br style="margin: 0px; padding: 0px; box-sizing: border-box;" /&gt;
&lt;br style="margin: 0px; padding: 0px; box-sizing: border-box;" /&gt;
Ele consiste numa rede de tubulação de pvc, interligando as tomadas de aspiração à central. Para melhor desempenho do sistema, é necessária a utilização de conexões próprias, seguindo as normas internacionais.&lt;br style="margin: 0px; padding: 0px; box-sizing: border-box;" /&gt;
&lt;br style="margin: 0px; padding: 0px; box-sizing: border-box;" /&gt;
Benefícios / Vantagens&lt;br style="margin: 0px; padding: 0px; box-sizing: border-box;" /&gt;
A central fica em uma área reservada e fixa da casa, eliminando assim a necessidade de locomoção de aspirador. Tem uma potência cinco vezes maior que um aspirador comum e é mais silencioso. Livra de forma eficiente o ambiente de ácaros, não recircula o ar e reduz os sintomas alérgicos, trazendo assim uma maior qualidade de vida a quem o utiliza.&lt;br style="margin: 0px; padding: 0px; box-sizing: border-box;" /&gt;
&lt;br style="margin: 0px; padding: 0px; box-sizing: border-box;" /&gt;
O sistema de Aspiração Central BEAM está equipado com o exclusivo sistema de filtro auto-limpante de filtro do fabricante de tecido Gore-Tex. Assim, o sistema de aspiração central terá sempre o desempenho de limpeza ideal, e não há necessidade de comprar sempre o filtro. O Sistema de Aspiração Central Beam é projetado com materiais de alta qualidade, para garantir durabilidade e longevidade.&lt;br style="margin: 0px; padding: 0px; box-sizing: border-box;" /&gt;
&lt;br style="margin: 0px; padding: 0px; box-sizing: border-box;" /&gt;
O sistema de Aspiração Central retira toda a poeira e sujeira para o balde de coleta de detritos e 98% de ar limpo é lançado da central de aspiração para o exterior. É por isso que temos provas clínicas que o Sistema de Aspiração Central Beam cria um melhor clima interno no ambiente, e é o único que reduz clinicamente os sintomas de alergia.&lt;br style="margin: 0px; padding: 0px; box-sizing: border-box;" /&gt;
&lt;br style="margin: 0px; padding: 0px; box-sizing: border-box;" /&gt;
O sistema BEAM é o pacote completo em Aspiração Central.&lt;br style="margin: 0px; padding: 0px; box-sizing: border-box;" /&gt;
Faz a limpeza de sua casa, de uma maneira mais fácil, mais saudável, fornecendo uma melhor qualidade de vida, no que tange a limpeza do ar.&lt;br style="margin: 0px; padding: 0px; box-sizing: border-box;" /&gt;
Tamanho compacto.&lt;br style="margin: 0px; padding: 0px; box-sizing: border-box;" /&gt;
Grande potencial de aspiração.&lt;br style="margin: 0px; padding: 0px; box-sizing: border-box;" /&gt;
Economia e eficiência.&lt;br style="margin: 0px; padding: 0px; box-sizing: border-box;" /&gt;
Qualidade BEAM Electrolux.&lt;br style="margin: 0px; padding: 0px; box-sizing: border-box;" /&gt;
&lt;br style="margin: 0px; padding: 0px; box-sizing: border-box;" /&gt;
&lt;br style="margin: 0px; padding: 0px; box-sizing: border-box;" /&gt;
Características&lt;br style="margin: 0px; padding: 0px; box-sizing: border-box;" /&gt;
Airwatts (Unidade de Força): 605&lt;br style="margin: 0px; padding: 0px; box-sizing: border-box;" /&gt;
Area aconselhável: (m²); 700&lt;br style="margin: 0px; padding: 0px; box-sizing: border-box;" /&gt;
&lt;strong style="margin: 0px; padding: 0px; font-weight: bold;"&gt;Filtro Descartável.&lt;/strong&gt;&lt;br style="margin: 0px; padding: 0px; box-sizing: border-box;" /&gt;
Capacidade do filtro: 21 litros.&lt;br style="margin: 0px; padding: 0px; box-sizing: border-box;" /&gt;
Ruído: 80 DBA.&lt;br style="margin: 0px; padding: 0px; box-sizing: border-box;" /&gt;
Dimensões: 63 cm de altura por 28 cm de diâmetro.&lt;br style="margin: 0px; padding: 0px; box-sizing: border-box;" /&gt;
Garantia: 5 anos contra defeitos de fabricação.&lt;br style="margin: 0px; padding: 0px; box-sizing: border-box;" /&gt;
&lt;br style="margin: 0px; padding: 0px; box-sizing: border-box;" /&gt;
&lt;strong&gt;Instalação e acessórios não incluso, consulte-nos&lt;/strong&gt;&lt;/span&gt;&lt;/p&gt;
&lt;/div&gt;
&lt;/div&gt;
&lt;/div&gt;
&lt;/div&gt;
&lt;/div&gt;
&lt;/div&gt;
&lt;/div&gt;
&lt;/div&gt;
</t>
  </si>
  <si>
    <t>https://cdn.awsli.com.br/948/948321/produto/301796992/265ea-kit-standard-hb52dd0u9i.PNG</t>
  </si>
  <si>
    <t>https://cdn.awsli.com.br/948/948321/produto/301796992/bm265ea-yn7yibgzky.PNG</t>
  </si>
  <si>
    <t>CENTRAL DE ASPIRAÇÃO BM 285EA BEAM ELECTROLUX + Kit DE ACESSÓRIOS COM MANGUEIRA ON/OFF</t>
  </si>
  <si>
    <t xml:space="preserve">&lt;div class="tituloSecao" style="margin: 0px; padding: 0px;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box-sizing: border-box; color: rgb(17, 17, 17); font-family: &amp;quot;Open Sans&amp;quot;, sans-serif; font-size: 14px; background-color: rgb(238, 238, 238);"&gt;
&lt;p style="margin: 0px 0px 0.5em; padding: 0px; font-family: Roboto, sans-serif; font-weight: 400; line-height: 1.2; color: rgb(34, 34, 34); text-rendering: optimizelegibility; font-size: 24px; box-sizing: border-box; font-style: normal; text-transform: none;"&gt;&lt;strong&gt;&lt;span style="font-size:14px;"&gt;Descrição&lt;/span&gt;&lt;/strong&gt;&lt;/p&gt;
&lt;/div&gt;
&lt;div style="margin: 0px; padding: 0px;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box-sizing: border-box; color: rgb(17, 17, 17); font-family: &amp;quot;Open Sans&amp;quot;, sans-serif; font-size: 14px; background-color: rgb(238, 238, 238);"&gt;
&lt;div class="conteudoSecao" style="margin: 0px 0px 50px; padding: 0px; box-sizing: border-box;"&gt;
&lt;p class="std" style="margin: 0px; padding: 0px; box-sizing: border-box; font-size: 16px; line-height: 1.8em; font-weight: 300;"&gt;&lt;span style="font-size:14px;"&gt;Empresa líder mundial em sistemas de Aspiração Central. A BEAM é uma divisão da Electrolux AB. Presente em diversos países, a BEAM presa pela excelência.&lt;br style="margin: 0px; padding: 0px; box-sizing: border-box;" /&gt;
&lt;br style="margin: 0px; padding: 0px; box-sizing: border-box;" /&gt;
Presente no mercado há décadas, a BEAM oferece a mais completa linha de centrais de aspiração e acessórios, todos projetados e desenvolvidos pela própria empresa. No brasil, está presente desde 1998 e, tem compromisso com a melhoria da qualidade de vida do brasileiro.&lt;br style="margin: 0px; padding: 0px; box-sizing: border-box;" /&gt;
&lt;br style="margin: 0px; padding: 0px; box-sizing: border-box;" /&gt;
O que é? como funciona?&lt;br style="margin: 0px; padding: 0px; box-sizing: border-box;" /&gt;
O sistema BEAM é o pacote completo em Aspiração Central. Faz a limpeza de sua casa, de uma maneira mais fácil, mais saudável, fornecendo uma melhor qualidade de vida, no que tange a limpeza do ar.&lt;br style="margin: 0px; padding: 0px; box-sizing: border-box;" /&gt;
&lt;br style="margin: 0px; padding: 0px; box-sizing: border-box;" /&gt;
Ele consiste numa rede de tubulação de pvc, interligando as tomadas de aspiração à central. Para melhor desempenho do sistema, é necessária a utilização de conexões próprias, seguindo as normas internacionais.&lt;br style="margin: 0px; padding: 0px; box-sizing: border-box;" /&gt;
&lt;br style="margin: 0px; padding: 0px; box-sizing: border-box;" /&gt;
Benefícios / Vantagens&lt;br style="margin: 0px; padding: 0px; box-sizing: border-box;" /&gt;
A central fica em uma área reservada e fixa da casa, eliminando assim a necessidade de locomoção de aspirador. Tem uma potência cinco vezes maior que um aspirador comum e é mais silencioso. Livra de forma eficiente o ambiente de ácaros, não recircula o ar e reduz os sintomas alérgicos, trazendo assim uma maior qualidade de vida a quem o utiliza.&lt;br style="margin: 0px; padding: 0px; box-sizing: border-box;" /&gt;
&lt;br style="margin: 0px; padding: 0px; box-sizing: border-box;" /&gt;
O sistema de Aspiração Central BEAM está equipado com o exclusivo sistema de filtro auto-limpante de filtro do fabricante de tecido Gore-Tex. Assim, o sistema de aspiração central terá sempre o desempenho de limpeza ideal, e não há necessidade de comprar sempre o filtro. O Sistema de Aspiração Central Beam é projetado com materiais de alta qualidade, para garantir durabilidade e longevidade.&lt;br style="margin: 0px; padding: 0px; box-sizing: border-box;" /&gt;
&lt;br style="margin: 0px; padding: 0px; box-sizing: border-box;" /&gt;
O sistema de Aspiração Central retira toda a poeira e sujeira para o balde de coleta de detritos e 98% de ar limpo é lançado da central de aspiração para o exterior. É por isso que temos provas clínicas que o Sistema de Aspiração Central Beam cria um melhor clima interno no ambiente, e é o único que reduz clinicamente os sintomas de alergia.&lt;br style="margin: 0px; padding: 0px; box-sizing: border-box;" /&gt;
&lt;br style="margin: 0px; padding: 0px; box-sizing: border-box;" /&gt;
O sistema BEAM é o pacote completo em Aspiração Central.&lt;br style="margin: 0px; padding: 0px; box-sizing: border-box;" /&gt;
Faz a limpeza de sua casa, de uma maneira mais fácil, mais saudável, fornecendo uma melhor qualidade de vida, no que tange a limpeza do ar.&lt;br style="margin: 0px; padding: 0px; box-sizing: border-box;" /&gt;
Tamanho compacto.&lt;br style="margin: 0px; padding: 0px; box-sizing: border-box;" /&gt;
Grande potencial de aspiração.&lt;br style="margin: 0px; padding: 0px; box-sizing: border-box;" /&gt;
Economia e eficiência.&lt;br style="margin: 0px; padding: 0px; box-sizing: border-box;" /&gt;
Qualidade BEAM Electrolux.&lt;br style="margin: 0px; padding: 0px; box-sizing: border-box;" /&gt;
&lt;br style="margin: 0px; padding: 0px; box-sizing: border-box;" /&gt;
&lt;br style="margin: 0px; padding: 0px; box-sizing: border-box;" /&gt;
Características&lt;br style="margin: 0px; padding: 0px; box-sizing: border-box;" /&gt;
Airwatts (Unidade de Força): 605&lt;br style="margin: 0px; padding: 0px; box-sizing: border-box;" /&gt;
Area aconselhável: (m²); 700&lt;br style="margin: 0px; padding: 0px; box-sizing: border-box;" /&gt;
&lt;strong style="margin: 0px; padding: 0px; font-weight: bold;"&gt;Filtro Auto Limpante.&lt;/strong&gt;&lt;br style="margin: 0px; padding: 0px; box-sizing: border-box;" /&gt;
Capacidade do filtro: 21 litros.&lt;br style="margin: 0px; padding: 0px; box-sizing: border-box;" /&gt;
Ruído: 80 DBA.&lt;br style="margin: 0px; padding: 0px; box-sizing: border-box;" /&gt;
Dimensões: 92 cm de altura por 28 cm de diâmetro.&lt;br style="margin: 0px; padding: 0px; box-sizing: border-box;" /&gt;
Garantia: 5 anos contra defeitos de fabricação.&lt;br style="margin: 0px; padding: 0px; box-sizing: border-box;" /&gt;
&lt;br style="margin: 0px; padding: 0px; box-sizing: border-box;" /&gt;
Instalação e acessórios não incluso, consulte-nos.&lt;/span&gt;&lt;/p&gt;
&lt;/div&gt;
&lt;/div&gt;
</t>
  </si>
  <si>
    <t>https://cdn.awsli.com.br/948/948321/produto/301808863/bm285ea-kit-pj6vik8eb8.png</t>
  </si>
  <si>
    <t>https://cdn.awsli.com.br/948/948321/produto/301808863/4e792e6c62-xgan3lj6zf.jpg</t>
  </si>
  <si>
    <t>Cabo HDMI 2.1 8k Com Filtro Preto Storm</t>
  </si>
  <si>
    <t xml:space="preserve">&lt;p&gt;&lt;span style="font-size:14px;"&gt;&lt;span style="color: rgb(49, 49, 49); font-family: proxima-nova, Arial, Helvetica, sans-serif; font-style: normal; font-variant-ligatures: normal; font-variant-caps: normal; font-weight: 400; letter-spacing: normal; orphans: 2; text-align: left; text-indent: 0px; text-transform: none; widows: 2; word-spacing: 0px; -webkit-text-stroke-width: 0px; white-space: normal; background-color: rgb(250, 250, 250); text-decoration-thickness: initial; text-decoration-style: initial; text-decoration-color: initial; float: none; display: inline !important;"&gt;O Cabo HDMI é o modelo ideal para quem busca qualidade excepcional a uma resolução de 8K e taxa de atualização de 60Hz. Equipado com filtros para garantir transmissão de sinal impecável, conectores de metal para durabilidade e revestimento de nylon para resistência extra, este cabo proporciona uma transmissão de sinal estável e de alta qualidade.&lt;/span&gt;&lt;/span&gt;&lt;br /&gt;
 &lt;/p&gt;
&lt;p style="box-sizing: border-box; margin-top: 0px; margin-bottom: 5px; font-family: proxima-nova, Arial, Helvetica, sans-serif; font-size: 14px; color: rgb(49, 49, 49); font-style: normal; font-variant-ligatures: normal; font-variant-caps: normal; font-weight: 400; letter-spacing: normal; orphans: 2; text-align: left; text-indent: 0px; text-transform: none; widows: 2; word-spacing: 0px; -webkit-text-stroke-width: 0px; white-space: normal; background-color: rgb(250, 250, 250); text-decoration-thickness: initial; text-decoration-style: initial; text-decoration-color: initial;"&gt;&lt;span style="font-size:14px;"&gt;Cor: Preto&lt;/span&gt;&lt;/p&gt;
&lt;p style="box-sizing: border-box; margin-top: 0px; margin-bottom: 5px; font-family: proxima-nova, Arial, Helvetica, sans-serif; font-size: 14px; color: rgb(49, 49, 49); font-style: normal; font-variant-ligatures: normal; font-variant-caps: normal; font-weight: 400; letter-spacing: normal; orphans: 2; text-align: left; text-indent: 0px; text-transform: none; widows: 2; word-spacing: 0px; -webkit-text-stroke-width: 0px; white-space: normal; background-color: rgb(250, 250, 250); text-decoration-thickness: initial; text-decoration-style: initial; text-decoration-color: initial;"&gt;&lt;span style="font-size:14px;"&gt;Conector: Plugs de metal&lt;/span&gt;&lt;/p&gt;
&lt;p style="box-sizing: border-box; margin-top: 0px; margin-bottom: 5px; font-family: proxima-nova, Arial, Helvetica, sans-serif; font-size: 14px; color: rgb(49, 49, 49); font-style: normal; font-variant-ligatures: normal; font-variant-caps: normal; font-weight: 400; letter-spacing: normal; orphans: 2; text-align: left; text-indent: 0px; text-transform: none; widows: 2; word-spacing: 0px; -webkit-text-stroke-width: 0px; white-space: normal; background-color: rgb(250, 250, 250); text-decoration-thickness: initial; text-decoration-style: initial; text-decoration-color: initial;"&gt;&lt;span style="font-size:14px;"&gt;Revestimento: Nylon&lt;/span&gt;&lt;/p&gt;
&lt;p style="box-sizing: border-box; margin-top: 0px; margin-bottom: 5px; font-family: proxima-nova, Arial, Helvetica, sans-serif; font-size: 14px; color: rgb(49, 49, 49); font-style: normal; font-variant-ligatures: normal; font-variant-caps: normal; font-weight: 400; letter-spacing: normal; orphans: 2; text-align: left; text-indent: 0px; text-transform: none; widows: 2; word-spacing: 0px; -webkit-text-stroke-width: 0px; white-space: normal; background-color: rgb(250, 250, 250); text-decoration-thickness: initial; text-decoration-style: initial; text-decoration-color: initial;"&gt;&lt;span style="font-size:14px;"&gt;&lt;span style="color: rgb(49, 49, 49); font-family: proxima-nova, Arial, Helvetica, sans-serif; font-style: normal; font-variant-ligatures: normal; font-variant-caps: normal; font-weight: 400; letter-spacing: normal; orphans: 2; text-align: left; text-indent: 0px; text-transform: none; widows: 2; word-spacing: 0px; -webkit-text-stroke-width: 0px; white-space: normal; background-color: rgb(250, 250, 250); text-decoration-thickness: initial; text-decoration-style: initial; text-decoration-color: initial; float: none; display: inline !important;"&gt;Comprimento: 1 metro&lt;/span&gt;&lt;/span&gt;&lt;/p&gt;
</t>
  </si>
  <si>
    <t>STORM</t>
  </si>
  <si>
    <t>https://cdn.awsli.com.br/948/948321/produto/303462674/hdmi-storm-preto-8k-2-1-1gpdtdf1bn.PNG</t>
  </si>
  <si>
    <t xml:space="preserve">&lt;p style="box-sizing: border-box; margin: 0px 0px 10px; text-align: justify; color: rgb(107, 107, 107); font-family: Montserrat, sans-serif; font-size: 14px; font-style: normal; font-variant-ligatures: normal; font-variant-caps: normal; font-weight: 400; letter-spacing: normal; orphans: 2; text-indent: 0px; text-transform: none; widows: 2; word-spacing: 0px; -webkit-text-stroke-width: 0px; white-space: normal; background-color: rgb(255, 255, 255); text-decoration-thickness: initial; text-decoration-style: initial; text-decoration-color: initial;"&gt;&lt;span style="font-size:12pt; font-variant:normal; white-space:pre-wrap"&gt;&lt;span style="font-family:Roboto,sans-serif"&gt;&lt;span style="color:#252525"&gt;&lt;span style="background-color:#ffffff"&gt;&lt;span style="font-weight:400"&gt;&lt;span style="font-style:normal"&gt;&lt;span style="text-decoration:none"&gt;As caixas acústicas de embutir Bluetooth AAT BTS-1 são a solução prática e perfeita que faltava para projetos de som ambiente em pequenos espaços. Com design moderno e discreto, o kit de caixas de embutir em duas unidades – uma ativa e outra passiva – está disponível em tela quadrada ou redonda nas cores branco ou preto. Esse tipo de configuração utiliza menos cabos, simplificando a instalação.&lt;/span&gt;&lt;/span&gt;&lt;/span&gt;&lt;/span&gt;&lt;/span&gt;&lt;/span&gt;&lt;/span&gt;&lt;/p&gt;
&lt;p style="line-height:1.38; text-align:justify; background-color:#ffffff; padding:0pt 0pt 8pt 0pt"&gt;&lt;span style="font-size:12pt; font-variant:normal; white-space:pre-wrap"&gt;&lt;span style="font-family:Roboto,sans-serif"&gt;&lt;span style="color:#252525"&gt;&lt;span style="background-color:#ffffff"&gt;&lt;span style="font-weight:400"&gt;&lt;span style="font-style:normal"&gt;&lt;span style="text-decoration:none"&gt;Projetado especialmente para uso no teto de suítes, quartos, escritórios, salas de TV e outros ambientes compactos, o kit AAT BTS-1 já vem com amplificador embutido. Traz ainda tweeter pivotante (móvel) de domo de seda de 0,75 polegada, que permite um melhor direcionamento das altas frequências para o ouvinte.&lt;/span&gt;&lt;/span&gt;&lt;/span&gt;&lt;/span&gt;&lt;/span&gt;&lt;/span&gt;&lt;/span&gt;&lt;/p&gt;
&lt;p style="line-height:1.38; text-align:justify; background-color:#ffffff; padding:0pt 0pt 8pt 0pt"&gt;&lt;span style="font-size:12pt; font-variant:normal; white-space:pre-wrap"&gt;&lt;span style="font-family:Roboto,sans-serif"&gt;&lt;span style="color:#252525"&gt;&lt;span style="background-color:#ffffff"&gt;&lt;span style="font-weight:400"&gt;&lt;span style="font-style:normal"&gt;&lt;span style="text-decoration:none"&gt;Com a conexão Bluetooth 5.0 (alcance de até 10m), é possível parear o produto com celular, tablet e outros dispositivos para a reprodução de música sem fio. O kit AAT BTS-1 vem ainda com controle remoto e entrada auxiliar (RCA).&lt;/span&gt;&lt;/span&gt;&lt;/span&gt;&lt;/span&gt;&lt;/span&gt;&lt;/span&gt;&lt;/span&gt;&lt;/p&gt;
&lt;p style="line-height:1.38; text-align:justify; background-color:#ffffff"&gt;&lt;span style="font-size:12pt; font-variant:normal; white-space:pre-wrap"&gt;&lt;span style="font-family:Roboto,sans-serif"&gt;&lt;span style="color:#252525"&gt;&lt;span style="background-color:#ffffff"&gt;&lt;span style="font-weight:400"&gt;&lt;span style="font-style:normal"&gt;&lt;span style="text-decoration:none"&gt;Para facilitar ainda mais a vida do usuário e habilitar o acesso à conexão, o produto pode ter a identificação Bluetooth e senha configurados pelo instalador por meio de um app no celular. Esse cuidado também garante que vários produtos com identificações diferentes possam ser instalados em locais próximos.&lt;/span&gt;&lt;/span&gt;&lt;/span&gt;&lt;/span&gt;&lt;/span&gt;&lt;/span&gt;&lt;/span&gt;&lt;/p&gt;
&lt;p style="line-height:1.38; background-color:#ffffff; padding:0pt 0pt 8pt 0pt"&gt;&lt;span style="font-size:12pt; font-variant:normal; white-space:pre-wrap"&gt;&lt;span style="font-family:Roboto,sans-serif"&gt;&lt;span style="color:#252525"&gt;&lt;span style="background-color:#ffffff"&gt;&lt;span style="font-weight:400"&gt;&lt;span style="font-style:normal"&gt;&lt;span style="text-decoration:none"&gt;As caixas acústicas de embutir do kit AAT BTS-1 apresentam woofer de 6 ½ polegadas, fabricado com cone de IMPP (Injection Molded Polypropylene) com carga de mica. Essa combinação deixa a estrutura mais rígida, proporcionando maior pureza e fidelidade sonora.&lt;/span&gt;&lt;/span&gt;&lt;/span&gt;&lt;/span&gt;&lt;/span&gt;&lt;/span&gt;&lt;/span&gt;&lt;/p&gt;
&lt;p style="line-height:1.38; background-color:#ffffff; padding:0pt 0pt 8pt 0pt"&gt;&lt;span style="font-size:12pt; font-variant:normal; white-space:pre-wrap"&gt;&lt;span style="font-family:Roboto,sans-serif"&gt;&lt;span style="color:#252525"&gt;&lt;span style="background-color:#ffffff"&gt;&lt;span style="font-weight:400"&gt;&lt;span style="font-style:normal"&gt;&lt;span style="text-decoration:none"&gt;Com potência de 60W RMS, o produto responde às frequências de 60Hz a 20KHz. Entre as especificações, estão ainda a sensibilidade de 87dB e a impedância de 8 ohms. O produto também é especialmente indicado para uso com a ampla linha de subwoofers ativos da AAT.&lt;/span&gt;&lt;/span&gt;&lt;/span&gt;&lt;/span&gt;&lt;/span&gt;&lt;/span&gt;&lt;/span&gt;&lt;/p&gt;
&lt;p style="line-height:1.38; background-color:#ffffff"&gt;&lt;span style="font-size:12pt; font-variant:normal; white-space:pre-wrap"&gt;&lt;span style="font-family:Roboto,sans-serif"&gt;&lt;span style="color:#252525"&gt;&lt;span style="background-color:#ffffff"&gt;&lt;span style="font-weight:400"&gt;&lt;span style="font-style:normal"&gt;&lt;span style="text-decoration:none"&gt;O Bluetooth segue a versão 5.0. Para ligar uma TV à entrada RCA, o usuário pode utilizar uma Solution Box AAT (procure pelo item Audio &amp; Video Solutions). Já o controle remoto fornecido permite o comando completo das funções e, pelo app de celular, dá para configurar o Bluetooth com troca de senha e identificador.&lt;/span&gt;&lt;/span&gt;&lt;/span&gt;&lt;/span&gt;&lt;/span&gt;&lt;/span&gt;&lt;/span&gt;&lt;/p&gt;
&lt;p style="line-height:1.38; background-color:#ffffff"&gt; &lt;/p&gt;
&lt;ul&gt;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style="text-decoration:none"&gt;Diâmetro de corte: 210mm&lt;/span&gt;&lt;/span&gt;&lt;/span&gt;&lt;/span&gt;&lt;/span&gt;&lt;/span&gt;&lt;/span&gt;&lt;/li&gt;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style="text-decoration:none"&gt;Potência do kit: 60w&lt;/span&gt;&lt;/span&gt;&lt;/span&gt;&lt;/span&gt;&lt;/span&gt;&lt;/span&gt;&lt;/span&gt;&lt;/li&gt;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style="text-decoration:none"&gt;Resposta de frequência: 60Hz-20kHz&lt;/span&gt;&lt;/span&gt;&lt;/span&gt;&lt;/span&gt;&lt;/span&gt;&lt;/span&gt;&lt;/span&gt;&lt;/li&gt;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style="text-decoration:none"&gt;Sensibilidade: 87dB&lt;/span&gt;&lt;/span&gt;&lt;/span&gt;&lt;/span&gt;&lt;/span&gt;&lt;/span&gt;&lt;/span&gt;&lt;/li&gt;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style="text-decoration:none"&gt;Impedância: 8 Ohms&lt;/span&gt;&lt;/span&gt;&lt;/span&gt;&lt;/span&gt;&lt;/span&gt;&lt;/span&gt;&lt;/span&gt;&lt;/li&gt;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style="text-decoration:none"&gt;Dimensões (Diâmetro e profundidade): 227x105mm&lt;/span&gt;&lt;/span&gt;&lt;/span&gt;&lt;/span&gt;&lt;/span&gt;&lt;/span&gt;&lt;/span&gt;&lt;/li&gt;
	&lt;li aria-level="1" style="list-style-type:disc"&gt;&lt;span style="font-size:12pt; font-variant:normal; white-space:pre-wrap"&gt;&lt;span style="font-family:Roboto,sans-serif"&gt;&lt;span style="color:#252525"&gt;&lt;span style="background-color:#ffffff"&gt;&lt;span style="font-weight:400"&gt;&lt;span style="font-style:normal"&gt;&lt;span style="text-decoration:none"&gt;Peso: 3,5 Kg&lt;/span&gt;&lt;/span&gt;&lt;/span&gt;&lt;/span&gt;&lt;/span&gt;&lt;/span&gt;&lt;/span&gt;&lt;/li&gt;
&lt;/ul&gt;
</t>
  </si>
  <si>
    <t>https://cdn.awsli.com.br/948/948321/produto/326454434/todos-886l1z1n0p.jpg</t>
  </si>
  <si>
    <t>https://cdn.awsli.com.br/948/948321/produto/326454434/redonda-sem-tela-uha3rz331w.jpg</t>
  </si>
  <si>
    <t>https://cdn.awsli.com.br/948/948321/produto/326454434/redonda-sem-tela-2-ozwxdscmta.jpg</t>
  </si>
  <si>
    <t>https://cdn.awsli.com.br/948/948321/produto/326454434/banner-zoom-bts-1-3-h3exoiierz.jpg</t>
  </si>
  <si>
    <t>https://cdn.awsli.com.br/948/948321/produto/326454434/quadrada-branca-w-bmam009mtt.jpg</t>
  </si>
  <si>
    <t>Par de caixas Indoor/Outdoor SM-CSA80</t>
  </si>
  <si>
    <t xml:space="preserve">&lt;h2 class="ui-pdp-description__title" style="box-sizing: border-box; font-family: &amp;quot;Proxima Nova&amp;quot;, -apple-system, Roboto, Arial, sans-serif; font-weight: 400; line-height: 1.25; margin: 0px; font-size: 24px; padding-bottom: 24px; color: rgba(0, 0, 0, 0.9);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initial;"&gt;Descrição&lt;/h2&gt;
&lt;p class="ui-pdp-description__content" style="box-sizing: border-box; font-family: &amp;quot;Proxima Nova&amp;quot;, -apple-system, Roboto, Arial, sans-serif; margin: 0px; font-size: 20px; font-weight: 400; word-break: break-word; color: rgb(102, 102, 102);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initial;"&gt;A Caixa de Som Ambiente SM-CSA80B da Sumay é um equipamento de áudio de alta qualidade, projetado para proporcionar uma experiência sonora superior.&lt;br style="box-sizing: border-box; font-family: &amp;quot;Proxima Nova&amp;quot;, -apple-system, Roboto, Arial, sans-serif;" /&gt;
&lt;br style="box-sizing: border-box; font-family: &amp;quot;Proxima Nova&amp;quot;, -apple-system, Roboto, Arial, sans-serif;" /&gt;
Com uma potência de 80W, é capaz de preencher o ambiente com som claro e rico. Os alto-falantes de 5.5 polegadas são responsáveis pela reprodução dos tons médios e graves, garantindo que as batidas e melodias sejam ouvidas com clareza e profundidade.&lt;br style="box-sizing: border-box; font-family: &amp;quot;Proxima Nova&amp;quot;, -apple-system, Roboto, Arial, sans-serif;" /&gt;
&lt;br style="box-sizing: border-box; font-family: &amp;quot;Proxima Nova&amp;quot;, -apple-system, Roboto, Arial, sans-serif;" /&gt;
O tweeter de 0,5 polegada, por outro lado, cuida dos tons agudos, assegurando que os detalhes mais sutis da música sejam captados.&lt;br style="box-sizing: border-box; font-family: &amp;quot;Proxima Nova&amp;quot;, -apple-system, Roboto, Arial, sans-serif;" /&gt;
&lt;br style="box-sizing: border-box; font-family: &amp;quot;Proxima Nova&amp;quot;, -apple-system, Roboto, Arial, sans-serif;" /&gt;
Combinando um design elegante com um desempenho impressionante, a Caixa de Som Ambiente SM-CSA80Bda Sumay é uma excelente escolha para quem busca qualidade de som em ambientes internos.&lt;/p&gt;
&lt;p class="ui-pdp-description__content" style="box-sizing: border-box; font-family: &amp;quot;Proxima Nova&amp;quot;, -apple-system, Roboto, Arial, sans-serif; margin: 0px; font-size: 20px; font-weight: 400; word-break: break-word; color: rgb(102, 102, 102);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style="box-sizing: border-box; font-family: &amp;quot;Proxima Nova&amp;quot;, -apple-system, Roboto, Arial, sans-serif;" /&gt;
Seja para ouvir música, assistir a filmes ou jogar videogames, este equipamento proporcionará uma experiência auditiva inigualável.&lt;br style="box-sizing: border-box; font-family: &amp;quot;Proxima Nova&amp;quot;, -apple-system, Roboto, Arial, sans-serif;" /&gt;
&lt;br style="box-sizing: border-box; font-family: &amp;quot;Proxima Nova&amp;quot;, -apple-system, Roboto, Arial, sans-serif;" /&gt;
&lt;strong&gt;Especificações Técnicas:&lt;/strong&gt;&lt;br style="box-sizing: border-box; font-family: &amp;quot;Proxima Nova&amp;quot;, -apple-system, Roboto, Arial, sans-serif;" /&gt;
&lt;br style="box-sizing: border-box; font-family: &amp;quot;Proxima Nova&amp;quot;, -apple-system, Roboto, Arial, sans-serif;" /&gt;
-Marca: Sumay&lt;br style="box-sizing: border-box; font-family: &amp;quot;Proxima Nova&amp;quot;, -apple-system, Roboto, Arial, sans-serif;" /&gt;
-Modelo: SM-CSA80&lt;br style="box-sizing: border-box; font-family: &amp;quot;Proxima Nova&amp;quot;, -apple-system, Roboto, Arial, sans-serif;" /&gt;
-Potência de Saída:80W&lt;br style="box-sizing: border-box; font-family: &amp;quot;Proxima Nova&amp;quot;, -apple-system, Roboto, Arial, sans-serif;" /&gt;
-Impedância: 8&lt;br style="box-sizing: border-box; font-family: &amp;quot;Proxima Nova&amp;quot;, -apple-system, Roboto, Arial, sans-serif;" /&gt;
-Frequência de resposta: 80-20.000Hz&lt;br style="box-sizing: border-box; font-family: &amp;quot;Proxima Nova&amp;quot;, -apple-system, Roboto, Arial, sans-serif;" /&gt;
- Sensibilidade: 8-dB&lt;br style="box-sizing: border-box; font-family: &amp;quot;Proxima Nova&amp;quot;, -apple-system, Roboto, Arial, sans-serif;" /&gt;
-Tamanho do Alto-Falante: 5.5” polegadas&lt;br style="box-sizing: border-box; font-family: &amp;quot;Proxima Nova&amp;quot;, -apple-system, Roboto, Arial, sans-serif;" /&gt;
-Tamanho do Tweeter: 0,5” polegadas&lt;br style="box-sizing: border-box; font-family: &amp;quot;Proxima Nova&amp;quot;, -apple-system, Roboto, Arial, sans-serif;" /&gt;
-Material: ABS com acabamento em metal&lt;br style="box-sizing: border-box; font-family: &amp;quot;Proxima Nova&amp;quot;, -apple-system, Roboto, Arial, sans-serif;" /&gt;
-Suporte Giratório: Sim, 180º Horizontal e 60º Vertical&lt;br style="box-sizing: border-box; font-family: &amp;quot;Proxima Nova&amp;quot;, -apple-system, Roboto, Arial, sans-serif;" /&gt;
-Resistente à água: Sim&lt;br style="box-sizing: border-box; font-family: &amp;quot;Proxima Nova&amp;quot;, -apple-system, Roboto, Arial, sans-serif;" /&gt;
-Dimensões (L x A x C): 16,3 x 25,2 x 16,3 cm&lt;br style="box-sizing: border-box; font-family: &amp;quot;Proxima Nova&amp;quot;, -apple-system, Roboto, Arial, sans-serif;" /&gt;
-Peso Bruto: 1,8Kg&lt;br style="box-sizing: border-box; font-family: &amp;quot;Proxima Nova&amp;quot;, -apple-system, Roboto, Arial, sans-serif;" /&gt;
&lt;br style="box-sizing: border-box; font-family: &amp;quot;Proxima Nova&amp;quot;, -apple-system, Roboto, Arial, sans-serif;" /&gt;
&lt;strong&gt;Itens inclusos:&lt;/strong&gt;&lt;br style="box-sizing: border-box; font-family: &amp;quot;Proxima Nova&amp;quot;, -apple-system, Roboto, Arial, sans-serif;" /&gt;
-01 Par de Caixa de som Ambiente SM-CSA80&lt;br style="box-sizing: border-box; font-family: &amp;quot;Proxima Nova&amp;quot;, -apple-system, Roboto, Arial, sans-serif;" /&gt;
-01 Manual&lt;br style="box-sizing: border-box; font-family: &amp;quot;Proxima Nova&amp;quot;, -apple-system, Roboto, Arial, sans-serif;" /&gt;
&lt;br style="box-sizing: border-box; font-family: &amp;quot;Proxima Nova&amp;quot;, -apple-system, Roboto, Arial, sans-serif;" /&gt;
&lt;strong&gt;Garantia:&lt;/strong&gt;&lt;br style="box-sizing: border-box; font-family: &amp;quot;Proxima Nova&amp;quot;, -apple-system, Roboto, Arial, sans-serif;" /&gt;
-Garantia de fábrica: 12 Meses&lt;/p&gt;
</t>
  </si>
  <si>
    <t>Sumay</t>
  </si>
  <si>
    <t>https://cdn.awsli.com.br/948/948321/produto/328704017/sm-csa-006-wnygssnbnv.jpg</t>
  </si>
  <si>
    <t>https://cdn.awsli.com.br/948/948321/produto/328704017/sm-csa-001-kut23blrti.jpg</t>
  </si>
  <si>
    <t>https://cdn.awsli.com.br/948/948321/produto/328704017/sm-csa-2-rfw1zl564e.jpg</t>
  </si>
  <si>
    <t>https://cdn.awsli.com.br/948/948321/produto/328704017/sm-csa-3-1-aqe9gvg6vf.jpg</t>
  </si>
  <si>
    <t>https://cdn.awsli.com.br/948/948321/produto/328704017/sm-csa-004-godrcfgf8b.jpg</t>
  </si>
  <si>
    <t>Par de caixas Indoor/Outdoor Sumay SM-CSA80</t>
  </si>
  <si>
    <t>Caixas para som ambiente de sobrepor Sumay SM-CSA80, com excelente acabamento e uma qualidade sonora essa caixa é um ótimo custo beneficio para quem tem bom gosto musical, pode ser usada em ambientes fechados e aberto.</t>
  </si>
  <si>
    <t xml:space="preserve">&lt;h2 class="ui-pdp-description__title" style="box-sizing: border-box; font-family: &amp;quot;Proxima Nova&amp;quot;, -apple-system, Roboto, Arial, sans-serif; font-weight: 400; line-height: 1.25; margin: 0px; font-size: 24px; padding-bottom: 24px; color: rgba(0, 0, 0, 0.9);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initial;"&gt;&lt;strong&gt;Descrição:&lt;/strong&gt;&lt;/h2&gt;
&lt;p class="ui-pdp-description__content" style="box-sizing: border-box; font-family: &amp;quot;Proxima Nova&amp;quot;, -apple-system, Roboto, Arial, sans-serif; margin: 0px; font-size: 20px; font-weight: 400; word-break: break-word; color: rgb(102, 102, 102);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initial;"&gt;A Caixa de Som Ambiente SM-CSA80B da Sumay é um equipamento de áudio de alta qualidade, projetado para proporcionar uma experiência sonora superior.&lt;br style="box-sizing: border-box; font-family: &amp;quot;Proxima Nova&amp;quot;, -apple-system, Roboto, Arial, sans-serif;" /&gt;
&lt;br style="box-sizing: border-box; font-family: &amp;quot;Proxima Nova&amp;quot;, -apple-system, Roboto, Arial, sans-serif;" /&gt;
Com uma potência de 80W, é capaz de preencher o ambiente com som claro e rico. Os alto-falantes de 5.5 polegadas são responsáveis pela reprodução dos tons médios e graves, garantindo que as batidas e melodias sejam ouvidas com clareza e profundidade.&lt;br style="box-sizing: border-box; font-family: &amp;quot;Proxima Nova&amp;quot;, -apple-system, Roboto, Arial, sans-serif;" /&gt;
&lt;br style="box-sizing: border-box; font-family: &amp;quot;Proxima Nova&amp;quot;, -apple-system, Roboto, Arial, sans-serif;" /&gt;
O tweeter de 0,5 polegada, por outro lado, cuida dos tons agudos, assegurando que os detalhes mais sutis da música sejam captados.&lt;br style="box-sizing: border-box; font-family: &amp;quot;Proxima Nova&amp;quot;, -apple-system, Roboto, Arial, sans-serif;" /&gt;
&lt;br style="box-sizing: border-box; font-family: &amp;quot;Proxima Nova&amp;quot;, -apple-system, Roboto, Arial, sans-serif;" /&gt;
Combinando um design elegante com um desempenho impressionante, a Caixa de Som Ambiente SM-CSA80Bda Sumay é uma excelente escolha para quem busca qualidade de som em ambientes internos.&lt;br style="box-sizing: border-box; font-family: &amp;quot;Proxima Nova&amp;quot;, -apple-system, Roboto, Arial, sans-serif;" /&gt;
&lt;br style="box-sizing: border-box; font-family: &amp;quot;Proxima Nova&amp;quot;, -apple-system, Roboto, Arial, sans-serif;" /&gt;
Seja para ouvir música, assistir a filmes ou jogar videogames, este equipamento proporcionará uma experiência auditiva inigualável.&lt;br style="box-sizing: border-box; font-family: &amp;quot;Proxima Nova&amp;quot;, -apple-system, Roboto, Arial, sans-serif;" /&gt;
&lt;br style="box-sizing: border-box; font-family: &amp;quot;Proxima Nova&amp;quot;, -apple-system, Roboto, Arial, sans-serif;" /&gt;
&lt;strong&gt;Especificações Técnicas:&lt;/strong&gt;&lt;br style="box-sizing: border-box; font-family: &amp;quot;Proxima Nova&amp;quot;, -apple-system, Roboto, Arial, sans-serif;" /&gt;
&lt;br style="box-sizing: border-box; font-family: &amp;quot;Proxima Nova&amp;quot;, -apple-system, Roboto, Arial, sans-serif;" /&gt;
-Marca: Sumay&lt;br style="box-sizing: border-box; font-family: &amp;quot;Proxima Nova&amp;quot;, -apple-system, Roboto, Arial, sans-serif;" /&gt;
-Modelo: SM-CSA80&lt;br style="box-sizing: border-box; font-family: &amp;quot;Proxima Nova&amp;quot;, -apple-system, Roboto, Arial, sans-serif;" /&gt;
-Potência de Saída:80W&lt;br style="box-sizing: border-box; font-family: &amp;quot;Proxima Nova&amp;quot;, -apple-system, Roboto, Arial, sans-serif;" /&gt;
-Impedância: 8&lt;br style="box-sizing: border-box; font-family: &amp;quot;Proxima Nova&amp;quot;, -apple-system, Roboto, Arial, sans-serif;" /&gt;
-Frequência de resposta: 80-20.000Hz&lt;br style="box-sizing: border-box; font-family: &amp;quot;Proxima Nova&amp;quot;, -apple-system, Roboto, Arial, sans-serif;" /&gt;
- Sensibilidade: 8-dB&lt;br style="box-sizing: border-box; font-family: &amp;quot;Proxima Nova&amp;quot;, -apple-system, Roboto, Arial, sans-serif;" /&gt;
-Tamanho do Alto-Falante: 5.5” polegadas&lt;br style="box-sizing: border-box; font-family: &amp;quot;Proxima Nova&amp;quot;, -apple-system, Roboto, Arial, sans-serif;" /&gt;
-Tamanho do Tweeter: 0,5” polegadas&lt;br style="box-sizing: border-box; font-family: &amp;quot;Proxima Nova&amp;quot;, -apple-system, Roboto, Arial, sans-serif;" /&gt;
-Material: ABS com acabamento em metal&lt;br style="box-sizing: border-box; font-family: &amp;quot;Proxima Nova&amp;quot;, -apple-system, Roboto, Arial, sans-serif;" /&gt;
-Suporte Giratório: Sim, 180º Horizontal e 60º Vertical&lt;br style="box-sizing: border-box; font-family: &amp;quot;Proxima Nova&amp;quot;, -apple-system, Roboto, Arial, sans-serif;" /&gt;
-Resistente à água: Sim&lt;br style="box-sizing: border-box; font-family: &amp;quot;Proxima Nova&amp;quot;, -apple-system, Roboto, Arial, sans-serif;" /&gt;
-Dimensões (L x A x C): 16,3 x 25,2 x 16,3 cm&lt;br style="box-sizing: border-box; font-family: &amp;quot;Proxima Nova&amp;quot;, -apple-system, Roboto, Arial, sans-serif;" /&gt;
-Peso Bruto: 1,8Kg&lt;br style="box-sizing: border-box; font-family: &amp;quot;Proxima Nova&amp;quot;, -apple-system, Roboto, Arial, sans-serif;" /&gt;
&lt;br style="box-sizing: border-box; font-family: &amp;quot;Proxima Nova&amp;quot;, -apple-system, Roboto, Arial, sans-serif;" /&gt;
&lt;strong&gt;Itens inclusos:&lt;/strong&gt;&lt;br style="box-sizing: border-box; font-family: &amp;quot;Proxima Nova&amp;quot;, -apple-system, Roboto, Arial, sans-serif;" /&gt;
-01 Caixa de som Ambiente SM-CSA80B&lt;br style="box-sizing: border-box; font-family: &amp;quot;Proxima Nova&amp;quot;, -apple-system, Roboto, Arial, sans-serif;" /&gt;
-01 Manual&lt;br style="box-sizing: border-box; font-family: &amp;quot;Proxima Nova&amp;quot;, -apple-system, Roboto, Arial, sans-serif;" /&gt;
&lt;br style="box-sizing: border-box; font-family: &amp;quot;Proxima Nova&amp;quot;, -apple-system, Roboto, Arial, sans-serif;" /&gt;
&lt;strong&gt;Garantia:&lt;/strong&gt;&lt;br style="box-sizing: border-box; font-family: &amp;quot;Proxima Nova&amp;quot;, -apple-system, Roboto, Arial, sans-serif;" /&gt;
-Garantia de fábrica: 12 Meses&lt;/p&gt;
</t>
  </si>
  <si>
    <t>https://cdn.awsli.com.br/948/948321/produto/328705498/sm-csa-3-eyo2npmbcx.jpg</t>
  </si>
  <si>
    <t>https://cdn.awsli.com.br/948/948321/produto/328705498/sm-csa-1-p0zfzd1fys.jpg</t>
  </si>
  <si>
    <t>https://cdn.awsli.com.br/948/948321/produto/328705498/sm-csa-7-at4vjeq5yp.jpg</t>
  </si>
  <si>
    <t>https://cdn.awsli.com.br/948/948321/produto/328705498/sm-csa-6-dv15lmjpob.jpg</t>
  </si>
  <si>
    <t>https://cdn.awsli.com.br/948/948321/produto/328705498/sm-csa-5-kcotyf06h0.jpg</t>
  </si>
  <si>
    <t>Par de caixas Indoor/Outdoor Sumay SM-CSA100</t>
  </si>
  <si>
    <t>Caixa de som ambiente Sumay SM-CSA100</t>
  </si>
  <si>
    <t>Descrição A Caixa de Som Ambiente SM-CSA100B da Sumay é um equipamento de áudio de alta qualidade, projetado para proporcionar uma experiência sonora superior.   Com uma potência de 100W, é capaz de preencher o ambiente com som claro e rico</t>
  </si>
  <si>
    <t xml:space="preserve">&lt;h2 class="ui-pdp-description__title" style="box-sizing: border-box; font-weight: 400; line-height: 1.25; margin: 0px; font-size: 24px; padding-bottom: 24px; color: rgba(0, 0, 0, 0.9); font-family: &amp;quot;Proxima Nova&amp;quot;, -apple-system, Roboto, Arial, sans-serif;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initial;"&gt;Descrição&lt;/h2&gt;
&lt;p class="ui-pdp-description__content" style="box-sizing: border-box; margin: 0px; font-size: 20px; font-weight: 400; word-break: break-word; color: rgb(102, 102, 102); font-family: &amp;quot;Proxima Nova&amp;quot;, -apple-system, Roboto, Arial, sans-serif;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initial;"&gt;A Caixa de Som Ambiente SM-CSA100B da Sumay é um equipamento de áudio de alta qualidade, projetado para proporcionar uma experiência sonora superior.&lt;/p&gt;
&lt;p class="ui-pdp-description__content" style="box-sizing: border-box; margin: 0px; font-size: 20px; font-weight: 400; word-break: break-word; color: rgb(102, 102, 102); font-family: &amp;quot;Proxima Nova&amp;quot;, -apple-system, Roboto, Arial, sans-serif;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 &lt;/p&gt;
&lt;p class="ui-pdp-description__content" style="box-sizing: border-box; margin: 0px; font-size: 20px; font-weight: 400; word-break: break-word; color: rgb(102, 102, 102); font-family: &amp;quot;Proxima Nova&amp;quot;, -apple-system, Roboto, Arial, sans-serif;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initial;"&gt;Com uma potência de 100W, é capaz de preencher o ambiente com som claro e rico. Os alto-falantes de 6,5 polegadas são responsáveis pela reprodução dos tons médios e graves, garantindo que as batidas e melodias sejam ouvidas com clareza e profundidade.&lt;/p&gt;
&lt;p class="ui-pdp-description__content" style="box-sizing: border-box; margin: 0px; font-size: 20px; font-weight: 400; word-break: break-word; color: rgb(102, 102, 102); font-family: &amp;quot;Proxima Nova&amp;quot;, -apple-system, Roboto, Arial, sans-serif;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 &lt;/p&gt;
&lt;p class="ui-pdp-description__content" style="box-sizing: border-box; margin: 0px; font-size: 20px; font-weight: 400; word-break: break-word; color: rgb(102, 102, 102); font-family: &amp;quot;Proxima Nova&amp;quot;, -apple-system, Roboto, Arial, sans-serif;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initial;"&gt;O tweeter de 1 polegada, por outro lado, cuida dos tons agudos, assegurando que os detalhes mais sutis da música sejam captados. Combinando um design elegante com um desempenho impressionante, a Caixa de Som Ambiente SM-CSA100B da Sumay é uma excelente escolha para quem busca qualidade de som em ambientes internos. Seja para ouvir música, assistir a filmes ou jogar videogames, este equipamento proporcionará uma experiência auditiva inigualável.&lt;br style="box-sizing: border-box;" /&gt;
&lt;br style="box-sizing: border-box;" /&gt;
&lt;strong&gt;Especificações Técnicas:&lt;/strong&gt;&lt;br style="box-sizing: border-box;" /&gt;
&lt;br style="box-sizing: border-box;" /&gt;
-Marca: Sumay&lt;br style="box-sizing: border-box;" /&gt;
-Modelo: SM-CSA100&lt;br style="box-sizing: border-box;" /&gt;
-Potência de Saída:100W&lt;br style="box-sizing: border-box;" /&gt;
-Impedância: 8&lt;br style="box-sizing: border-box;" /&gt;
-Frequência de resposta: 50-20.000Hz&lt;br style="box-sizing: border-box;" /&gt;
- Sensibilidade: 90dB&lt;br style="box-sizing: border-box;" /&gt;
-Tamanho do Alto-Falante: 6,5” polegadas&lt;br style="box-sizing: border-box;" /&gt;
-Tamanho do Tweeter: 1” polegadas&lt;br style="box-sizing: border-box;" /&gt;
-Material: ABS com acabamento em metal&lt;br style="box-sizing: border-box;" /&gt;
-Suporte Giratório: Sim, 180º Horizontal e 60º Vertical&lt;br style="box-sizing: border-box;" /&gt;
-Resistente à água: Sim&lt;br style="box-sizing: border-box;" /&gt;
-Dimensões (L x A x C): 19,6 x 30,5 x 19,3 cm&lt;br style="box-sizing: border-box;" /&gt;
-Peso Bruto: 1,2Kg&lt;br style="box-sizing: border-box;" /&gt;
&lt;br style="box-sizing: border-box;" /&gt;
&lt;strong&gt;Itens inclusos:&lt;/strong&gt;&lt;br style="box-sizing: border-box;" /&gt;
-01 Caixa de som Ambiente SM-CSA100&lt;br style="box-sizing: border-box;" /&gt;
-01 Manual&lt;/p&gt;
</t>
  </si>
  <si>
    <t>https://cdn.awsli.com.br/948/948321/produto/328710436/sm-csa-006-kvvqzbbdhw.jpg</t>
  </si>
  <si>
    <t>https://cdn.awsli.com.br/948/948321/produto/328710436/sm-csa-004-t318kxe4bo.jpg</t>
  </si>
  <si>
    <t>https://cdn.awsli.com.br/948/948321/produto/328710436/sm-csa-3-1-x4qeg4ly45.jpg</t>
  </si>
  <si>
    <t>https://cdn.awsli.com.br/948/948321/produto/328710436/sm-csa-2-kso6koy4l3.jpg</t>
  </si>
  <si>
    <t>https://cdn.awsli.com.br/948/948321/produto/328710436/sm-csa-001-hofd4q0l85.jpg</t>
  </si>
  <si>
    <t>Subwoofer Ativo JBL Stage 200P 10 Polegadas 150w RMS</t>
  </si>
  <si>
    <t>SUBWOOFER ATIVO 10" JBL STAGE 200P Sinta a Imersão dos Graves Poderosos Projetada em nosso mundialmente famoso Centro de Excelência em Engenharia Acústica em Northridge, Califórnia, o Stage 200P é um subwoofer ativo por 300W RMS perfeitamente</t>
  </si>
  <si>
    <t>&lt;h2&gt;&lt;strong&gt;&lt;span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!important;"&gt;SUBWOOFER ATIVO 10" JBL STAGE 200P&lt;/span&gt;&lt;/strong&gt;&lt;br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!important;"&gt;Sinta a Imersão dos Graves Poderosos&lt;/span&gt;&lt;br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!important;"&gt;Projetada em nosso mundialmente famoso Centro de Excelência em Engenharia Acústica em Northridge, Califórnia, o Stage 200P é um subwoofer ativo por 300W RMS perfeitamente combinado com toda a série Stage e oferece a emoção dos graves que os clientes desejam. Este subwoofer apresenta um woofer de baixa frequência em policelulose de alta excursão e disparo frontal de 250 mm (10 pol.) com duas portas traseiras ajustadas para disparo que fornece graves JBL profundos, potentes e exclusivos. Uma completa opção de controles proporciona fácil integração do sistema.&lt;/span&gt;&lt;br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!important;"&gt;Woofer de baixa frequência em cone canelado de policelulose de 250 mm (10 pol.)&lt;/span&gt;&lt;br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!important;"&gt;Cada caixa da série Stage 2 apresenta woofers de cone canelados de policelulose. Este cone de polpa pura tem uma mistura exclusiva de outros materiais adicionados para melhorar sua rigidez e os frisos lembram os lendários designs da JBL. Esses woofers produzem graves profundos, precisos e que preenchem a sala.&lt;/span&gt;&lt;br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!important;"&gt;Amplificador de 150W RMS (Pico de potência de 300W RMS)&lt;/span&gt;&lt;br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!important;"&gt;O amplificador de 300 watts RMS de alto desempenho integrado oferece qualidade de som impactante e memorável, merecendo o nome JBL. O 200P pode ser colocado em qualquer lugar da sala e se conecta ao seu AVR para criar um sistema de home theater estéreo ou multicanal com graves impactantes e desempenho sem precedentes.&lt;/span&gt;&lt;br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!important;"&gt;Design de refletor de graves com duas portas de disparo traseiro&lt;/span&gt;&lt;br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!important;"&gt;O design de refletor de graves do 200P usa duas portas alargadas traseiras. Este novo design alargado reduz a velocidade do ar ao sair do gabinete da caixa, eliminando qualquer distorção ou coloração da saída.&lt;/span&gt;&lt;br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!important;"&gt;Especificações Gerais&lt;/span&gt;&lt;br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Tipo: Subwoofer ativo&lt;/span&gt;&lt;br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Driver de baixa frequência: policelulose canelada de alta oscilação de 250mm (10 pol.)&lt;/span&gt;&lt;br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Potência do amplificador: 150 W RMS (300 W Dinâmicos)&lt;/span&gt;&lt;br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Resposta de frequência ± 6dB: 28 Hz a 150 Hz&lt;/span&gt;&lt;br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Frequências de crossover: 50 Hz a 150 Hz (variável) 24 dB/oitava&lt;/span&gt;&lt;br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Controles: 35 Hz a 150 Hz&lt;/span&gt;&lt;br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Controles: Energização automática, Crossover, Nível, Fase&lt;/span&gt;&lt;br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Entradas: Uma (1) entrada LFE de nível de linha&lt;/span&gt;&lt;br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Afinamento do gabinete: Bass-Reflex via duplo duto traseiro sintonizado&lt;/span&gt;&lt;br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Requisitos de energia: 120 V, 60 Hz (EUA); 220 V–230 V, 50/60 Hz (UE)&lt;/span&gt;&lt;br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Consumo de energia: &lt; 0,5 W (espera)/205 W/1,6 A (máx de 230 V)/205 W/3,15 A (máx de 120 V)&lt;/span&gt;&lt;br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Acabamento&lt;/span&gt;&lt;br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!important;"&gt;Espresso ou latte&lt;/span&gt;&lt;br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!important;"&gt;Dimensões&lt;/span&gt;&lt;br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&lt;span style="font-family: Montserrat;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!important;"&gt;Dimensões (AxLxP): 361 mm x 350 mm x 385 mm (14,2 pol. x 13,8 pol. x 15,2 pol.)&lt;/span&gt;&lt;br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&lt;br style="margin: 0px; padding: 0px; box-sizing: border-box; color: rgb(255, 255, 255); font-family: Montserrat; font-size: 15px; font-style: normal; font-variant-ligatures: normal; font-variant-caps: normal; font-weight: 400; letter-spacing: normal; orphans: 2; text-align: start; text-indent: 0px; text-transform: none; widows: 2; word-spacing: 0px; -webkit-text-stroke-width: 0px; white-space: normal; background-color: rgb(36, 36, 36); text-decoration-thickness: initial; text-decoration-style: initial; text-decoration-color: initial;" /&gt;
&lt;strong&gt;&lt;span style="font-family: Montserrat; font-size: 15px; font-style: normal; font-variant-ligatures: normal; font-variant-caps: normal; font-weight: 400; letter-spacing: normal; orphans: 2; text-align: start; text-indent: 0px; text-transform: none; widows: 2; word-spacing: 0px; -webkit-te</t>
  </si>
  <si>
    <t>https://cdn.awsli.com.br/948/948321/produto/329677130/11-7zlrce4tvt.jpg</t>
  </si>
  <si>
    <t>https://cdn.awsli.com.br/948/948321/produto/329677130/12-0pt77z4q6j.jpg</t>
  </si>
  <si>
    <t>https://cdn.awsli.com.br/948/948321/produto/329677130/13-30vu1jg3nd.jpg</t>
  </si>
  <si>
    <t>https://cdn.awsli.com.br/948/948321/produto/329677130/14-fuy7uvptni.jpg</t>
  </si>
  <si>
    <t>Receiver JBL MA7100HP 7.2 Canais 8K Ultra HD</t>
  </si>
  <si>
    <t>Desempenho impressionante de áudio e vídeo Receiver A/V de 7.2 canais de alto desempenho que oferece realismo impressionante com o vídeo 8K mais recente para a experiência definitiva de cinema em casa</t>
  </si>
  <si>
    <t xml:space="preserve">&lt;h3 style="font-family: var(--font-headline); line-height: var(--f-h-lh,.9); font-stretch: condensed; font-variation-settings: &amp;quot;wdth&amp;quot; 75; font-weight: 700; text-wrap: balance; text-transform: uppercase; font-size: var(--f-4xl,2.18rem); box-sizing: border-box; margin-top: 0px; margin-bottom: 0.5rem; border-top: 2px solid var(--c-accent); padding-top: var(--spacing-l); color: rgb(0, 0, 0); font-style: normal; font-variant-ligatures: normal; font-variant-caps: normal; letter-spacing: normal; orphans: 2; text-align: left; text-indent: 0px; widows: 2; word-spacing: 0px; -webkit-text-stroke-width: 0px; white-space-collapse: collapse; background-color: rgb(255, 255, 255); text-decoration-thickness: initial; text-decoration-style: initial; text-decoration-color: initial;"&gt;&lt;img alt="MA7100HP Desempenho impressionante de áudio e vídeo - Image" src="https://www.jbl.com.br/dw/image/v2/BFND_PRD/on/demandware.static/-/Sites-masterCatalog_Harman/default/dw6bb4fc3e/pdp/LS_JBL_MA7100HP_Feature%201_904x560.png?sw=904&amp;amp;sh=560" /&gt;&lt;/h3&gt;
&lt;h3 style="font-family: var(--font-headline); line-height: var(--f-h-lh,.9); font-stretch: condensed; font-variation-settings: &amp;quot;wdth&amp;quot; 75; font-weight: 700; text-wrap: balance; text-transform: uppercase; font-size: var(--f-4xl,2.18rem); box-sizing: border-box; margin-top: 0px; margin-bottom: 0.5rem; border-top: 2px solid var(--c-accent); padding-top: var(--spacing-l); color: rgb(0, 0, 0); font-style: normal; font-variant-ligatures: normal; font-variant-caps: normal; letter-spacing: normal; orphans: 2; text-align: left; text-indent: 0px; widows: 2; word-spacing: 0px; -webkit-text-stroke-width: 0px; white-space-collapse: collapse; background-color: rgb(255, 255, 255); text-decoration-thickness: initial; text-decoration-style: initial; text-decoration-color: initial;"&gt;Desempenho impressionante de áudio e vídeo&lt;/h3&gt;
&lt;p style="box-sizing: border-box; margin: 0px; font-size: 16px; width: 988.8px; text-wrap: balance; color: rgb(0, 0, 0); font-family: abc-diatype, &amp;quot;ABC Diatype&amp;quot;, roc-grotesk, &amp;quot;system-ui&amp;quot;, -apple-system, BlinkMacSystemFont, &amp;quot;Segoe UI&amp;quot;, Roboto, Oxygen-Sans, Ubuntu, Cantarell, &amp;quot;Helvetica Neue&amp;quot;, sans-serif; font-style: normal; font-variant-ligatures: normal; font-variant-caps: normal; font-weight: 400; letter-spacing: normal; orphans: 2; text-align: left; text-indent: 0px; text-transform: none; widows: 2; word-spacing: 0px; -webkit-text-stroke-width: 0px; white-space-collapse: collapse; background-color: rgb(255, 255, 255); text-decoration-thickness: initial; text-decoration-style: initial; text-decoration-color: initial;"&gt;Receiver A/V de 7.2 canais de alto desempenho que oferece realismo impressionante com o vídeo 8K mais recente para a experiência definitiva de cinema em casa&lt;/p&gt;
&lt;p style="box-sizing: border-box; margin: 0px; font-size: 16px; width: 988.8px; text-wrap: balance; color: rgb(0, 0, 0); font-family: abc-diatype, &amp;quot;ABC Diatype&amp;quot;, roc-grotesk, &amp;quot;system-ui&amp;quot;, -apple-system, BlinkMacSystemFont, &amp;quot;Segoe UI&amp;quot;, Roboto, Oxygen-Sans, Ubuntu, Cantarell, &amp;quot;Helvetica Neue&amp;quot;, sans-serif; font-style: normal; font-variant-ligatures: normal; font-variant-caps: normal; font-weight: 400; letter-spacing: normal; orphans: 2; text-align: left; text-indent: 0px; text-transform: none; widows: 2; word-spacing: 0px; -webkit-text-stroke-width: 0px; white-space-collapse: collapse; background-color: rgb(255, 255, 255); text-decoration-thickness: initial; text-decoration-style: initial; text-decoration-color: initial;"&gt;&lt;img alt="MA7100HP Configuração intuitiva com um design moderno e minimalista - Image" src="https://www.jbl.com.br/dw/image/v2/BFND_PRD/on/demandware.static/-/Sites-masterCatalog_Harman/default/dw1123c3de/pdp/LS_JBL_MA7100HPBLK_Feature%202_904x560.png?sw=904&amp;amp;sh=560" /&gt;&lt;/p&gt;
&lt;h3 style="font-family: var(--font-headline); line-height: var(--f-h-lh,.9); font-stretch: condensed; font-variation-settings: &amp;quot;wdth&amp;quot; 75; font-weight: 700; text-wrap: balance; text-transform: uppercase; font-size: var(--f-4xl,2.18rem); box-sizing: border-box; margin-top: 0px; margin-bottom: 0.5rem; border-top: 2px solid var(--c-accent); padding-top: var(--spacing-l); color: rgb(0, 0, 0); font-style: normal; font-variant-ligatures: normal; font-variant-caps: normal; letter-spacing: normal; orphans: 2; text-align: left; text-indent: 0px; widows: 2; word-spacing: 0px; -webkit-text-stroke-width: 0px; white-space-collapse: collapse; background-color: rgb(255, 255, 255); text-decoration-thickness: initial; text-decoration-style: initial; text-decoration-color: initial;"&gt;Configuração intuitiva com um&lt;/h3&gt;
&lt;h3 style="font-family: var(--font-headline); line-height: var(--f-h-lh,.9); font-stretch: condensed; font-variation-settings: &amp;quot;wdth&amp;quot; 75; font-weight: 700; text-wrap: balance; text-transform: uppercase; font-size: var(--f-4xl,2.18rem); box-sizing: border-box; margin-top: 0px; margin-bottom: 0.5rem; border-top: 2px solid var(--c-accent); padding-top: var(--spacing-l); color: rgb(0, 0, 0); font-style: normal; font-variant-ligatures: normal; font-variant-caps: normal; letter-spacing: normal; orphans: 2; text-align: left; text-indent: 0px; widows: 2; word-spacing: 0px; -webkit-text-stroke-width: 0px; white-space-collapse: collapse; background-color: rgb(255, 255, 255); text-decoration-thickness: initial; text-decoration-style: initial; text-decoration-color: initial;"&gt;design moderno e minimalista&lt;/h3&gt;
&lt;p style="box-sizing: border-box; margin: 0px; font-size: 16px; width: 988.8px; text-wrap: balance; color: rgb(0, 0, 0); font-family: abc-diatype, &amp;quot;ABC Diatype&amp;quot;, roc-grotesk, &amp;quot;system-ui&amp;quot;, -apple-system, BlinkMacSystemFont, &amp;quot;Segoe UI&amp;quot;, Roboto, Oxygen-Sans, Ubuntu, Cantarell, &amp;quot;Helvetica Neue&amp;quot;, sans-serif; font-style: normal; font-variant-ligatures: normal; font-variant-caps: normal; font-weight: 400; letter-spacing: normal; orphans: 2; text-align: left; text-indent: 0px; text-transform: none; widows: 2; word-spacing: 0px; -webkit-text-stroke-width: 0px; white-space-collapse: collapse; background-color: rgb(255, 255, 255); text-decoration-thickness: initial; text-decoration-style: initial; text-decoration-color: initial;"&gt;Integração perfeita com smart TVs, consoles de jogos, streaming, TV à cabo e muito mais com 6 entradas HDMI e 2 saídas, além de e ARC.&lt;/p&gt;
&lt;p style="box-sizing: border-box; margin: 0px; font-size: 16px; width: 988.8px; text-wrap: balance; color: rgb(0, 0, 0); font-family: abc-diatype, &amp;quot;ABC Diatype&amp;quot;, roc-grotesk, &amp;quot;system-ui&amp;quot;, -apple-system, BlinkMacSystemFont, &amp;quot;Segoe UI&amp;quot;, Roboto, Oxygen-Sans, Ubuntu, Cantarell, &amp;quot;Helvetica Neue&amp;quot;, sans-serif; font-style: normal; font-variant-ligatures: normal; font-variant-caps: normal; font-weight: 400; letter-spacing: normal; orphans: 2; text-align: left; text-indent: 0px; text-transform: none; widows: 2; word-spacing: 0px; -webkit-text-stroke-width: 0px; white-space-collapse: collapse; background-color: rgb(255, 255, 255); text-decoration-thickness: initial; text-decoration-style: initial; text-decoration-color: initial;"&gt; &lt;/p&gt;
&lt;p style="box-sizing: border-box; margin: 0px; font-size: 16px; width: 988.8px; text-wrap: balance; color: rgb(0, 0, 0); font-family: abc-diatype, &amp;quot;ABC Diatype&amp;quot;, roc-grotesk, &amp;quot;system-ui&amp;quot;, -apple-system, BlinkMacSystemFont, &amp;quot;Segoe UI&amp;quot;, Roboto, Oxygen-Sans, Ubuntu, Cantarell, &amp;quot;Helvetica Neue&amp;quot;, sans-serif; font-style: normal; font-variant-ligatures: normal; font-variant-caps: normal; font-weight: 400; letter-spacing: normal; orphans: 2; text-align: left; text-indent: 0px; text-transform: none; widows: 2; word-spacing: 0px; -webkit-text-stroke-width: 0px; white-space-collapse: collapse; background-color: rgb(255, 255, 255); text-decoration-thickness: initial; text-decoration-style: initial; text-decoration-color: initial;"&gt; &lt;/p&gt;
&lt;h3 style="padding: 0px 1.2rem; margin: 0px; font-family: abc-diatype, &amp;quot;ABC Diatype&amp;quot;, roc-grotesk, &amp;quot;system-ui&amp;quot;, -apple-system, BlinkMacSystemFont, &amp;quot;Segoe UI&amp;quot;, Roboto, Oxygen-Sans, Ubuntu, Cantarell, &amp;quot;Helvetica Neue&amp;quot;, sans-serif; font-size: var(--heading-font-size); color: rgb(0, 0, 0); font-style: normal; font-variant-ligatures: normal; font-variant-caps: normal; letter-spacing: normal; orphans: 2; text-align: left; text-indent: 0px; text-transform: none; widows: 2; word-spacing: 0px; -webkit-text-stroke-width: 0px; white-space: normal; background-color: rgb(255, 255, 255); text-decoration-thickness: initial; text-decoration-style: initial; text-decoration-color: initial;"&gt;&lt;button aria-expanded="true" style="color-scheme: inherit; forced-color-adjust: inherit; mask: inherit; math-depth: inherit; position: inherit; position-anchor: inherit; text-size-adjust: inherit; appearance: inherit; color: inherit; font: inherit; font-palette: inherit; font-synthesis: inherit; position-area: inherit; text-orientation: inherit; text-rendering: inherit; text-spacing-trim: inherit; -webkit-font-smoothing: inherit; -webkit-locale: inherit; -webkit-text-orientation: inherit; -webkit-writing-mode: inherit; writing-mode: inherit; zoom: inherit; accent-color: inherit; place-content: inherit; align-items: center; place-self: inherit; alignment-baseline: inherit; anchor-name: inherit; anchor-scope: inherit; animation-composition: inherit; animation: inherit; app-region: inherit; aspect-ratio: inherit; backdrop-filter: inherit; backface-visibility: inherit; background: inherit; background-blend-mode: inherit; baseline-shift: inherit; baseline-source: inherit; block-size: inherit; border-block: inherit; border: inherit; border-radius: inherit; border-collapse: inherit; border-end-end-radius: inherit; border-end-start-radius: inherit; border-inline: inherit; border-start-end-radius: inherit; border-start-start-radius: inherit; inset: inherit; box-decoration-break: inherit; box-shadow: inherit; box-sizing: border-box; break-after: inherit; break-before: inherit; break-inside: inherit; buffered-rendering: inherit; caption-side: inherit; caret-color: inherit; clear: inherit; clip: inherit; clip-path: inherit; clip-rule: inherit; color-interpolation: inherit; color-interpolation-filters: inherit; color-rendering: inherit; columns: inherit; column-fill: inherit; gap: inherit; column-rule: inherit; column-span: inherit; contain: inherit; contain-intrinsic-block-size: inherit; contain-intrinsic-size: inherit; contain-intrinsic-inline-size: inherit; container: inherit; content: inherit; content-visibility: inherit; counter-increment: inherit; counter-reset: inherit; counter-set: inherit; cursor: pointer; cx: inherit; cy: inherit; d: inherit; display: flex; dominant-baseline: inherit; empty-cells: inherit; field-sizing: inherit; fill: inherit; fill-opacity: inherit; fill-rule: inherit; filter: inherit; flex: inherit; flex-flow: inherit; float: inherit; flood-color: inherit; flood-opacity: inherit; grid: inherit; grid-area: inherit; height: inherit; hyphenate-character: inherit; hyphenate-limit-chars: inherit; hyphens: inherit; image-orientation: inherit; image-rendering: inherit; initial-letter: inherit; inline-size: inherit; inset-block: inherit; inset-inline: inherit; interpolate-size: inherit; isolation: inherit; justify-items: inherit; letter-spacing: inherit; lighting-color: inherit; line-break: inherit; list-style: inherit; margin-block: inherit; margin: inherit; margin-inline: inherit; marker: inherit; mask-type: inherit; math-shift: inherit; math-style: inherit; max-block-size: inherit; max-height: inherit; max-inline-size: inherit; max-width: inherit; min-block-size: inherit; min-height: inherit; min-inline-size: inherit; min-width: inherit; mix-blend-mode: inherit; object-fit: inherit; object-position: inherit; object-view-box: inherit; offset: inherit; opacity: inherit; order: inherit; orphans: inherit; outline: inherit; outline-offset: inherit; overflow-anchor: inherit; overflow-clip-margin: inherit; overflow-wrap: inherit; overflow: inherit; overlay: inherit; overscroll-behavior-block: inherit; overscroll-behavior-inline: inherit; overscroll-behavior: inherit; padding-block: inherit; padding: 1.2em 0px; padding-inline: inherit; page: inherit; page-orientation: inherit; paint-order: inherit; perspective: inherit; perspective-origin: inherit; pointer-events: inherit; position-try: inherit; position-visibility: inherit; quotes: inherit; r: inherit; resize: inherit; rotate: inherit; ruby-align: inherit; ruby-position: inherit; rx: inherit; ry: inherit; scale: inherit; scroll-behavior: inherit; scroll-margin-block: inherit; scroll-margin: inherit; scroll-margin-inline: inherit; scroll-padding-block: inherit; scroll-padding: inherit; scroll-padding-inline: inherit; scroll-snap-align: inherit; scroll-snap-stop: inherit; scroll-snap-type: inherit; scroll-timeline: inherit; scrollbar-color: inherit; scrollbar-gutter: inherit; scrollbar-width: inherit; shape-image-threshold: inherit; shape-margin: inherit; shape-outside: inherit; shape-rendering: inherit; size: inherit; speak: inherit; stop-color: inherit; stop-opacity: inherit; stroke: inherit; stroke-dasharray: inherit; stroke-dashoffset: inherit; stroke-linecap: inherit; stroke-linejoin: inherit; stroke-miterlimit: inherit; stroke-opacity: inherit; stroke-width: inherit; tab-size: inherit; table-layout: inherit; text-align: inherit; text-align-last: inherit; text-anchor: inherit; text-combine-upright: inherit; text-decoration: inherit; text-decoration-skip-ink: inherit; text-emphasis: inherit; text-emphasis-position: inherit; text-indent: inherit; text-overflow: inherit; text-shadow: inherit; text-transform: inherit; text-underline-offset: inherit; text-underline-position: inherit; text-wrap: inherit; timeline-scope: inherit; touch-action: inherit; transform: inherit; transform-box: inherit; transform-origin: inherit; transform-style: inherit; transition: inherit; translate: inherit; user-select: inherit; vector-effect: inherit; vertical-align: inherit; view-timeline: inherit; view-transition-class: inherit; view-transition-name: inherit; visibility: inherit; border-spacing: inherit; -webkit-box-align: inherit; -webkit-box-decoration-break: inherit; -webkit-box-direction: inherit; -webkit-box-flex: inherit; -webkit-box-ordinal-group: inherit; -webkit-box-orient: inherit; -webkit-box-pack: inherit; -webkit-box-reflect: inherit; -webkit-line-break: inherit; -webkit-line-clamp: inherit; -webkit-mask-box-image: inherit; -webkit-print-color-adjust: inherit; -webkit-rtl-ordering: inherit; -webkit-ruby-position: inherit; -webkit-tap-highlight-color: inherit; -webkit-text-combine: inherit; -webkit-text-decorations-in-effect: inherit; -webkit-text-fill-color: inherit; -webkit-text-security: inherit; -webkit-text-stroke: inherit; -webkit-user-drag: inherit; white-space-collapse: inherit; widows: inherit; width: 950.4px; will-change: inherit; word-break: inherit; word-spacing: inherit; x: inherit; y: inherit; z-index: inherit;"&gt;&lt;span style="font-size: 18px; border-bottom: 2px solid transparent; margin-bottom: -2px;"&gt;Descrição&lt;/span&gt;&lt;/button&gt;&lt;/h3&gt;
&lt;div class="content" style="padding-bottom: 1em; color: rgb(0, 0, 0); font-family: abc-diatype, &amp;quot;ABC Diatype&amp;quot;, roc-grotesk, &amp;quot;system-ui&amp;quot;, -apple-system, BlinkMacSystemFont, &amp;quot;Segoe UI&amp;quot;, Roboto, Oxygen-Sans, Ubuntu, Cantarell, &amp;quot;Helvetica Neue&amp;quot;, sans-serif; font-size: 16px;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initial;"&gt;&lt;slot&gt;
&lt;div class="spec-body" style="box-sizing: border-box; padding: 0px 1.2rem; font-family: var(--font-body,&amp;quot;Arial&amp;quot;);"&gt;
&lt;h6 style="font-family: var(--font-body); line-height: 1.4; font-stretch: condensed; font-variation-settings: &amp;quot;wdth&amp;quot; 75; font-weight: 700; text-wrap: pretty; font-size: var(--f-l); box-sizing: border-box; margin-top: 0px; margin-bottom: 0.5rem;"&gt;Som de Alta Definição com Potência Profissional&lt;/h6&gt;
&lt;p style="box-sizing: border-box; margin-top: 0px; margin-bottom: 1rem; font-size: var(--f-m); line-height: 1.4;"&gt;O JBL MA7100HP é um receiver A/V de alta performance que proporciona um realismo impressionante com as mais recentes especificações HDMI 8K e decodificação nativa de áudio imersivo de Dolby Atmos e DTS:X em 7 canais, para a experiência definitiva de cinema em casa. Integre perfeitamente sua smart TV ou projetor com 6 entradas HDMI e 2 saídas, além de eARC. Projetado com paixão para música e filmes, o MA7100HP dá vida a ambos com verdadeira alta fidelidade. O MA7100HP possui sete canais de amplificação Classe D de baixo ruído para fornecer potência real a todos os canais. Além da entrada de phono para Moving Magnet integrada para conectar um toca-discos, um conteúdo musical adicional pode ser acessado imediatamente através do streaming integrado usando Apple Airplay 2, Google Chromecast e Bluetooth AptX Adaptive. Levando o desempenho para o próximo nível, o MA7100HP vem com “Dirac Live Ready” para correção automática de sala, garantindo uma qualidade sonora de alta fidelidade e permitindo que integradores e usuários avançados otimizem o sistema de acordo com a acústica pessoal de sua sala. Com uma saída de vídeo HDMI secundária e zona de áudio, o conteúdo também pode ser disponibilizado em um local secundário. Além dos controles físicos, o MA7100HP permite o controle IP para integração de sistemas de controle de terceiros.&lt;/p&gt;
&lt;p style="box-sizing: border-box; margin-top: 0px; margin-bottom: 1rem; font-size: var(--f-m); line-height: 1.4;"&gt; &lt;/p&gt;
&lt;p style="margin-bottom:11px"&gt;&lt;span style="font-size:11pt"&gt;&lt;span style="line-height:107%"&gt;&lt;span style="font-family:Calibri,sans-serif"&gt;&lt;b&gt;Especificações Gerais&lt;/b&gt;&lt;/span&gt;&lt;/span&gt;&lt;/span&gt;&lt;/p&gt;
&lt;p&gt;&lt;span style="font-size:11pt"&gt;&lt;span style="line-height:107%"&gt;&lt;span style="font-family:Calibri,sans-serif"&gt;HDMI eARC: Sim&lt;/span&gt;&lt;/span&gt;&lt;/span&gt;&lt;/p&gt;
&lt;p&gt;&lt;span style="font-size:11pt"&gt;&lt;span style="line-height:107%"&gt;&lt;span style="font-family:Calibri,sans-serif"&gt;Canal de retorno de áudio HDMI: Sim&lt;/span&gt;&lt;/span&gt;&lt;/span&gt;&lt;/p&gt;
&lt;p&gt;&lt;span style="font-size:11pt"&gt;&lt;span style="line-height:107%"&gt;&lt;span style="font-family:Calibri,sans-serif"&gt;Conectores de entrada HDMI 8K (HDMI 2.1, HDCP 2.3 até 8K /60 Hz, 4K /120 Hz): 3&lt;/span&gt;&lt;/span&gt;&lt;/span&gt;&lt;/p&gt;
&lt;p&gt;&lt;span style="font-size:11pt"&gt;&lt;span style="line-height:107%"&gt;&lt;span style="font-family:Calibri,sans-serif"&gt;Recursos aprimorados de jogos HDMI 2.1&lt;/span&gt;&lt;/span&gt;&lt;/span&gt;&lt;/p&gt;
&lt;p&gt;&lt;span style="font-size:11pt"&gt;&lt;span style="line-height:107%"&gt;&lt;span style="font-family:Calibri,sans-serif"&gt;Games-VRR, ALLM, QFT, HFR (4K a 120 Hz)&lt;/span&gt;&lt;/span&gt;&lt;/span&gt;&lt;/p&gt;
&lt;p&gt;&lt;span style="font-size:11pt"&gt;&lt;span style="line-height:107%"&gt;&lt;span style="font-family:Calibri,sans-serif"&gt;HDR 10+, Dolby Vision: Sim , Sim&lt;/span&gt;&lt;/span&gt;&lt;/span&gt;&lt;/p&gt;
&lt;p&gt;&lt;span style="font-size:11pt"&gt;&lt;span style="line-height:107%"&gt;&lt;span style="font-family:Calibri,sans-serif"&gt;Formato do arquivo: MP3 / MPEG-4 AAC&lt;/span&gt;&lt;/span&gt;&lt;/span&gt;&lt;/p&gt;
&lt;p&gt;&lt;span style="font-size:11pt"&gt;&lt;span style="line-height:107%"&gt;&lt;span style="font-family:Calibri,sans-serif"&gt;Analógico puro: Sim&lt;/span&gt;&lt;/span&gt;&lt;/span&gt;&lt;/p&gt;
&lt;p&gt;&lt;span style="font-size:11pt"&gt;&lt;span style="line-height:107%"&gt;&lt;span style="font-family:Calibri,sans-serif"&gt;EZ Set EQ: Sim&lt;/span&gt;&lt;/span&gt;&lt;/span&gt;&lt;/p&gt;
&lt;p&gt;&lt;span style="font-size:11pt"&gt;&lt;span style="line-height:107%"&gt;&lt;span style="font-family:Calibri,sans-serif"&gt;Bi-amplificação do canal frontal: Sim&lt;/span&gt;&lt;/span&gt;&lt;/span&gt;&lt;/p&gt;
&lt;p&gt;&lt;span style="font-size:11pt"&gt;&lt;span style="line-height:107%"&gt;&lt;span style="font-family:Calibri,sans-serif"&gt;Processamento de sinal digital até 24 bits/192 kHz&lt;/span&gt;&lt;/span&gt;&lt;/span&gt;&lt;/p&gt;
&lt;p&gt;&lt;span style="font-size:11pt"&gt;&lt;span style="line-height:107%"&gt;&lt;span style="font-family:Calibri,sans-serif"&gt;Canais: 7.2&lt;/span&gt;&lt;/span&gt;&lt;/span&gt;&lt;/p&gt;
&lt;p style="margin-bottom:11px"&gt;&lt;span style="font-size:11pt"&gt;&lt;span style="line-height:107%"&gt;&lt;span style="font-family:Calibri,sans-serif"&gt;&lt;b&gt;Especificações de Áudio&lt;/b&gt;&lt;/span&gt;&lt;/span&gt;&lt;/span&gt;&lt;/p&gt;
&lt;p style="margin-bottom:11px"&gt;&lt;span style="font-size:11pt"&gt;&lt;span style="line-height:107%"&gt;&lt;span style="font-family:Calibri,sans-serif"&gt;Potência nominal a 8Ω (20 Hz a 20 kHz, 2 canais acionados, máx. 0,5% de THD)125 W RMS&lt;/span&gt;&lt;/span&gt;&lt;/span&gt;&lt;/p&gt;
&lt;p style="margin-bottom:11px"&gt;&lt;span style="font-size:11pt"&gt;&lt;span style="line-height:107%"&gt;&lt;span style="font-family:Calibri,sans-serif"&gt;Potência nominal a 4Ω (20 Hz a 20 kHz, 2 canais acionados, máx. 0,5% de THD) 175 W RMS&lt;/span&gt;&lt;/span&gt;&lt;/span&gt;&lt;/p&gt;
&lt;p style="margin-bottom:11px"&gt;&lt;span style="font-size:11pt"&gt;&lt;span style="line-height:107%"&gt;&lt;span style="font-family:Calibri,sans-serif"&gt;&lt;b&gt;Especificações de Controle e Conexão&lt;/b&gt;&lt;/span&gt;&lt;/span&gt;&lt;/span&gt;&lt;/p&gt;
&lt;p style="margin-bottom:11px"&gt;&lt;span style="font-size:11pt"&gt;&lt;span style="line-height:107%"&gt;&lt;span style="font-family:Calibri,sans-serif"&gt;Entrada/saída HDMI: 6/ 2&lt;/span&gt;&lt;/span&gt;&lt;/span&gt;&lt;/p&gt;
&lt;p style="margin-bottom:11px"&gt;&lt;span style="font-size:11pt"&gt;&lt;span style="line-height:107%"&gt;&lt;span style="font-family:Calibri,sans-serif"&gt;Wi-Fi: Sim (2,4/5 GHz)&lt;/span&gt;&lt;/span&gt;&lt;/span&gt;&lt;/p&gt;
&lt;p style="margin-bottom:11px"&gt;&lt;span style="font-size:11pt"&gt;&lt;span style="line-height:107%"&gt;&lt;span style="font-family:Calibri,sans-serif"&gt;Recebimento Bluetooth: Sim (v5.3, baixa energia, APTX HD, APTX adaptativo)&lt;/span&gt;&lt;/span&gt;&lt;/span&gt;&lt;/p&gt;
&lt;p style="margin-bottom:11px"&gt;&lt;span style="font-size:11pt"&gt;&lt;span style="line-height:107%"&gt;&lt;span style="font-family:Calibri,sans-serif"&gt;Transmissão Bluetooth: Sim&lt;/span&gt;&lt;/span&gt;&lt;/span&gt;&lt;/p&gt;
&lt;p style="margin-bottom:11px"&gt;&lt;span style="font-size:11pt"&gt;&lt;span style="line-height:107%"&gt;&lt;span style="font-family:Calibri,sans-serif"&gt;Entradas de áudio digital: 1 coaxial, 1 óptico, 1 USB&lt;/span&gt;&lt;/span&gt;&lt;/span&gt;&lt;/p&gt;
&lt;p style="margin-bottom:11px"&gt;&lt;span style="font-size:11pt"&gt;&lt;span style="line-height:107%"&gt;&lt;span style="font-family:Calibri,sans-serif"&gt;Entrada analógica estéreo: 2 RCA de terminação simples (nível de linha), 1 entrada Phono tipo MM + terra&lt;/span&gt;&lt;/span&gt;&lt;/span&gt;&lt;/p&gt;
&lt;p style="margin-bottom:11px"&gt;&lt;span style="font-size:11pt"&gt;&lt;span style="line-height:107%"&gt;&lt;span style="font-family:Calibri,sans-serif"&gt;Saída Pré (RCA de extremidade única)&lt;/span&gt;&lt;/span&gt;&lt;/span&gt;&lt;/p&gt;
&lt;p style="margin-bottom:11px"&gt;&lt;span style="font-size:11pt"&gt;&lt;span style="line-height:107%"&gt;&lt;span style="font-family:Calibri,sans-serif"&gt;Estéreo Zona 2, Subwoofer 1, Subwoofer 2&lt;/span&gt;&lt;/span&gt;&lt;/span&gt;&lt;/p&gt;
&lt;p style="margin-bottom:11px"&gt;&lt;span style="font-size:11pt"&gt;&lt;span style="line-height:107%"&gt;&lt;span style="font-family:Calibri,sans-serif"&gt;Ethernet: RJ45 Gigabit, WiFi integrado&lt;/span&gt;&lt;/span&gt;&lt;/span&gt;&lt;/p&gt;
&lt;p style="margin-bottom:11px"&gt; &lt;/p&gt;
&lt;p style="margin-bottom:11px"&gt; &lt;/p&gt;
&lt;p style="margin-bottom:11px"&gt;&lt;span style="font-size:11pt"&gt;&lt;span style="line-height:107%"&gt;&lt;span style="font-family:Calibri,sans-serif"&gt;&lt;b&gt;Dimensões&lt;/b&gt;&lt;/span&gt;&lt;/span&gt;&lt;/span&gt;&lt;/p&gt;
&lt;p style="margin-bottom:11px"&gt;&lt;span style="font-size:11pt"&gt;&lt;span style="line-height:107%"&gt;&lt;span style="font-family:Calibri,sans-serif"&gt;Dimensões incluindo pés e terminais das caixas acústicas (A x L x P) 135,0 mm x 432,0 mm x 396,4 mm &lt;/span&gt;&lt;/span&gt;&lt;/span&gt;&lt;/p&gt;
&lt;p style="margin-bottom:11px"&gt;&lt;span style="font-size:11pt"&gt;&lt;span style="line-height:107%"&gt;&lt;span style="font-family:Calibri,sans-serif"&gt;Peso 7,4 kg &lt;/span&gt;&lt;/span&gt;&lt;/span&gt;&lt;/p&gt;
&lt;dl class="spec-list" style="box-sizing: border-box; margin: 0px; padding: 0px; display: flex; flex-wrap: wrap;"&gt;
&lt;/dl&gt;
&lt;/div&gt;
&lt;/slot&gt;&lt;/div&gt;
</t>
  </si>
  <si>
    <t>https://cdn.awsli.com.br/948/948321/produto/329740268/13-6q1auzyxxl.jpg</t>
  </si>
  <si>
    <t>https://cdn.awsli.com.br/948/948321/produto/329740268/14-zqtgri46u2.jpg</t>
  </si>
  <si>
    <t>https://cdn.awsli.com.br/948/948321/produto/329740268/12-b14ghgf666.jpg</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</si>
</sst>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R$ -416]#,##0.00"/>
    <numFmt numFmtId="165" formatCode="_([$R$ -416]* #,##0.00_);_([$R$ -416]* \(#,##0.00\);_([$R$ -416]* &quot;-&quot;??_);_(@_)"/>
    <numFmt numFmtId="166" formatCode="_-&quot;R$&quot;\ * #,##0.00_-;\-&quot;R$&quot;\ * #,##0.00_-;_-&quot;R$&quot;\ * &quot;-&quot;??_-;_-@"/>
    <numFmt numFmtId="167" formatCode="dd/mm"/>
    <numFmt numFmtId="168" formatCode="dd/MM/yyyy"/>
    <numFmt numFmtId="169" formatCode="dd/mm/yyyy"/>
  </numFmts>
  <fonts count="22">
    <font>
      <sz val="10.0"/>
      <color rgb="FF000000"/>
      <name val="Calibri"/>
      <scheme val="minor"/>
    </font>
    <font>
      <color theme="1"/>
      <name val="Calibri"/>
      <scheme val="minor"/>
    </font>
    <font>
      <color rgb="FFFFFFFF"/>
      <name val="Calibri"/>
      <scheme val="minor"/>
    </font>
    <font>
      <sz val="11.0"/>
      <color rgb="FFFFFFFF"/>
      <name val="Calibri"/>
      <scheme val="minor"/>
    </font>
    <font>
      <sz val="11.0"/>
      <color theme="1"/>
      <name val="Calibri"/>
      <scheme val="minor"/>
    </font>
    <font>
      <color rgb="FF000000"/>
      <name val="Calibri"/>
      <scheme val="minor"/>
    </font>
    <font>
      <color rgb="FF000000"/>
      <name val="Roboto"/>
    </font>
    <font>
      <sz val="28.0"/>
      <color rgb="FFFFFFFF"/>
      <name val="Calibri"/>
      <scheme val="minor"/>
    </font>
    <font/>
    <font>
      <color rgb="FFFFFFFF"/>
      <name val="Arial"/>
    </font>
    <font>
      <color rgb="FFFFFFFF"/>
      <name val="Roboto"/>
    </font>
    <font>
      <b/>
      <sz val="12.0"/>
      <color rgb="FFFFFFFF"/>
      <name val="Calibri"/>
      <scheme val="minor"/>
    </font>
    <font>
      <b/>
      <sz val="34.0"/>
      <color rgb="FFFFFFFF"/>
      <name val="Calibri"/>
      <scheme val="minor"/>
    </font>
    <font>
      <b/>
      <sz val="11.0"/>
      <color rgb="FFFFFFFF"/>
      <name val="Calibri"/>
      <scheme val="minor"/>
    </font>
    <font>
      <sz val="16.0"/>
      <color rgb="FFFFFFFF"/>
      <name val="Calibri"/>
      <scheme val="minor"/>
    </font>
    <font>
      <b/>
      <sz val="16.0"/>
      <color rgb="FF000000"/>
      <name val="Calibri"/>
      <scheme val="minor"/>
    </font>
    <font>
      <sz val="16.0"/>
      <color rgb="FF000000"/>
      <name val="Calibri"/>
      <scheme val="minor"/>
    </font>
    <font>
      <b/>
      <sz val="16.0"/>
      <color rgb="FFFFFFFF"/>
      <name val="Calibri"/>
      <scheme val="minor"/>
    </font>
    <font>
      <sz val="13.0"/>
      <color rgb="FFFFFFFF"/>
      <name val="Calibri"/>
      <scheme val="minor"/>
    </font>
    <font>
      <sz val="12.0"/>
      <color rgb="FFFFFFFF"/>
      <name val="Calibri"/>
      <scheme val="minor"/>
    </font>
    <font>
      <sz val="12.0"/>
      <color rgb="FFFFFFFF"/>
      <name val="Arial"/>
    </font>
    <font>
      <b/>
      <color theme="1"/>
      <name val="Calibri"/>
      <scheme val="minor"/>
    </font>
  </fonts>
  <fills count="7">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F3F3F3"/>
        <bgColor rgb="FFF3F3F3"/>
      </patternFill>
    </fill>
    <fill>
      <patternFill patternType="solid">
        <fgColor rgb="FF1C4587"/>
        <bgColor rgb="FF1C4587"/>
      </patternFill>
    </fill>
    <fill>
      <patternFill patternType="solid">
        <fgColor rgb="FFD9EAD3"/>
        <bgColor rgb="FFD9EAD3"/>
      </patternFill>
    </fill>
  </fills>
  <borders count="76">
    <border/>
    <border>
      <left style="thin">
        <color rgb="FF073763"/>
      </left>
      <right style="thin">
        <color rgb="FF073763"/>
      </right>
      <top style="thin">
        <color rgb="FF073763"/>
      </top>
      <bottom style="thin">
        <color rgb="FF073763"/>
      </bottom>
    </border>
    <border>
      <left style="thin">
        <color rgb="FF073763"/>
      </left>
      <top style="thin">
        <color rgb="FF073763"/>
      </top>
      <bottom style="thin">
        <color rgb="FF073763"/>
      </bottom>
    </border>
    <border>
      <left style="thin">
        <color rgb="FF073763"/>
      </left>
      <right style="thin">
        <color rgb="FF073763"/>
      </right>
      <top style="thin">
        <color rgb="FF073763"/>
      </top>
    </border>
    <border>
      <right style="thin">
        <color rgb="FF073763"/>
      </right>
      <top style="thin">
        <color rgb="FF073763"/>
      </top>
    </border>
    <border>
      <left style="thin">
        <color rgb="FFFFFFFF"/>
      </left>
      <right style="thin">
        <color rgb="FFFFFFFF"/>
      </right>
      <top style="thin">
        <color rgb="FFFFFFFF"/>
      </top>
      <bottom style="thin">
        <color rgb="FFFFFFFF"/>
      </bottom>
    </border>
    <border>
      <right style="thin">
        <color rgb="FF073763"/>
      </right>
      <top style="thin">
        <color rgb="FF073763"/>
      </top>
      <bottom style="thin">
        <color rgb="FF073763"/>
      </bottom>
    </border>
    <border>
      <left style="thin">
        <color rgb="FFFFFFFF"/>
      </left>
      <top style="thin">
        <color rgb="FFFFFFFF"/>
      </top>
      <bottom style="thin">
        <color rgb="FFFFFFFF"/>
      </bottom>
    </border>
    <border>
      <left style="thin">
        <color rgb="FF073763"/>
      </left>
      <right style="thin">
        <color rgb="FF073763"/>
      </right>
    </border>
    <border>
      <left style="thin">
        <color rgb="FF073763"/>
      </left>
      <right style="thin">
        <color rgb="FF073763"/>
      </right>
      <bottom style="thin">
        <color rgb="FF073763"/>
      </bottom>
    </border>
    <border>
      <top style="thin">
        <color rgb="FFFFFFFF"/>
      </top>
      <bottom style="thin">
        <color rgb="FFFFFFFF"/>
      </bottom>
    </border>
    <border>
      <right style="thin">
        <color rgb="FFFFFFFF"/>
      </right>
      <top style="thin">
        <color rgb="FFFFFFFF"/>
      </top>
      <bottom style="thin">
        <color rgb="FFFFFFFF"/>
      </bottom>
    </border>
    <border>
      <right style="thin">
        <color rgb="FF073763"/>
      </right>
    </border>
    <border>
      <left style="thin">
        <color rgb="FF05294A"/>
      </left>
      <right style="thin">
        <color rgb="FF073763"/>
      </right>
      <top style="thin">
        <color rgb="FF05294A"/>
      </top>
      <bottom style="thin">
        <color rgb="FF05294A"/>
      </bottom>
    </border>
    <border>
      <left style="thin">
        <color rgb="FF073763"/>
      </left>
      <right style="thin">
        <color rgb="FF073763"/>
      </right>
      <top style="thin">
        <color rgb="FF05294A"/>
      </top>
      <bottom style="thin">
        <color rgb="FF05294A"/>
      </bottom>
    </border>
    <border>
      <left style="thin">
        <color rgb="FF073763"/>
      </left>
      <right style="thin">
        <color rgb="FF05294A"/>
      </right>
      <top style="thin">
        <color rgb="FF05294A"/>
      </top>
      <bottom style="thin">
        <color rgb="FF05294A"/>
      </bottom>
    </border>
    <border>
      <left style="thin">
        <color rgb="FF05294A"/>
      </left>
      <right style="thin">
        <color rgb="FF1C4587"/>
      </right>
      <top style="thin">
        <color rgb="FF1C4587"/>
      </top>
      <bottom style="thin">
        <color rgb="FF1C4587"/>
      </bottom>
    </border>
    <border>
      <left style="thin">
        <color rgb="FF1C4587"/>
      </left>
      <right style="thin">
        <color rgb="FF1C4587"/>
      </right>
      <top style="thin">
        <color rgb="FF1C4587"/>
      </top>
      <bottom style="thin">
        <color rgb="FF1C4587"/>
      </bottom>
    </border>
    <border>
      <left style="thin">
        <color rgb="FF1C4587"/>
      </left>
      <right style="thin">
        <color rgb="FF05294A"/>
      </right>
      <top style="thin">
        <color rgb="FF1C4587"/>
      </top>
      <bottom style="thin">
        <color rgb="FF1C4587"/>
      </bottom>
    </border>
    <border>
      <left style="thin">
        <color rgb="FF05294A"/>
      </left>
      <right style="thin">
        <color rgb="FF073763"/>
      </right>
      <top style="thin">
        <color rgb="FF073763"/>
      </top>
      <bottom style="thin">
        <color rgb="FF073763"/>
      </bottom>
    </border>
    <border>
      <left style="thin">
        <color rgb="FF073763"/>
      </left>
      <right style="thin">
        <color rgb="FF05294A"/>
      </right>
      <top style="thin">
        <color rgb="FF073763"/>
      </top>
      <bottom style="thin">
        <color rgb="FF073763"/>
      </bottom>
    </border>
    <border>
      <left style="thin">
        <color rgb="FF05294A"/>
      </left>
      <right style="thin">
        <color rgb="FF073763"/>
      </right>
      <top style="thin">
        <color rgb="FF073763"/>
      </top>
      <bottom style="thin">
        <color rgb="FF05294A"/>
      </bottom>
    </border>
    <border>
      <left style="thin">
        <color rgb="FF073763"/>
      </left>
      <right style="thin">
        <color rgb="FF073763"/>
      </right>
      <top style="thin">
        <color rgb="FF073763"/>
      </top>
      <bottom style="thin">
        <color rgb="FF05294A"/>
      </bottom>
    </border>
    <border>
      <left style="thin">
        <color rgb="FF073763"/>
      </left>
      <right style="thin">
        <color rgb="FF05294A"/>
      </right>
      <top style="thin">
        <color rgb="FF073763"/>
      </top>
      <bottom style="thin">
        <color rgb="FF05294A"/>
      </bottom>
    </border>
    <border>
      <left style="thin">
        <color rgb="FF05294A"/>
      </left>
      <right style="thin">
        <color rgb="FFFFFFFF"/>
      </right>
      <top style="thin">
        <color rgb="FF05294A"/>
      </top>
      <bottom style="thin">
        <color rgb="FF05294A"/>
      </bottom>
    </border>
    <border>
      <left style="thin">
        <color rgb="FFFFFFFF"/>
      </left>
      <right style="thin">
        <color rgb="FFFFFFFF"/>
      </right>
      <top style="thin">
        <color rgb="FF05294A"/>
      </top>
      <bottom style="thin">
        <color rgb="FF05294A"/>
      </bottom>
    </border>
    <border>
      <left style="thin">
        <color rgb="FF05294A"/>
      </left>
      <right style="thin">
        <color rgb="FFFFFFFF"/>
      </right>
      <top style="thin">
        <color rgb="FFFFFFFF"/>
      </top>
      <bottom style="thin">
        <color rgb="FFFFFFFF"/>
      </bottom>
    </border>
    <border>
      <left style="thin">
        <color rgb="FF073763"/>
      </left>
      <top style="thin">
        <color rgb="FF073763"/>
      </top>
    </border>
    <border>
      <top style="thin">
        <color rgb="FF073763"/>
      </top>
    </border>
    <border>
      <left style="thin">
        <color rgb="FF073763"/>
      </left>
    </border>
    <border>
      <left style="thin">
        <color rgb="FF073763"/>
      </left>
      <bottom style="thin">
        <color rgb="FF073763"/>
      </bottom>
    </border>
    <border>
      <bottom style="thin">
        <color rgb="FF073763"/>
      </bottom>
    </border>
    <border>
      <right style="thin">
        <color rgb="FF073763"/>
      </right>
      <bottom style="thin">
        <color rgb="FF073763"/>
      </bottom>
    </border>
    <border>
      <left style="thin">
        <color rgb="FF05294A"/>
      </left>
      <right style="thin">
        <color rgb="FFFFFFFF"/>
      </right>
      <top style="thin">
        <color rgb="FFFFFFFF"/>
      </top>
      <bottom style="thin">
        <color rgb="FF05294A"/>
      </bottom>
    </border>
    <border>
      <left style="thin">
        <color rgb="FFFFFFFF"/>
      </left>
      <right style="thin">
        <color rgb="FFFFFFFF"/>
      </right>
      <top style="thin">
        <color rgb="FFFFFFFF"/>
      </top>
      <bottom style="thin">
        <color rgb="FF05294A"/>
      </bottom>
    </border>
    <border>
      <left style="thin">
        <color rgb="FF1C4587"/>
      </left>
      <right style="thin">
        <color rgb="FF1C4587"/>
      </right>
      <top style="thin">
        <color rgb="FF1C4587"/>
      </top>
      <bottom style="thin">
        <color rgb="FF05294A"/>
      </bottom>
    </border>
    <border>
      <left style="thin">
        <color rgb="FF1C4587"/>
      </left>
      <right style="thin">
        <color rgb="FF05294A"/>
      </right>
      <top style="thin">
        <color rgb="FF1C4587"/>
      </top>
      <bottom style="thin">
        <color rgb="FF05294A"/>
      </bottom>
    </border>
    <border>
      <top style="thin">
        <color rgb="FF073763"/>
      </top>
      <bottom style="thin">
        <color rgb="FF073763"/>
      </bottom>
    </border>
    <border>
      <left style="thick">
        <color rgb="FF073763"/>
      </left>
      <right style="thin">
        <color rgb="FF1C4587"/>
      </right>
      <top style="thick">
        <color rgb="FF073763"/>
      </top>
      <bottom style="thick">
        <color rgb="FF073763"/>
      </bottom>
    </border>
    <border>
      <left style="thin">
        <color rgb="FF1C4587"/>
      </left>
      <right style="thin">
        <color rgb="FF1C4587"/>
      </right>
      <top style="thick">
        <color rgb="FF073763"/>
      </top>
      <bottom style="thick">
        <color rgb="FF073763"/>
      </bottom>
    </border>
    <border>
      <top style="thick">
        <color rgb="FF073763"/>
      </top>
    </border>
    <border>
      <top style="thick">
        <color rgb="FF073763"/>
      </top>
      <bottom style="thick">
        <color rgb="FF073763"/>
      </bottom>
    </border>
    <border>
      <left style="thin">
        <color rgb="FF1C4587"/>
      </left>
      <right style="thick">
        <color rgb="FF073763"/>
      </right>
      <top style="thick">
        <color rgb="FF073763"/>
      </top>
      <bottom style="thick">
        <color rgb="FF073763"/>
      </bottom>
    </border>
    <border>
      <left style="thick">
        <color rgb="FF073763"/>
      </left>
      <right style="thin">
        <color rgb="FF073763"/>
      </right>
      <top style="thick">
        <color rgb="FF073763"/>
      </top>
    </border>
    <border>
      <left style="thin">
        <color rgb="FF073763"/>
      </left>
      <right style="thin">
        <color rgb="FF073763"/>
      </right>
      <top style="thick">
        <color rgb="FF073763"/>
      </top>
    </border>
    <border>
      <left style="thin">
        <color rgb="FF073763"/>
      </left>
      <top style="thick">
        <color rgb="FF073763"/>
      </top>
    </border>
    <border>
      <left style="thin">
        <color rgb="FF073763"/>
      </left>
      <right style="thick">
        <color rgb="FF073763"/>
      </right>
      <top style="thick">
        <color rgb="FF073763"/>
      </top>
    </border>
    <border>
      <left style="thick">
        <color rgb="FF073763"/>
      </left>
      <top style="thick">
        <color rgb="FF073763"/>
      </top>
    </border>
    <border>
      <right style="thick">
        <color rgb="FF073763"/>
      </right>
      <top style="thick">
        <color rgb="FF073763"/>
      </top>
    </border>
    <border>
      <left style="thin">
        <color rgb="FF000000"/>
      </left>
      <top style="thin">
        <color rgb="FF000000"/>
      </top>
      <bottom style="thin">
        <color rgb="FF000000"/>
      </bottom>
    </border>
    <border>
      <right style="thin">
        <color rgb="FFFFFFFF"/>
      </righ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FFFFF"/>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000000"/>
      </right>
      <bottom style="thin">
        <color rgb="FFFFFFFF"/>
      </bottom>
    </border>
    <border>
      <left style="thin">
        <color rgb="FF000000"/>
      </left>
      <right style="thin">
        <color rgb="FF000000"/>
      </right>
      <bottom style="thin">
        <color rgb="FFFFFFFF"/>
      </bottom>
    </border>
    <border>
      <left style="thin">
        <color rgb="FFFFFFFF"/>
      </left>
      <bottom style="thin">
        <color rgb="FFFFFFFF"/>
      </bottom>
    </border>
    <border>
      <right style="thin">
        <color rgb="FF000000"/>
      </right>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000000"/>
      </right>
      <top style="thin">
        <color rgb="FFFFFFFF"/>
      </top>
      <bottom style="thin">
        <color rgb="FFFFFFFF"/>
      </bottom>
    </border>
    <border>
      <left style="thin">
        <color rgb="FF000000"/>
      </left>
      <top style="thin">
        <color rgb="FFFFFFFF"/>
      </top>
      <bottom style="thin">
        <color rgb="FFFFFFFF"/>
      </bottom>
    </border>
    <border>
      <right style="thin">
        <color rgb="FF000000"/>
      </right>
      <top style="thin">
        <color rgb="FFFFFFFF"/>
      </top>
      <bottom style="thin">
        <color rgb="FFFFFFFF"/>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left style="thin">
        <color rgb="FF000000"/>
      </left>
      <right style="thin">
        <color rgb="FF000000"/>
      </right>
      <top style="thin">
        <color rgb="FFFFFFFF"/>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readingOrder="0"/>
    </xf>
    <xf borderId="0" fillId="2" fontId="2" numFmtId="0" xfId="0" applyAlignment="1" applyFont="1">
      <alignment horizontal="center" readingOrder="0"/>
    </xf>
    <xf borderId="2" fillId="2" fontId="1" numFmtId="0" xfId="0" applyAlignment="1" applyBorder="1" applyFont="1">
      <alignment horizontal="center" readingOrder="0"/>
    </xf>
    <xf borderId="3" fillId="2" fontId="1" numFmtId="0" xfId="0" applyAlignment="1" applyBorder="1" applyFont="1">
      <alignment horizontal="center"/>
    </xf>
    <xf borderId="3" fillId="2" fontId="1" numFmtId="0" xfId="0" applyBorder="1" applyFont="1"/>
    <xf borderId="4" fillId="2" fontId="2" numFmtId="164" xfId="0" applyAlignment="1" applyBorder="1" applyFont="1" applyNumberFormat="1">
      <alignment horizontal="center" readingOrder="0"/>
    </xf>
    <xf borderId="3" fillId="2" fontId="2" numFmtId="0" xfId="0" applyAlignment="1" applyBorder="1" applyFont="1">
      <alignment horizontal="center" readingOrder="0"/>
    </xf>
    <xf borderId="5" fillId="2" fontId="3" numFmtId="0" xfId="0" applyAlignment="1" applyBorder="1" applyFont="1">
      <alignment horizontal="center" readingOrder="0" vertical="center"/>
    </xf>
    <xf borderId="5" fillId="2" fontId="3" numFmtId="165" xfId="0" applyAlignment="1" applyBorder="1" applyFont="1" applyNumberFormat="1">
      <alignment horizontal="center" readingOrder="0" vertical="center"/>
    </xf>
    <xf borderId="5" fillId="2" fontId="3" numFmtId="164" xfId="0" applyAlignment="1" applyBorder="1" applyFont="1" applyNumberFormat="1">
      <alignment horizontal="center" readingOrder="0" vertical="center"/>
    </xf>
    <xf borderId="6" fillId="2" fontId="1" numFmtId="0" xfId="0" applyBorder="1" applyFont="1"/>
    <xf borderId="5" fillId="2" fontId="3" numFmtId="10" xfId="0" applyAlignment="1" applyBorder="1" applyFont="1" applyNumberFormat="1">
      <alignment horizontal="center" readingOrder="0" vertical="center"/>
    </xf>
    <xf borderId="7" fillId="2" fontId="3" numFmtId="0" xfId="0" applyAlignment="1" applyBorder="1" applyFont="1">
      <alignment horizontal="center" readingOrder="0" vertical="center"/>
    </xf>
    <xf borderId="0" fillId="2" fontId="4" numFmtId="0" xfId="0" applyFont="1"/>
    <xf borderId="3" fillId="2" fontId="1" numFmtId="0" xfId="0" applyAlignment="1" applyBorder="1" applyFont="1">
      <alignment horizontal="center" readingOrder="0"/>
    </xf>
    <xf borderId="8" fillId="2" fontId="2" numFmtId="0" xfId="0" applyAlignment="1" applyBorder="1" applyFont="1">
      <alignment horizontal="center" readingOrder="0"/>
    </xf>
    <xf borderId="8" fillId="2" fontId="2" numFmtId="0" xfId="0" applyAlignment="1" applyBorder="1" applyFont="1">
      <alignment horizontal="center"/>
    </xf>
    <xf borderId="8" fillId="2" fontId="2" numFmtId="164" xfId="0" applyAlignment="1" applyBorder="1" applyFont="1" applyNumberFormat="1">
      <alignment horizontal="center" readingOrder="0"/>
    </xf>
    <xf borderId="8" fillId="2" fontId="1" numFmtId="0" xfId="0" applyAlignment="1" applyBorder="1" applyFont="1">
      <alignment horizontal="center"/>
    </xf>
    <xf borderId="9" fillId="2" fontId="1" numFmtId="0" xfId="0" applyBorder="1" applyFont="1"/>
    <xf borderId="7" fillId="2" fontId="2" numFmtId="0" xfId="0" applyAlignment="1" applyBorder="1" applyFont="1">
      <alignment horizontal="center" readingOrder="0"/>
    </xf>
    <xf borderId="10" fillId="2" fontId="2" numFmtId="0" xfId="0" applyAlignment="1" applyBorder="1" applyFont="1">
      <alignment horizontal="center" readingOrder="0"/>
    </xf>
    <xf borderId="10" fillId="2" fontId="2" numFmtId="165" xfId="0" applyAlignment="1" applyBorder="1" applyFont="1" applyNumberFormat="1">
      <alignment horizontal="center" readingOrder="0"/>
    </xf>
    <xf borderId="10" fillId="2" fontId="2" numFmtId="164" xfId="0" applyAlignment="1" applyBorder="1" applyFont="1" applyNumberFormat="1">
      <alignment horizontal="center" readingOrder="0"/>
    </xf>
    <xf borderId="11" fillId="2" fontId="2" numFmtId="0" xfId="0" applyAlignment="1" applyBorder="1" applyFont="1">
      <alignment horizontal="center" readingOrder="0"/>
    </xf>
    <xf borderId="12" fillId="2" fontId="1" numFmtId="0" xfId="0" applyBorder="1" applyFont="1"/>
    <xf borderId="4" fillId="2" fontId="1" numFmtId="0" xfId="0" applyBorder="1" applyFont="1"/>
    <xf borderId="10" fillId="2" fontId="2" numFmtId="165" xfId="0" applyAlignment="1" applyBorder="1" applyFont="1" applyNumberFormat="1">
      <alignment horizontal="center" readingOrder="0" vertical="center"/>
    </xf>
    <xf borderId="10" fillId="2" fontId="5" numFmtId="0" xfId="0" applyAlignment="1" applyBorder="1" applyFont="1">
      <alignment horizontal="center" readingOrder="0" vertical="center"/>
    </xf>
    <xf borderId="10" fillId="2" fontId="2" numFmtId="0" xfId="0" applyAlignment="1" applyBorder="1" applyFont="1">
      <alignment horizontal="center" readingOrder="0" vertical="center"/>
    </xf>
    <xf borderId="10" fillId="2" fontId="2" numFmtId="10" xfId="0" applyAlignment="1" applyBorder="1" applyFont="1" applyNumberFormat="1">
      <alignment horizontal="center" readingOrder="0" vertical="center"/>
    </xf>
    <xf borderId="10" fillId="2" fontId="2" numFmtId="0" xfId="0" applyAlignment="1" applyBorder="1" applyFont="1">
      <alignment horizontal="center" vertical="center"/>
    </xf>
    <xf borderId="11" fillId="2" fontId="1" numFmtId="0" xfId="0" applyAlignment="1" applyBorder="1" applyFont="1">
      <alignment horizontal="center" vertical="center"/>
    </xf>
    <xf borderId="0" fillId="2" fontId="1" numFmtId="0" xfId="0" applyAlignment="1" applyFont="1">
      <alignment vertical="center"/>
    </xf>
    <xf borderId="0" fillId="2" fontId="2" numFmtId="0" xfId="0" applyAlignment="1" applyFont="1">
      <alignment horizontal="center" readingOrder="0" vertical="center"/>
    </xf>
    <xf borderId="0" fillId="2" fontId="5" numFmtId="0" xfId="0" applyAlignment="1" applyFont="1">
      <alignment horizontal="center" readingOrder="0" vertical="center"/>
    </xf>
    <xf borderId="0" fillId="2" fontId="2" numFmtId="165" xfId="0" applyAlignment="1" applyFont="1" applyNumberFormat="1">
      <alignment horizontal="center" readingOrder="0" vertical="center"/>
    </xf>
    <xf borderId="0" fillId="2" fontId="2" numFmtId="10" xfId="0" applyAlignment="1" applyFont="1" applyNumberFormat="1">
      <alignment horizontal="center" readingOrder="0" vertical="center"/>
    </xf>
    <xf borderId="0" fillId="2" fontId="2" numFmtId="165" xfId="0" applyAlignment="1" applyFont="1" applyNumberFormat="1">
      <alignment horizontal="center" vertical="center"/>
    </xf>
    <xf borderId="0" fillId="2" fontId="1" numFmtId="0" xfId="0" applyAlignment="1" applyFont="1">
      <alignment horizontal="center"/>
    </xf>
    <xf borderId="0" fillId="2" fontId="1" numFmtId="0" xfId="0" applyFont="1"/>
    <xf borderId="13" fillId="0" fontId="2" numFmtId="0" xfId="0" applyAlignment="1" applyBorder="1" applyFont="1">
      <alignment horizontal="left" readingOrder="0" shrinkToFit="0" vertical="center" wrapText="0"/>
    </xf>
    <xf borderId="14" fillId="0" fontId="2" numFmtId="0" xfId="0" applyAlignment="1" applyBorder="1" applyFont="1">
      <alignment horizontal="center" readingOrder="0" shrinkToFit="0" vertical="center" wrapText="0"/>
    </xf>
    <xf borderId="14" fillId="0" fontId="2" numFmtId="10" xfId="0" applyAlignment="1" applyBorder="1" applyFont="1" applyNumberFormat="1">
      <alignment horizontal="center" readingOrder="0" shrinkToFit="0" vertical="center" wrapText="0"/>
    </xf>
    <xf borderId="14" fillId="0" fontId="2" numFmtId="165" xfId="0" applyAlignment="1" applyBorder="1" applyFont="1" applyNumberFormat="1">
      <alignment horizontal="center" readingOrder="0" shrinkToFit="0" vertical="center" wrapText="0"/>
    </xf>
    <xf borderId="15" fillId="0" fontId="2" numFmtId="10" xfId="0" applyAlignment="1" applyBorder="1" applyFont="1" applyNumberFormat="1">
      <alignment horizontal="center" readingOrder="0" shrinkToFit="0" vertical="center" wrapText="0"/>
    </xf>
    <xf borderId="16" fillId="0" fontId="2" numFmtId="0" xfId="0" applyAlignment="1" applyBorder="1" applyFont="1">
      <alignment horizontal="left" shrinkToFit="0" vertical="center" wrapText="0"/>
    </xf>
    <xf borderId="17" fillId="0" fontId="2" numFmtId="0" xfId="0" applyAlignment="1" applyBorder="1" applyFont="1">
      <alignment horizontal="center" shrinkToFit="0" vertical="center" wrapText="0"/>
    </xf>
    <xf borderId="17" fillId="0" fontId="2" numFmtId="10" xfId="0" applyAlignment="1" applyBorder="1" applyFont="1" applyNumberFormat="1">
      <alignment horizontal="center" readingOrder="0" shrinkToFit="0" vertical="center" wrapText="0"/>
    </xf>
    <xf borderId="17" fillId="0" fontId="2" numFmtId="165" xfId="0" applyAlignment="1" applyBorder="1" applyFont="1" applyNumberFormat="1">
      <alignment horizontal="center" readingOrder="0" shrinkToFit="0" vertical="center" wrapText="0"/>
    </xf>
    <xf borderId="17" fillId="0" fontId="2" numFmtId="165" xfId="0" applyAlignment="1" applyBorder="1" applyFont="1" applyNumberFormat="1">
      <alignment horizontal="center" shrinkToFit="0" vertical="center" wrapText="0"/>
    </xf>
    <xf borderId="18" fillId="0" fontId="2" numFmtId="10" xfId="0" applyAlignment="1" applyBorder="1" applyFont="1" applyNumberFormat="1">
      <alignment horizontal="center" shrinkToFit="0" vertical="center" wrapText="0"/>
    </xf>
    <xf borderId="19" fillId="0" fontId="2" numFmtId="0" xfId="0" applyAlignment="1" applyBorder="1" applyFont="1">
      <alignment horizontal="left" shrinkToFit="0" vertical="center" wrapText="0"/>
    </xf>
    <xf borderId="1" fillId="0" fontId="2" numFmtId="0" xfId="0" applyAlignment="1" applyBorder="1" applyFont="1">
      <alignment horizontal="center" shrinkToFit="0" vertical="center" wrapText="0"/>
    </xf>
    <xf borderId="1" fillId="0" fontId="2" numFmtId="10" xfId="0" applyAlignment="1" applyBorder="1" applyFont="1" applyNumberFormat="1">
      <alignment horizontal="center" readingOrder="0" shrinkToFit="0" vertical="center" wrapText="0"/>
    </xf>
    <xf borderId="1" fillId="0" fontId="2" numFmtId="165" xfId="0" applyAlignment="1" applyBorder="1" applyFont="1" applyNumberFormat="1">
      <alignment horizontal="center" readingOrder="0" shrinkToFit="0" vertical="center" wrapText="0"/>
    </xf>
    <xf borderId="1" fillId="0" fontId="2" numFmtId="165" xfId="0" applyAlignment="1" applyBorder="1" applyFont="1" applyNumberFormat="1">
      <alignment horizontal="center" shrinkToFit="0" vertical="center" wrapText="0"/>
    </xf>
    <xf borderId="20" fillId="0" fontId="2" numFmtId="10" xfId="0" applyAlignment="1" applyBorder="1" applyFont="1" applyNumberFormat="1">
      <alignment horizontal="center" shrinkToFit="0" vertical="center" wrapText="0"/>
    </xf>
    <xf borderId="16" fillId="0" fontId="2" numFmtId="0" xfId="0" applyAlignment="1" applyBorder="1" applyFont="1">
      <alignment horizontal="left" readingOrder="0" shrinkToFit="0" vertical="center" wrapText="0"/>
    </xf>
    <xf borderId="17" fillId="0" fontId="2" numFmtId="0" xfId="0" applyAlignment="1" applyBorder="1" applyFont="1">
      <alignment horizontal="center" readingOrder="0" shrinkToFit="0" vertical="center" wrapText="0"/>
    </xf>
    <xf borderId="17" fillId="0" fontId="2" numFmtId="165" xfId="0" applyAlignment="1" applyBorder="1" applyFont="1" applyNumberFormat="1">
      <alignment horizontal="left" readingOrder="0" shrinkToFit="0" vertical="center" wrapText="0"/>
    </xf>
    <xf borderId="19" fillId="0" fontId="2" numFmtId="0" xfId="0" applyAlignment="1" applyBorder="1" applyFont="1">
      <alignment horizontal="left" readingOrder="0" shrinkToFit="0" vertical="center" wrapText="0"/>
    </xf>
    <xf borderId="1" fillId="0" fontId="2" numFmtId="0" xfId="0" applyAlignment="1" applyBorder="1" applyFont="1">
      <alignment horizontal="center" readingOrder="0" shrinkToFit="0" vertical="center" wrapText="0"/>
    </xf>
    <xf borderId="1" fillId="0" fontId="2" numFmtId="165" xfId="0" applyAlignment="1" applyBorder="1" applyFont="1" applyNumberFormat="1">
      <alignment horizontal="left" readingOrder="0" shrinkToFit="0" vertical="center" wrapText="0"/>
    </xf>
    <xf borderId="1" fillId="0" fontId="2" numFmtId="166" xfId="0" applyAlignment="1" applyBorder="1" applyFont="1" applyNumberFormat="1">
      <alignment horizontal="left" shrinkToFit="0" vertical="center" wrapText="0"/>
    </xf>
    <xf borderId="1" fillId="0" fontId="2" numFmtId="0" xfId="0" applyAlignment="1" applyBorder="1" applyFont="1">
      <alignment horizontal="left" readingOrder="0" shrinkToFit="0" vertical="center" wrapText="0"/>
    </xf>
    <xf borderId="17" fillId="0" fontId="2" numFmtId="0" xfId="0" applyAlignment="1" applyBorder="1" applyFont="1">
      <alignment horizontal="left" readingOrder="0" shrinkToFit="0" vertical="center" wrapText="0"/>
    </xf>
    <xf borderId="1" fillId="0" fontId="2" numFmtId="10" xfId="0" applyAlignment="1" applyBorder="1" applyFont="1" applyNumberFormat="1">
      <alignment horizontal="center" shrinkToFit="0" vertical="center" wrapText="0"/>
    </xf>
    <xf borderId="17" fillId="0" fontId="2" numFmtId="10" xfId="0" applyAlignment="1" applyBorder="1" applyFont="1" applyNumberFormat="1">
      <alignment horizontal="center" shrinkToFit="0" vertical="center" wrapText="0"/>
    </xf>
    <xf borderId="21" fillId="0" fontId="2" numFmtId="0" xfId="0" applyAlignment="1" applyBorder="1" applyFont="1">
      <alignment horizontal="left" shrinkToFit="0" vertical="center" wrapText="0"/>
    </xf>
    <xf borderId="22" fillId="0" fontId="2" numFmtId="0" xfId="0" applyAlignment="1" applyBorder="1" applyFont="1">
      <alignment horizontal="center" shrinkToFit="0" vertical="center" wrapText="0"/>
    </xf>
    <xf borderId="22" fillId="0" fontId="2" numFmtId="10" xfId="0" applyAlignment="1" applyBorder="1" applyFont="1" applyNumberFormat="1">
      <alignment horizontal="center" shrinkToFit="0" vertical="center" wrapText="0"/>
    </xf>
    <xf borderId="22" fillId="0" fontId="2" numFmtId="165" xfId="0" applyAlignment="1" applyBorder="1" applyFont="1" applyNumberFormat="1">
      <alignment horizontal="center" shrinkToFit="0" vertical="center" wrapText="0"/>
    </xf>
    <xf borderId="23" fillId="0" fontId="2" numFmtId="10" xfId="0" applyAlignment="1" applyBorder="1" applyFont="1" applyNumberFormat="1">
      <alignment horizontal="center" shrinkToFit="0" vertical="center" wrapText="0"/>
    </xf>
    <xf borderId="1" fillId="2" fontId="2" numFmtId="0" xfId="0" applyBorder="1" applyFont="1"/>
    <xf borderId="2" fillId="2" fontId="2" numFmtId="0" xfId="0" applyBorder="1" applyFont="1"/>
    <xf borderId="24" fillId="3" fontId="5" numFmtId="49" xfId="0" applyAlignment="1" applyBorder="1" applyFill="1" applyFont="1" applyNumberFormat="1">
      <alignment horizontal="center" readingOrder="0" shrinkToFit="0" vertical="center" wrapText="0"/>
    </xf>
    <xf borderId="25" fillId="3" fontId="5" numFmtId="0" xfId="0" applyAlignment="1" applyBorder="1" applyFont="1">
      <alignment horizontal="center" readingOrder="0" shrinkToFit="0" vertical="center" wrapText="0"/>
    </xf>
    <xf borderId="14" fillId="0" fontId="2" numFmtId="0" xfId="0" applyAlignment="1" applyBorder="1" applyFont="1">
      <alignment horizontal="center" readingOrder="0" shrinkToFit="0" vertical="center" wrapText="0"/>
    </xf>
    <xf borderId="15" fillId="0" fontId="2" numFmtId="0" xfId="0" applyAlignment="1" applyBorder="1" applyFont="1">
      <alignment horizontal="center" readingOrder="0" shrinkToFit="0" vertical="center" wrapText="0"/>
    </xf>
    <xf borderId="26" fillId="3" fontId="5" numFmtId="3" xfId="0" applyAlignment="1" applyBorder="1" applyFont="1" applyNumberFormat="1">
      <alignment horizontal="center" readingOrder="0" shrinkToFit="0" vertical="center" wrapText="0"/>
    </xf>
    <xf borderId="5" fillId="3" fontId="6" numFmtId="0" xfId="0" applyAlignment="1" applyBorder="1" applyFont="1">
      <alignment horizontal="left" readingOrder="0" shrinkToFit="0" vertical="center" wrapText="0"/>
    </xf>
    <xf borderId="5" fillId="3" fontId="5" numFmtId="3" xfId="0" applyAlignment="1" applyBorder="1" applyFont="1" applyNumberFormat="1">
      <alignment horizontal="center" shrinkToFit="0" vertical="center" wrapText="0"/>
    </xf>
    <xf borderId="17" fillId="0" fontId="2" numFmtId="0" xfId="0" applyAlignment="1" applyBorder="1" applyFont="1">
      <alignment horizontal="center" shrinkToFit="0" vertical="center" wrapText="0"/>
    </xf>
    <xf borderId="17" fillId="0" fontId="2" numFmtId="165" xfId="0" applyAlignment="1" applyBorder="1" applyFont="1" applyNumberFormat="1">
      <alignment shrinkToFit="0" vertical="center" wrapText="0"/>
    </xf>
    <xf borderId="18" fillId="0" fontId="2" numFmtId="165" xfId="0" applyAlignment="1" applyBorder="1" applyFont="1" applyNumberFormat="1">
      <alignment horizontal="center" shrinkToFit="0" vertical="center" wrapText="0"/>
    </xf>
    <xf borderId="27" fillId="2" fontId="7" numFmtId="0" xfId="0" applyAlignment="1" applyBorder="1" applyFont="1">
      <alignment horizontal="center" readingOrder="0" shrinkToFit="0" vertical="center" wrapText="1"/>
    </xf>
    <xf borderId="28" fillId="0" fontId="8" numFmtId="0" xfId="0" applyBorder="1" applyFont="1"/>
    <xf borderId="4" fillId="0" fontId="8" numFmtId="0" xfId="0" applyBorder="1" applyFont="1"/>
    <xf borderId="1" fillId="0" fontId="2" numFmtId="0" xfId="0" applyAlignment="1" applyBorder="1" applyFont="1">
      <alignment horizontal="center" shrinkToFit="0" vertical="center" wrapText="0"/>
    </xf>
    <xf borderId="1" fillId="0" fontId="2" numFmtId="165" xfId="0" applyAlignment="1" applyBorder="1" applyFont="1" applyNumberFormat="1">
      <alignment shrinkToFit="0" vertical="center" wrapText="0"/>
    </xf>
    <xf borderId="20" fillId="0" fontId="2" numFmtId="165" xfId="0" applyAlignment="1" applyBorder="1" applyFont="1" applyNumberFormat="1">
      <alignment horizontal="center" shrinkToFit="0" vertical="center" wrapText="0"/>
    </xf>
    <xf borderId="29" fillId="0" fontId="8" numFmtId="0" xfId="0" applyBorder="1" applyFont="1"/>
    <xf borderId="12" fillId="0" fontId="8" numFmtId="0" xfId="0" applyBorder="1" applyFont="1"/>
    <xf borderId="30" fillId="0" fontId="8" numFmtId="0" xfId="0" applyBorder="1" applyFont="1"/>
    <xf borderId="31" fillId="0" fontId="8" numFmtId="0" xfId="0" applyBorder="1" applyFont="1"/>
    <xf borderId="32" fillId="0" fontId="8" numFmtId="0" xfId="0" applyBorder="1" applyFont="1"/>
    <xf borderId="5" fillId="3" fontId="5" numFmtId="0" xfId="0" applyAlignment="1" applyBorder="1" applyFont="1">
      <alignment horizontal="left" readingOrder="0" shrinkToFit="0" vertical="center" wrapText="0"/>
    </xf>
    <xf borderId="5" fillId="3" fontId="5" numFmtId="0" xfId="0" applyAlignment="1" applyBorder="1" applyFont="1">
      <alignment horizontal="left" shrinkToFit="0" vertical="center" wrapText="0"/>
    </xf>
    <xf borderId="17" fillId="3" fontId="9" numFmtId="165" xfId="0" applyAlignment="1" applyBorder="1" applyFont="1" applyNumberFormat="1">
      <alignment shrinkToFit="0" vertical="center" wrapText="0"/>
    </xf>
    <xf borderId="1" fillId="0" fontId="2" numFmtId="165" xfId="0" applyAlignment="1" applyBorder="1" applyFont="1" applyNumberFormat="1">
      <alignment readingOrder="0" shrinkToFit="0" vertical="center" wrapText="0"/>
    </xf>
    <xf borderId="17" fillId="0" fontId="2" numFmtId="165" xfId="0" applyAlignment="1" applyBorder="1" applyFont="1" applyNumberFormat="1">
      <alignment readingOrder="0" shrinkToFit="0" vertical="center" wrapText="0"/>
    </xf>
    <xf borderId="1" fillId="4" fontId="9" numFmtId="165" xfId="0" applyAlignment="1" applyBorder="1" applyFill="1" applyFont="1" applyNumberFormat="1">
      <alignment shrinkToFit="0" vertical="center" wrapText="0"/>
    </xf>
    <xf borderId="17" fillId="4" fontId="9" numFmtId="165" xfId="0" applyAlignment="1" applyBorder="1" applyFont="1" applyNumberFormat="1">
      <alignment shrinkToFit="0" vertical="center" wrapText="0"/>
    </xf>
    <xf borderId="1" fillId="3" fontId="9" numFmtId="165" xfId="0" applyAlignment="1" applyBorder="1" applyFont="1" applyNumberFormat="1">
      <alignment shrinkToFit="0" vertical="center" wrapText="0"/>
    </xf>
    <xf borderId="17" fillId="0" fontId="2" numFmtId="165" xfId="0" applyAlignment="1" applyBorder="1" applyFont="1" applyNumberFormat="1">
      <alignment horizontal="center" shrinkToFit="0" vertical="center" wrapText="0"/>
    </xf>
    <xf borderId="20" fillId="0" fontId="2" numFmtId="165" xfId="0" applyAlignment="1" applyBorder="1" applyFont="1" applyNumberFormat="1">
      <alignment horizontal="center" readingOrder="0" shrinkToFit="0" vertical="center" wrapText="0"/>
    </xf>
    <xf borderId="26" fillId="3" fontId="5" numFmtId="3" xfId="0" applyAlignment="1" applyBorder="1" applyFont="1" applyNumberFormat="1">
      <alignment horizontal="center" shrinkToFit="0" vertical="center" wrapText="0"/>
    </xf>
    <xf borderId="33" fillId="3" fontId="5" numFmtId="3" xfId="0" applyAlignment="1" applyBorder="1" applyFont="1" applyNumberFormat="1">
      <alignment horizontal="center" shrinkToFit="0" vertical="center" wrapText="0"/>
    </xf>
    <xf borderId="34" fillId="3" fontId="5" numFmtId="0" xfId="0" applyAlignment="1" applyBorder="1" applyFont="1">
      <alignment horizontal="left" shrinkToFit="0" vertical="center" wrapText="0"/>
    </xf>
    <xf borderId="34" fillId="3" fontId="5" numFmtId="3" xfId="0" applyAlignment="1" applyBorder="1" applyFont="1" applyNumberFormat="1">
      <alignment horizontal="center" shrinkToFit="0" vertical="center" wrapText="0"/>
    </xf>
    <xf borderId="35" fillId="0" fontId="2" numFmtId="0" xfId="0" applyAlignment="1" applyBorder="1" applyFont="1">
      <alignment horizontal="center" shrinkToFit="0" vertical="center" wrapText="0"/>
    </xf>
    <xf borderId="35" fillId="0" fontId="2" numFmtId="165" xfId="0" applyAlignment="1" applyBorder="1" applyFont="1" applyNumberFormat="1">
      <alignment shrinkToFit="0" vertical="center" wrapText="0"/>
    </xf>
    <xf borderId="36" fillId="0" fontId="2" numFmtId="165" xfId="0" applyAlignment="1" applyBorder="1" applyFont="1" applyNumberFormat="1">
      <alignment horizontal="center" shrinkToFit="0" vertical="center" wrapText="0"/>
    </xf>
    <xf borderId="3" fillId="2" fontId="10" numFmtId="0" xfId="0" applyAlignment="1" applyBorder="1" applyFont="1">
      <alignment horizontal="center" readingOrder="0" vertical="center"/>
    </xf>
    <xf borderId="37" fillId="2" fontId="2" numFmtId="0" xfId="0" applyBorder="1" applyFont="1"/>
    <xf borderId="0" fillId="2" fontId="2" numFmtId="0" xfId="0" applyFont="1"/>
    <xf borderId="38" fillId="5" fontId="10" numFmtId="167" xfId="0" applyAlignment="1" applyBorder="1" applyFill="1" applyFont="1" applyNumberFormat="1">
      <alignment horizontal="center" readingOrder="0" shrinkToFit="0" wrapText="0"/>
    </xf>
    <xf borderId="39" fillId="5" fontId="10" numFmtId="0" xfId="0" applyAlignment="1" applyBorder="1" applyFont="1">
      <alignment horizontal="center" readingOrder="0" shrinkToFit="0" wrapText="0"/>
    </xf>
    <xf borderId="40" fillId="5" fontId="10" numFmtId="0" xfId="0" applyAlignment="1" applyBorder="1" applyFont="1">
      <alignment horizontal="center" readingOrder="0" shrinkToFit="0" wrapText="0"/>
    </xf>
    <xf borderId="41" fillId="5" fontId="10" numFmtId="0" xfId="0" applyAlignment="1" applyBorder="1" applyFont="1">
      <alignment horizontal="center" readingOrder="0"/>
    </xf>
    <xf borderId="42" fillId="5" fontId="10" numFmtId="0" xfId="0" applyAlignment="1" applyBorder="1" applyFont="1">
      <alignment horizontal="center" readingOrder="0" shrinkToFit="0" wrapText="0"/>
    </xf>
    <xf borderId="9" fillId="2" fontId="10" numFmtId="0" xfId="0" applyAlignment="1" applyBorder="1" applyFont="1">
      <alignment horizontal="center"/>
    </xf>
    <xf borderId="30" fillId="2" fontId="10" numFmtId="0" xfId="0" applyAlignment="1" applyBorder="1" applyFont="1">
      <alignment horizontal="center"/>
    </xf>
    <xf borderId="1" fillId="2" fontId="10" numFmtId="0" xfId="0" applyAlignment="1" applyBorder="1" applyFont="1">
      <alignment horizontal="center"/>
    </xf>
    <xf borderId="2" fillId="2" fontId="10" numFmtId="0" xfId="0" applyAlignment="1" applyBorder="1" applyFont="1">
      <alignment horizontal="center"/>
    </xf>
    <xf borderId="3" fillId="2" fontId="10" numFmtId="0" xfId="0" applyAlignment="1" applyBorder="1" applyFont="1">
      <alignment horizontal="center"/>
    </xf>
    <xf borderId="27" fillId="2" fontId="10" numFmtId="0" xfId="0" applyAlignment="1" applyBorder="1" applyFont="1">
      <alignment horizontal="center"/>
    </xf>
    <xf borderId="3" fillId="2" fontId="2" numFmtId="0" xfId="0" applyBorder="1" applyFont="1"/>
    <xf borderId="27" fillId="2" fontId="2" numFmtId="0" xfId="0" applyBorder="1" applyFont="1"/>
    <xf borderId="43" fillId="5" fontId="10" numFmtId="0" xfId="0" applyAlignment="1" applyBorder="1" applyFont="1">
      <alignment horizontal="center" readingOrder="0"/>
    </xf>
    <xf borderId="44" fillId="5" fontId="10" numFmtId="0" xfId="0" applyAlignment="1" applyBorder="1" applyFont="1">
      <alignment horizontal="center" readingOrder="0"/>
    </xf>
    <xf borderId="45" fillId="5" fontId="10" numFmtId="0" xfId="0" applyAlignment="1" applyBorder="1" applyFont="1">
      <alignment horizontal="center" readingOrder="0"/>
    </xf>
    <xf borderId="46" fillId="5" fontId="10" numFmtId="0" xfId="0" applyAlignment="1" applyBorder="1" applyFont="1">
      <alignment horizontal="center" readingOrder="0"/>
    </xf>
    <xf borderId="28" fillId="2" fontId="2" numFmtId="0" xfId="0" applyBorder="1" applyFont="1"/>
    <xf borderId="12" fillId="2" fontId="2" numFmtId="0" xfId="0" applyBorder="1" applyFont="1"/>
    <xf borderId="8" fillId="2" fontId="2" numFmtId="0" xfId="0" applyBorder="1" applyFont="1"/>
    <xf borderId="29" fillId="2" fontId="2" numFmtId="0" xfId="0" applyBorder="1" applyFont="1"/>
    <xf borderId="47" fillId="5" fontId="10" numFmtId="168" xfId="0" applyAlignment="1" applyBorder="1" applyFont="1" applyNumberFormat="1">
      <alignment horizontal="center" readingOrder="0" shrinkToFit="0" wrapText="0"/>
    </xf>
    <xf borderId="40" fillId="5" fontId="10" numFmtId="0" xfId="0" applyAlignment="1" applyBorder="1" applyFont="1">
      <alignment horizontal="center" readingOrder="0" shrinkToFit="0" wrapText="0"/>
    </xf>
    <xf borderId="40" fillId="5" fontId="10" numFmtId="0" xfId="0" applyAlignment="1" applyBorder="1" applyFont="1">
      <alignment horizontal="center" readingOrder="0"/>
    </xf>
    <xf borderId="48" fillId="5" fontId="10" numFmtId="0" xfId="0" applyAlignment="1" applyBorder="1" applyFont="1">
      <alignment horizontal="center" readingOrder="0" shrinkToFit="0" wrapText="0"/>
    </xf>
    <xf borderId="47" fillId="2" fontId="10" numFmtId="168" xfId="0" applyAlignment="1" applyBorder="1" applyFont="1" applyNumberFormat="1">
      <alignment horizontal="center" readingOrder="0" shrinkToFit="0" wrapText="0"/>
    </xf>
    <xf borderId="40" fillId="2" fontId="10" numFmtId="0" xfId="0" applyAlignment="1" applyBorder="1" applyFont="1">
      <alignment horizontal="center" readingOrder="0" shrinkToFit="0" wrapText="0"/>
    </xf>
    <xf borderId="40" fillId="2" fontId="10" numFmtId="0" xfId="0" applyAlignment="1" applyBorder="1" applyFont="1">
      <alignment horizontal="center" readingOrder="0"/>
    </xf>
    <xf borderId="48" fillId="2" fontId="10" numFmtId="0" xfId="0" applyAlignment="1" applyBorder="1" applyFont="1">
      <alignment horizontal="center" readingOrder="0" shrinkToFit="0" wrapText="0"/>
    </xf>
    <xf borderId="38" fillId="2" fontId="10" numFmtId="169" xfId="0" applyAlignment="1" applyBorder="1" applyFont="1" applyNumberFormat="1">
      <alignment horizontal="center" readingOrder="0" shrinkToFit="0" wrapText="0"/>
    </xf>
    <xf borderId="38" fillId="5" fontId="10" numFmtId="169" xfId="0" applyAlignment="1" applyBorder="1" applyFont="1" applyNumberFormat="1">
      <alignment horizontal="center" readingOrder="0" shrinkToFit="0" wrapText="0"/>
    </xf>
    <xf borderId="1" fillId="2" fontId="11" numFmtId="0" xfId="0" applyAlignment="1" applyBorder="1" applyFont="1">
      <alignment horizontal="left" readingOrder="0"/>
    </xf>
    <xf borderId="2" fillId="2" fontId="12" numFmtId="0" xfId="0" applyAlignment="1" applyBorder="1" applyFont="1">
      <alignment horizontal="center" readingOrder="0"/>
    </xf>
    <xf borderId="6" fillId="0" fontId="8" numFmtId="0" xfId="0" applyBorder="1" applyFont="1"/>
    <xf borderId="3" fillId="2" fontId="13" numFmtId="0" xfId="0" applyAlignment="1" applyBorder="1" applyFont="1">
      <alignment readingOrder="0"/>
    </xf>
    <xf borderId="3" fillId="2" fontId="13" numFmtId="0" xfId="0" applyBorder="1" applyFont="1"/>
    <xf borderId="2" fillId="2" fontId="14" numFmtId="0" xfId="0" applyBorder="1" applyFont="1"/>
    <xf borderId="49" fillId="3" fontId="15" numFmtId="0" xfId="0" applyAlignment="1" applyBorder="1" applyFont="1">
      <alignment horizontal="center" readingOrder="0"/>
    </xf>
    <xf borderId="50" fillId="0" fontId="8" numFmtId="0" xfId="0" applyBorder="1" applyFont="1"/>
    <xf borderId="51" fillId="3" fontId="16" numFmtId="0" xfId="0" applyBorder="1" applyFont="1"/>
    <xf borderId="52" fillId="3" fontId="15" numFmtId="0" xfId="0" applyAlignment="1" applyBorder="1" applyFont="1">
      <alignment horizontal="center" readingOrder="0"/>
    </xf>
    <xf borderId="53" fillId="3" fontId="15" numFmtId="165" xfId="0" applyAlignment="1" applyBorder="1" applyFont="1" applyNumberFormat="1">
      <alignment horizontal="center" readingOrder="0"/>
    </xf>
    <xf borderId="54" fillId="0" fontId="8" numFmtId="0" xfId="0" applyBorder="1" applyFont="1"/>
    <xf borderId="6" fillId="2" fontId="2" numFmtId="0" xfId="0" applyBorder="1" applyFont="1"/>
    <xf borderId="55" fillId="3" fontId="5" numFmtId="0" xfId="0" applyAlignment="1" applyBorder="1" applyFont="1">
      <alignment horizontal="left" readingOrder="0"/>
    </xf>
    <xf borderId="56" fillId="3" fontId="5" numFmtId="0" xfId="0" applyAlignment="1" applyBorder="1" applyFont="1">
      <alignment horizontal="left"/>
    </xf>
    <xf borderId="57" fillId="3" fontId="5" numFmtId="0" xfId="0" applyBorder="1" applyFont="1"/>
    <xf borderId="58" fillId="3" fontId="5" numFmtId="0" xfId="0" applyAlignment="1" applyBorder="1" applyFont="1">
      <alignment horizontal="center" readingOrder="0"/>
    </xf>
    <xf borderId="59" fillId="3" fontId="5" numFmtId="165" xfId="0" applyAlignment="1" applyBorder="1" applyFont="1" applyNumberFormat="1">
      <alignment horizontal="center"/>
    </xf>
    <xf borderId="60" fillId="0" fontId="8" numFmtId="0" xfId="0" applyBorder="1" applyFont="1"/>
    <xf borderId="61" fillId="3" fontId="5" numFmtId="0" xfId="0" applyAlignment="1" applyBorder="1" applyFont="1">
      <alignment readingOrder="0"/>
    </xf>
    <xf borderId="5" fillId="3" fontId="5" numFmtId="0" xfId="0" applyBorder="1" applyFont="1"/>
    <xf borderId="62" fillId="3" fontId="5" numFmtId="0" xfId="0" applyBorder="1" applyFont="1"/>
    <xf borderId="63" fillId="3" fontId="5" numFmtId="0" xfId="0" applyAlignment="1" applyBorder="1" applyFont="1">
      <alignment horizontal="center" readingOrder="0"/>
    </xf>
    <xf borderId="0" fillId="0" fontId="1" numFmtId="165" xfId="0" applyFont="1" applyNumberFormat="1"/>
    <xf borderId="64" fillId="3" fontId="5" numFmtId="165" xfId="0" applyAlignment="1" applyBorder="1" applyFont="1" applyNumberFormat="1">
      <alignment horizontal="center"/>
    </xf>
    <xf borderId="65" fillId="0" fontId="8" numFmtId="0" xfId="0" applyBorder="1" applyFont="1"/>
    <xf borderId="61" fillId="3" fontId="5" numFmtId="0" xfId="0" applyBorder="1" applyFont="1"/>
    <xf borderId="63" fillId="3" fontId="5" numFmtId="0" xfId="0" applyBorder="1" applyFont="1"/>
    <xf borderId="66" fillId="3" fontId="5" numFmtId="0" xfId="0" applyBorder="1" applyFont="1"/>
    <xf borderId="67" fillId="3" fontId="5" numFmtId="0" xfId="0" applyBorder="1" applyFont="1"/>
    <xf borderId="68" fillId="3" fontId="5" numFmtId="0" xfId="0" applyBorder="1" applyFont="1"/>
    <xf borderId="69" fillId="3" fontId="5" numFmtId="0" xfId="0" applyBorder="1" applyFont="1"/>
    <xf borderId="70" fillId="3" fontId="15" numFmtId="0" xfId="0" applyAlignment="1" applyBorder="1" applyFont="1">
      <alignment horizontal="center" readingOrder="0" vertical="center"/>
    </xf>
    <xf borderId="71" fillId="0" fontId="8" numFmtId="0" xfId="0" applyBorder="1" applyFont="1"/>
    <xf borderId="72" fillId="0" fontId="8" numFmtId="0" xfId="0" applyBorder="1" applyFont="1"/>
    <xf borderId="70" fillId="3" fontId="15" numFmtId="165" xfId="0" applyBorder="1" applyFont="1" applyNumberFormat="1"/>
    <xf borderId="73" fillId="0" fontId="8" numFmtId="0" xfId="0" applyBorder="1" applyFont="1"/>
    <xf borderId="74" fillId="0" fontId="8" numFmtId="0" xfId="0" applyBorder="1" applyFont="1"/>
    <xf borderId="75" fillId="0" fontId="8" numFmtId="0" xfId="0" applyBorder="1" applyFont="1"/>
    <xf borderId="9" fillId="2" fontId="2" numFmtId="0" xfId="0" applyBorder="1" applyFont="1"/>
    <xf borderId="1" fillId="2" fontId="2" numFmtId="0" xfId="0" applyAlignment="1" applyBorder="1" applyFont="1">
      <alignment readingOrder="0"/>
    </xf>
    <xf borderId="2" fillId="2" fontId="17" numFmtId="0" xfId="0" applyAlignment="1" applyBorder="1" applyFont="1">
      <alignment horizontal="center" readingOrder="0"/>
    </xf>
    <xf borderId="1" fillId="2" fontId="18" numFmtId="0" xfId="0" applyAlignment="1" applyBorder="1" applyFont="1">
      <alignment horizontal="right" readingOrder="0"/>
    </xf>
    <xf borderId="2" fillId="2" fontId="18" numFmtId="0" xfId="0" applyAlignment="1" applyBorder="1" applyFont="1">
      <alignment horizontal="left" readingOrder="0"/>
    </xf>
    <xf borderId="1" fillId="2" fontId="19" numFmtId="0" xfId="0" applyAlignment="1" applyBorder="1" applyFont="1">
      <alignment readingOrder="0" vertical="center"/>
    </xf>
    <xf borderId="1" fillId="2" fontId="20" numFmtId="0" xfId="0" applyAlignment="1" applyBorder="1" applyFont="1">
      <alignment horizontal="left" readingOrder="0"/>
    </xf>
    <xf borderId="2" fillId="2" fontId="20" numFmtId="0" xfId="0" applyAlignment="1" applyBorder="1" applyFont="1">
      <alignment horizontal="left" readingOrder="0"/>
    </xf>
    <xf borderId="1" fillId="2" fontId="18" numFmtId="0" xfId="0" applyAlignment="1" applyBorder="1" applyFont="1">
      <alignment horizontal="left"/>
    </xf>
    <xf borderId="1" fillId="2" fontId="18" numFmtId="0" xfId="0" applyAlignment="1" applyBorder="1" applyFont="1">
      <alignment readingOrder="0" vertical="center"/>
    </xf>
    <xf borderId="1" fillId="2" fontId="18" numFmtId="0" xfId="0" applyBorder="1" applyFont="1"/>
    <xf borderId="2" fillId="2" fontId="2" numFmtId="0" xfId="0" applyAlignment="1" applyBorder="1" applyFont="1">
      <alignment horizontal="center" readingOrder="0"/>
    </xf>
    <xf borderId="37" fillId="0" fontId="8" numFmtId="0" xfId="0" applyBorder="1" applyFont="1"/>
    <xf borderId="2" fillId="2" fontId="2" numFmtId="0" xfId="0" applyAlignment="1" applyBorder="1" applyFont="1">
      <alignment horizontal="center" readingOrder="0"/>
    </xf>
    <xf borderId="0" fillId="0" fontId="21" numFmtId="0" xfId="0" applyAlignment="1" applyFont="1">
      <alignment horizontal="center"/>
    </xf>
    <xf borderId="0" fillId="6" fontId="1" numFmtId="0" xfId="0" applyFill="1" applyFont="1"/>
    <xf borderId="0" fillId="0" fontId="1" numFmtId="0" xfId="0" applyFont="1"/>
  </cellXfs>
  <cellStyles count="1">
    <cellStyle xfId="0" name="Normal" builtinId="0"/>
  </cellStyles>
  <dxfs count="3">
    <dxf>
      <font/>
      <fill>
        <patternFill patternType="none"/>
      </fill>
      <border/>
    </dxf>
    <dxf>
      <font/>
      <fill>
        <patternFill patternType="solid">
          <fgColor rgb="FF073763"/>
          <bgColor rgb="FF073763"/>
        </patternFill>
      </fill>
      <border/>
    </dxf>
    <dxf>
      <font/>
      <fill>
        <patternFill patternType="solid">
          <fgColor rgb="FF1C4587"/>
          <bgColor rgb="FF1C4587"/>
        </patternFill>
      </fill>
      <border/>
    </dxf>
  </dxfs>
  <tableStyles count="3">
    <tableStyle count="3" pivot="0" name="DADOS-style">
      <tableStyleElement dxfId="1" type="headerRow"/>
      <tableStyleElement dxfId="2" type="firstRowStripe"/>
      <tableStyleElement dxfId="1" type="secondRowStripe"/>
    </tableStyle>
    <tableStyle count="3" pivot="0" name="ESTOQUE-style">
      <tableStyleElement dxfId="1" type="headerRow"/>
      <tableStyleElement dxfId="2" type="firstRowStripe"/>
      <tableStyleElement dxfId="1" type="secondRowStripe"/>
    </tableStyle>
    <tableStyle count="2" pivot="0" name="LANÇAMENTOS-style">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400050</xdr:colOff>
      <xdr:row>14</xdr:row>
      <xdr:rowOff>209550</xdr:rowOff>
    </xdr:from>
    <xdr:ext cx="1619250" cy="590550"/>
    <xdr:sp>
      <xdr:nvSpPr>
        <xdr:cNvPr id="3" name="Shape 3"/>
        <xdr:cNvSpPr/>
      </xdr:nvSpPr>
      <xdr:spPr>
        <a:xfrm>
          <a:off x="1033750" y="1195825"/>
          <a:ext cx="3155700" cy="1137300"/>
        </a:xfrm>
        <a:prstGeom prst="roundRect">
          <a:avLst>
            <a:gd fmla="val 16667" name="adj"/>
          </a:avLst>
        </a:prstGeom>
        <a:solidFill>
          <a:srgbClr val="FFFFFF"/>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000">
              <a:solidFill>
                <a:srgbClr val="073763"/>
              </a:solidFill>
            </a:rPr>
            <a:t>DADOS</a:t>
          </a:r>
          <a:endParaRPr b="1" sz="3000">
            <a:solidFill>
              <a:srgbClr val="073763"/>
            </a:solidFill>
          </a:endParaRPr>
        </a:p>
      </xdr:txBody>
    </xdr:sp>
    <xdr:clientData fLocksWithSheet="0"/>
  </xdr:oneCellAnchor>
  <xdr:oneCellAnchor>
    <xdr:from>
      <xdr:col>3</xdr:col>
      <xdr:colOff>400050</xdr:colOff>
      <xdr:row>10</xdr:row>
      <xdr:rowOff>114300</xdr:rowOff>
    </xdr:from>
    <xdr:ext cx="1619250" cy="590550"/>
    <xdr:sp>
      <xdr:nvSpPr>
        <xdr:cNvPr id="4" name="Shape 4"/>
        <xdr:cNvSpPr/>
      </xdr:nvSpPr>
      <xdr:spPr>
        <a:xfrm>
          <a:off x="705875" y="1052375"/>
          <a:ext cx="3176400" cy="1229400"/>
        </a:xfrm>
        <a:prstGeom prst="roundRect">
          <a:avLst>
            <a:gd fmla="val 16667" name="adj"/>
          </a:avLst>
        </a:prstGeom>
        <a:solidFill>
          <a:srgbClr val="FFFFFF"/>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000">
              <a:solidFill>
                <a:srgbClr val="073763"/>
              </a:solidFill>
            </a:rPr>
            <a:t>ORÇAMENTO</a:t>
          </a:r>
          <a:endParaRPr b="1" sz="3000">
            <a:solidFill>
              <a:srgbClr val="073763"/>
            </a:solidFill>
          </a:endParaRPr>
        </a:p>
      </xdr:txBody>
    </xdr:sp>
    <xdr:clientData fLocksWithSheet="0"/>
  </xdr:oneCellAnchor>
  <xdr:oneCellAnchor>
    <xdr:from>
      <xdr:col>6</xdr:col>
      <xdr:colOff>790575</xdr:colOff>
      <xdr:row>10</xdr:row>
      <xdr:rowOff>200025</xdr:rowOff>
    </xdr:from>
    <xdr:ext cx="1628775" cy="590550"/>
    <xdr:sp>
      <xdr:nvSpPr>
        <xdr:cNvPr id="5" name="Shape 5"/>
        <xdr:cNvSpPr/>
      </xdr:nvSpPr>
      <xdr:spPr>
        <a:xfrm>
          <a:off x="1033750" y="1195825"/>
          <a:ext cx="3155700" cy="1137300"/>
        </a:xfrm>
        <a:prstGeom prst="roundRect">
          <a:avLst>
            <a:gd fmla="val 16667" name="adj"/>
          </a:avLst>
        </a:prstGeom>
        <a:solidFill>
          <a:srgbClr val="FFFFFF"/>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000">
              <a:solidFill>
                <a:srgbClr val="073763"/>
              </a:solidFill>
            </a:rPr>
            <a:t>ESTOQUE</a:t>
          </a:r>
          <a:endParaRPr b="1" sz="3000">
            <a:solidFill>
              <a:srgbClr val="073763"/>
            </a:solidFill>
          </a:endParaRPr>
        </a:p>
      </xdr:txBody>
    </xdr:sp>
    <xdr:clientData fLocksWithSheet="0"/>
  </xdr:oneCellAnchor>
  <xdr:oneCellAnchor>
    <xdr:from>
      <xdr:col>6</xdr:col>
      <xdr:colOff>790575</xdr:colOff>
      <xdr:row>14</xdr:row>
      <xdr:rowOff>209550</xdr:rowOff>
    </xdr:from>
    <xdr:ext cx="1628775" cy="590550"/>
    <xdr:sp>
      <xdr:nvSpPr>
        <xdr:cNvPr id="6" name="Shape 6"/>
        <xdr:cNvSpPr/>
      </xdr:nvSpPr>
      <xdr:spPr>
        <a:xfrm>
          <a:off x="1033750" y="1195825"/>
          <a:ext cx="3360600" cy="1137300"/>
        </a:xfrm>
        <a:prstGeom prst="roundRect">
          <a:avLst>
            <a:gd fmla="val 16667" name="adj"/>
          </a:avLst>
        </a:prstGeom>
        <a:solidFill>
          <a:srgbClr val="FFFFFF"/>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000">
              <a:solidFill>
                <a:srgbClr val="073763"/>
              </a:solidFill>
            </a:rPr>
            <a:t>LANÇAMENTOS</a:t>
          </a:r>
          <a:endParaRPr b="1" sz="3000">
            <a:solidFill>
              <a:srgbClr val="073763"/>
            </a:solidFill>
          </a:endParaRPr>
        </a:p>
      </xdr:txBody>
    </xdr:sp>
    <xdr:clientData fLocksWithSheet="0"/>
  </xdr:oneCellAnchor>
  <xdr:oneCellAnchor>
    <xdr:from>
      <xdr:col>3</xdr:col>
      <xdr:colOff>400050</xdr:colOff>
      <xdr:row>1</xdr:row>
      <xdr:rowOff>76200</xdr:rowOff>
    </xdr:from>
    <xdr:ext cx="4914900" cy="17907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1095375</xdr:colOff>
      <xdr:row>6</xdr:row>
      <xdr:rowOff>28575</xdr:rowOff>
    </xdr:from>
    <xdr:ext cx="571500" cy="238125"/>
    <xdr:sp>
      <xdr:nvSpPr>
        <xdr:cNvPr id="7" name="Shape 7"/>
        <xdr:cNvSpPr/>
      </xdr:nvSpPr>
      <xdr:spPr>
        <a:xfrm>
          <a:off x="1953100" y="1523625"/>
          <a:ext cx="1032900" cy="429600"/>
        </a:xfrm>
        <a:prstGeom prst="roundRect">
          <a:avLst>
            <a:gd fmla="val 16667" name="adj"/>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INSERIR</a:t>
          </a:r>
          <a:endParaRPr sz="1400"/>
        </a:p>
      </xdr:txBody>
    </xdr:sp>
    <xdr:clientData fLocksWithSheet="0"/>
  </xdr:oneCellAnchor>
  <xdr:oneCellAnchor>
    <xdr:from>
      <xdr:col>0</xdr:col>
      <xdr:colOff>19050</xdr:colOff>
      <xdr:row>0</xdr:row>
      <xdr:rowOff>0</xdr:rowOff>
    </xdr:from>
    <xdr:ext cx="1266825" cy="44767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xdr:rowOff>
    </xdr:from>
    <xdr:ext cx="1219200" cy="43815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5</xdr:row>
      <xdr:rowOff>57150</xdr:rowOff>
    </xdr:from>
    <xdr:ext cx="2247900" cy="8001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xdr:colOff>
      <xdr:row>2</xdr:row>
      <xdr:rowOff>28575</xdr:rowOff>
    </xdr:from>
    <xdr:ext cx="1085850" cy="295275"/>
    <xdr:sp>
      <xdr:nvSpPr>
        <xdr:cNvPr id="8" name="Shape 8"/>
        <xdr:cNvSpPr/>
      </xdr:nvSpPr>
      <xdr:spPr>
        <a:xfrm>
          <a:off x="1799725" y="1267975"/>
          <a:ext cx="2116800" cy="572700"/>
        </a:xfrm>
        <a:prstGeom prst="roundRect">
          <a:avLst>
            <a:gd fmla="val 16667" name="adj"/>
          </a:avLst>
        </a:prstGeom>
        <a:solidFill>
          <a:srgbClr val="1C4587"/>
        </a:solidFill>
        <a:ln cap="flat" cmpd="sng" w="9525">
          <a:solidFill>
            <a:srgbClr val="1C4587"/>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2000">
              <a:solidFill>
                <a:srgbClr val="FFFFFF"/>
              </a:solidFill>
            </a:rPr>
            <a:t>INSERIR</a:t>
          </a:r>
          <a:endParaRPr sz="2000">
            <a:solidFill>
              <a:srgbClr val="FFFFFF"/>
            </a:solidFill>
          </a:endParaRPr>
        </a:p>
      </xdr:txBody>
    </xdr:sp>
    <xdr:clientData fLocksWithSheet="0"/>
  </xdr:oneCellAnchor>
  <xdr:oneCellAnchor>
    <xdr:from>
      <xdr:col>0</xdr:col>
      <xdr:colOff>104775</xdr:colOff>
      <xdr:row>0</xdr:row>
      <xdr:rowOff>200025</xdr:rowOff>
    </xdr:from>
    <xdr:ext cx="2247900" cy="8001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847725</xdr:colOff>
      <xdr:row>1</xdr:row>
      <xdr:rowOff>200025</xdr:rowOff>
    </xdr:from>
    <xdr:ext cx="3371850" cy="120967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C1:I999" displayName="DADOS" name="DADOS" id="1">
  <autoFilter ref="$C$1:$I$999"/>
  <tableColumns count="7">
    <tableColumn name="PRODUTOS" id="1"/>
    <tableColumn name="MARCA" id="2"/>
    <tableColumn name="%" id="3"/>
    <tableColumn name="CUSTO " id="4"/>
    <tableColumn name="CUSTO TOTAL" id="5"/>
    <tableColumn name="PREÇO SUGERIDO" id="6"/>
    <tableColumn name="MARGEM" id="7"/>
  </tableColumns>
  <tableStyleInfo name="DADOS-style" showColumnStripes="0" showFirstColumn="1" showLastColumn="1" showRowStripes="1"/>
</table>
</file>

<file path=xl/tables/table2.xml><?xml version="1.0" encoding="utf-8"?>
<table xmlns="http://schemas.openxmlformats.org/spreadsheetml/2006/main" ref="D1:J80" displayName="ESTOQUE" name="ESTOQUE" id="2">
  <autoFilter ref="$D$1:$J$80"/>
  <tableColumns count="7">
    <tableColumn name="CATEGORIA" id="1"/>
    <tableColumn name="PRODUTO" id="2"/>
    <tableColumn name="SALDO" id="3"/>
    <tableColumn name="ENTRADA" id="4"/>
    <tableColumn name="SAIDA" id="5"/>
    <tableColumn name="CUSTO" id="6"/>
    <tableColumn name="CUSTO TOTAL" id="7"/>
  </tableColumns>
  <tableStyleInfo name="ESTOQUE-style" showColumnStripes="0" showFirstColumn="1" showLastColumn="1" showRowStripes="1"/>
</table>
</file>

<file path=xl/tables/table3.xml><?xml version="1.0" encoding="utf-8"?>
<table xmlns="http://schemas.openxmlformats.org/spreadsheetml/2006/main" headerRowCount="0" ref="D2:H2" displayName="Table_1" name="Table_1" id="3">
  <tableColumns count="5">
    <tableColumn name="Column1" id="1"/>
    <tableColumn name="Column2" id="2"/>
    <tableColumn name="Column3" id="3"/>
    <tableColumn name="Column4" id="4"/>
    <tableColumn name="Column5" id="5"/>
  </tableColumns>
  <tableStyleInfo name="LANÇAMENT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21.57"/>
    <col customWidth="1" min="12" max="12" width="23.14"/>
  </cols>
  <sheetData>
    <row r="1">
      <c r="A1" s="1"/>
      <c r="B1" s="1"/>
      <c r="C1" s="1"/>
      <c r="D1" s="1"/>
      <c r="E1" s="1"/>
      <c r="F1" s="1"/>
      <c r="G1" s="1"/>
      <c r="H1" s="1"/>
      <c r="I1" s="1"/>
      <c r="J1" s="1"/>
      <c r="K1" s="1"/>
      <c r="L1" s="1"/>
    </row>
    <row r="2">
      <c r="A2" s="1"/>
      <c r="B2" s="1"/>
      <c r="C2" s="1"/>
      <c r="D2" s="1"/>
      <c r="E2" s="1"/>
      <c r="F2" s="1"/>
      <c r="G2" s="1"/>
      <c r="H2" s="1"/>
      <c r="I2" s="1"/>
      <c r="J2" s="1"/>
      <c r="K2" s="1"/>
      <c r="L2" s="1"/>
    </row>
    <row r="3">
      <c r="A3" s="1"/>
      <c r="B3" s="1"/>
      <c r="C3" s="1"/>
      <c r="D3" s="1"/>
      <c r="E3" s="1"/>
      <c r="F3" s="1"/>
      <c r="G3" s="1"/>
      <c r="H3" s="1"/>
      <c r="I3" s="1"/>
      <c r="J3" s="1"/>
      <c r="K3" s="1"/>
      <c r="L3" s="1"/>
    </row>
    <row r="4">
      <c r="A4" s="1"/>
      <c r="B4" s="1"/>
      <c r="C4" s="1"/>
      <c r="D4" s="1"/>
      <c r="E4" s="1"/>
      <c r="F4" s="1"/>
      <c r="G4" s="1"/>
      <c r="H4" s="1"/>
      <c r="I4" s="1"/>
      <c r="J4" s="1"/>
      <c r="K4" s="1"/>
      <c r="L4" s="1"/>
    </row>
    <row r="5">
      <c r="A5" s="1"/>
      <c r="B5" s="1"/>
      <c r="C5" s="1"/>
      <c r="D5" s="1"/>
      <c r="E5" s="1"/>
      <c r="F5" s="1"/>
      <c r="G5" s="1"/>
      <c r="H5" s="1"/>
      <c r="I5" s="1"/>
      <c r="J5" s="1"/>
      <c r="K5" s="1"/>
      <c r="L5" s="1"/>
    </row>
    <row r="6">
      <c r="A6" s="1"/>
      <c r="B6" s="1"/>
      <c r="C6" s="1"/>
      <c r="D6" s="1"/>
      <c r="E6" s="1"/>
      <c r="F6" s="1"/>
      <c r="G6" s="1"/>
      <c r="H6" s="1"/>
      <c r="I6" s="1"/>
      <c r="J6" s="1"/>
      <c r="K6" s="1"/>
      <c r="L6" s="1"/>
    </row>
    <row r="7">
      <c r="A7" s="1"/>
      <c r="B7" s="2"/>
      <c r="C7" s="1"/>
      <c r="D7" s="1"/>
      <c r="E7" s="2"/>
      <c r="F7" s="1"/>
      <c r="G7" s="1"/>
      <c r="H7" s="1"/>
      <c r="I7" s="1"/>
      <c r="J7" s="1"/>
      <c r="K7" s="1"/>
      <c r="L7" s="1"/>
    </row>
    <row r="8">
      <c r="A8" s="1"/>
      <c r="B8" s="1"/>
      <c r="C8" s="1"/>
      <c r="D8" s="1"/>
      <c r="E8" s="1"/>
      <c r="F8" s="1"/>
      <c r="G8" s="1"/>
      <c r="H8" s="1"/>
      <c r="I8" s="1"/>
      <c r="J8" s="1"/>
      <c r="K8" s="1"/>
      <c r="L8" s="1"/>
    </row>
    <row r="9">
      <c r="A9" s="1"/>
      <c r="B9" s="1"/>
      <c r="C9" s="1"/>
      <c r="D9" s="1"/>
      <c r="E9" s="1"/>
      <c r="F9" s="1"/>
      <c r="G9" s="1"/>
      <c r="H9" s="1"/>
      <c r="I9" s="1"/>
      <c r="J9" s="1"/>
      <c r="K9" s="1"/>
      <c r="L9" s="1"/>
    </row>
    <row r="10">
      <c r="A10" s="1"/>
      <c r="B10" s="1"/>
      <c r="C10" s="1"/>
      <c r="D10" s="1"/>
      <c r="E10" s="1"/>
      <c r="F10" s="1"/>
      <c r="G10" s="1"/>
      <c r="H10" s="1"/>
      <c r="I10" s="1"/>
      <c r="J10" s="1"/>
      <c r="K10" s="1"/>
      <c r="L10" s="1"/>
    </row>
    <row r="11">
      <c r="A11" s="1"/>
      <c r="B11" s="1"/>
      <c r="C11" s="1"/>
      <c r="D11" s="1"/>
      <c r="E11" s="1"/>
      <c r="F11" s="1"/>
      <c r="G11" s="1"/>
      <c r="H11" s="1"/>
      <c r="I11" s="1"/>
      <c r="J11" s="1"/>
      <c r="K11" s="1"/>
      <c r="L11" s="1"/>
    </row>
    <row r="12">
      <c r="A12" s="1"/>
      <c r="B12" s="1"/>
      <c r="C12" s="1"/>
      <c r="D12" s="1"/>
      <c r="E12" s="1"/>
      <c r="F12" s="1"/>
      <c r="G12" s="1"/>
      <c r="H12" s="1"/>
      <c r="I12" s="1"/>
      <c r="J12" s="1"/>
      <c r="K12" s="1"/>
      <c r="L12" s="1"/>
    </row>
    <row r="13">
      <c r="A13" s="1"/>
      <c r="B13" s="1"/>
      <c r="C13" s="1"/>
      <c r="D13" s="1"/>
      <c r="E13" s="1"/>
      <c r="F13" s="1"/>
      <c r="G13" s="1"/>
      <c r="H13" s="1"/>
      <c r="I13" s="1"/>
      <c r="J13" s="1"/>
      <c r="K13" s="1"/>
      <c r="L13" s="1"/>
    </row>
    <row r="14">
      <c r="A14" s="1"/>
      <c r="B14" s="1"/>
      <c r="C14" s="1"/>
      <c r="D14" s="1"/>
      <c r="E14" s="1"/>
      <c r="F14" s="1"/>
      <c r="G14" s="1"/>
      <c r="H14" s="1"/>
      <c r="I14" s="1"/>
      <c r="J14" s="1"/>
      <c r="K14" s="1"/>
      <c r="L14" s="1"/>
    </row>
    <row r="15">
      <c r="A15" s="1"/>
      <c r="B15" s="1"/>
      <c r="C15" s="1"/>
      <c r="D15" s="1"/>
      <c r="E15" s="1"/>
      <c r="F15" s="1"/>
      <c r="G15" s="1"/>
      <c r="H15" s="1"/>
      <c r="I15" s="1"/>
      <c r="J15" s="1"/>
      <c r="K15" s="1"/>
      <c r="L15" s="1"/>
    </row>
    <row r="16">
      <c r="A16" s="1"/>
      <c r="B16" s="1"/>
      <c r="C16" s="1"/>
      <c r="D16" s="1"/>
      <c r="E16" s="1"/>
      <c r="F16" s="1"/>
      <c r="G16" s="1"/>
      <c r="H16" s="1"/>
      <c r="I16" s="1"/>
      <c r="J16" s="1"/>
      <c r="K16" s="1"/>
      <c r="L16" s="1"/>
    </row>
    <row r="17">
      <c r="A17" s="1"/>
      <c r="B17" s="1"/>
      <c r="C17" s="1"/>
      <c r="D17" s="1"/>
      <c r="E17" s="1"/>
      <c r="F17" s="1"/>
      <c r="G17" s="1"/>
      <c r="H17" s="1"/>
      <c r="I17" s="1"/>
      <c r="J17" s="1"/>
      <c r="K17" s="1"/>
      <c r="L17" s="1"/>
    </row>
    <row r="18">
      <c r="A18" s="1"/>
      <c r="B18" s="1"/>
      <c r="C18" s="1"/>
      <c r="D18" s="1"/>
      <c r="E18" s="1"/>
      <c r="F18" s="1"/>
      <c r="G18" s="1"/>
      <c r="H18" s="1"/>
      <c r="I18" s="1"/>
      <c r="J18" s="1"/>
      <c r="K18" s="1"/>
      <c r="L18" s="1"/>
    </row>
    <row r="19">
      <c r="A19" s="1"/>
      <c r="B19" s="1"/>
      <c r="C19" s="1"/>
      <c r="D19" s="1"/>
      <c r="E19" s="1"/>
      <c r="F19" s="1"/>
      <c r="G19" s="1"/>
      <c r="H19" s="1"/>
      <c r="I19" s="1"/>
      <c r="J19" s="1"/>
      <c r="K19" s="1"/>
      <c r="L19" s="1"/>
    </row>
    <row r="20">
      <c r="A20" s="1"/>
      <c r="B20" s="1"/>
      <c r="C20" s="1"/>
      <c r="D20" s="1"/>
      <c r="E20" s="1"/>
      <c r="F20" s="1"/>
      <c r="G20" s="1"/>
      <c r="H20" s="1"/>
      <c r="I20" s="1"/>
      <c r="J20" s="1"/>
      <c r="K20" s="1"/>
      <c r="L20" s="1"/>
    </row>
    <row r="21">
      <c r="A21" s="1"/>
      <c r="B21" s="1"/>
      <c r="C21" s="1"/>
      <c r="D21" s="1"/>
      <c r="E21" s="1"/>
      <c r="F21" s="1"/>
      <c r="G21" s="1"/>
      <c r="H21" s="1"/>
      <c r="I21" s="1"/>
      <c r="J21" s="1"/>
      <c r="K21" s="1"/>
      <c r="L21" s="1"/>
    </row>
    <row r="22">
      <c r="A22" s="1"/>
      <c r="B22" s="1"/>
      <c r="C22" s="1"/>
      <c r="D22" s="1"/>
      <c r="E22" s="1"/>
      <c r="F22" s="1"/>
      <c r="G22" s="1"/>
      <c r="H22" s="1"/>
      <c r="I22" s="1"/>
      <c r="J22" s="1"/>
      <c r="K22" s="1"/>
      <c r="L22" s="1"/>
    </row>
    <row r="23" ht="18.0" customHeight="1">
      <c r="A23" s="1"/>
      <c r="B23" s="1"/>
      <c r="C23" s="1"/>
      <c r="D23" s="1"/>
      <c r="E23" s="1"/>
      <c r="F23" s="1"/>
      <c r="G23" s="1"/>
      <c r="H23" s="1"/>
      <c r="I23" s="1"/>
      <c r="J23" s="1"/>
      <c r="K23" s="1"/>
      <c r="L23" s="1"/>
    </row>
    <row r="24" ht="12.75" customHeight="1">
      <c r="A24" s="1"/>
      <c r="B24" s="1"/>
      <c r="C24" s="1"/>
      <c r="D24" s="1"/>
      <c r="E24" s="1"/>
      <c r="F24" s="1"/>
      <c r="G24" s="1"/>
      <c r="H24" s="1"/>
      <c r="I24" s="1"/>
      <c r="J24" s="1"/>
      <c r="K24" s="1"/>
      <c r="L24" s="1"/>
    </row>
    <row r="25" ht="12.75" customHeight="1">
      <c r="A25" s="1"/>
      <c r="B25" s="1"/>
      <c r="C25" s="1"/>
      <c r="D25" s="1"/>
      <c r="E25" s="1"/>
      <c r="F25" s="1"/>
      <c r="G25" s="1"/>
      <c r="H25" s="1"/>
      <c r="I25" s="1"/>
      <c r="J25" s="1"/>
      <c r="K25" s="1"/>
      <c r="L25"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4.43" defaultRowHeight="15.75"/>
  <cols>
    <col customWidth="1" min="1" max="1" width="19.0"/>
    <col customWidth="1" min="2" max="2" width="29.0"/>
    <col customWidth="1" min="3" max="3" width="17.57"/>
    <col customWidth="1" min="4" max="4" width="22.14"/>
    <col customWidth="1" min="5" max="5" width="24.29"/>
    <col customWidth="1" min="6" max="6" width="17.43"/>
    <col customWidth="1" min="7" max="7" width="25.86"/>
    <col customWidth="1" min="8" max="8" width="28.57"/>
    <col customWidth="1" min="9" max="9" width="20.29"/>
  </cols>
  <sheetData>
    <row r="1">
      <c r="A1" s="3"/>
      <c r="B1" s="4"/>
      <c r="C1" s="5"/>
      <c r="D1" s="6"/>
      <c r="E1" s="7"/>
      <c r="F1" s="8"/>
      <c r="G1" s="1"/>
      <c r="H1" s="1"/>
      <c r="I1" s="1"/>
      <c r="J1" s="1"/>
      <c r="K1" s="1"/>
      <c r="L1" s="1"/>
      <c r="M1" s="1"/>
      <c r="N1" s="1"/>
      <c r="O1" s="1"/>
      <c r="P1" s="1"/>
      <c r="Q1" s="1"/>
      <c r="R1" s="1"/>
      <c r="S1" s="1"/>
      <c r="T1" s="1"/>
      <c r="U1" s="1"/>
      <c r="V1" s="1"/>
      <c r="W1" s="1"/>
      <c r="X1" s="1"/>
      <c r="Y1" s="1"/>
      <c r="Z1" s="1"/>
      <c r="AA1" s="1"/>
    </row>
    <row r="2">
      <c r="A2" s="3"/>
      <c r="B2" s="4"/>
      <c r="C2" s="9" t="s">
        <v>0</v>
      </c>
      <c r="D2" s="10" t="s">
        <v>1</v>
      </c>
      <c r="E2" s="11" t="s">
        <v>2</v>
      </c>
      <c r="F2" s="9" t="s">
        <v>3</v>
      </c>
      <c r="G2" s="12"/>
      <c r="H2" s="1"/>
      <c r="I2" s="1"/>
      <c r="J2" s="1"/>
      <c r="K2" s="1"/>
      <c r="L2" s="1"/>
      <c r="M2" s="1"/>
      <c r="N2" s="1"/>
      <c r="O2" s="1"/>
      <c r="P2" s="1"/>
      <c r="Q2" s="1"/>
      <c r="R2" s="1"/>
      <c r="S2" s="1"/>
      <c r="T2" s="1"/>
      <c r="U2" s="1"/>
      <c r="V2" s="1"/>
      <c r="W2" s="1"/>
      <c r="X2" s="1"/>
      <c r="Y2" s="1"/>
      <c r="Z2" s="1"/>
      <c r="AA2" s="1"/>
    </row>
    <row r="3">
      <c r="A3" s="3"/>
      <c r="B3" s="4"/>
      <c r="C3" s="10">
        <f t="shared" ref="C3:D3" si="1">SUM(D7:D1014)</f>
        <v>0</v>
      </c>
      <c r="D3" s="10">
        <f t="shared" si="1"/>
        <v>0</v>
      </c>
      <c r="E3" s="10">
        <f>SUM(G7:G1014)</f>
        <v>0</v>
      </c>
      <c r="F3" s="13">
        <v>1.0</v>
      </c>
      <c r="G3" s="12"/>
      <c r="H3" s="1"/>
      <c r="I3" s="1"/>
      <c r="J3" s="1"/>
      <c r="K3" s="1"/>
      <c r="L3" s="1"/>
      <c r="M3" s="1"/>
      <c r="N3" s="1"/>
      <c r="O3" s="1"/>
      <c r="P3" s="1"/>
      <c r="Q3" s="1"/>
      <c r="R3" s="1"/>
      <c r="S3" s="1"/>
      <c r="T3" s="1"/>
      <c r="U3" s="1"/>
      <c r="V3" s="1"/>
      <c r="W3" s="1"/>
      <c r="X3" s="1"/>
      <c r="Y3" s="1"/>
      <c r="Z3" s="1"/>
      <c r="AA3" s="1"/>
    </row>
    <row r="4">
      <c r="A4" s="3"/>
      <c r="B4" s="4"/>
      <c r="C4" s="14" t="s">
        <v>4</v>
      </c>
      <c r="D4" s="13" t="str">
        <f>IF(D3=0,"",SUM(F7:F1014)/COUNT(F7:F1014))</f>
        <v/>
      </c>
      <c r="E4" s="15"/>
      <c r="F4" s="15"/>
      <c r="G4" s="1"/>
      <c r="H4" s="1"/>
      <c r="I4" s="1"/>
      <c r="J4" s="1"/>
      <c r="K4" s="1"/>
      <c r="L4" s="1"/>
      <c r="M4" s="1"/>
      <c r="N4" s="1"/>
      <c r="O4" s="1"/>
      <c r="P4" s="1"/>
      <c r="Q4" s="1"/>
      <c r="R4" s="1"/>
      <c r="S4" s="1"/>
      <c r="T4" s="1"/>
      <c r="U4" s="1"/>
      <c r="V4" s="1"/>
      <c r="W4" s="1"/>
      <c r="X4" s="1"/>
      <c r="Y4" s="1"/>
      <c r="Z4" s="1"/>
      <c r="AA4" s="1"/>
    </row>
    <row r="5" ht="13.5" customHeight="1">
      <c r="A5" s="3"/>
      <c r="B5" s="16"/>
      <c r="C5" s="17"/>
      <c r="D5" s="18"/>
      <c r="E5" s="19"/>
      <c r="F5" s="17"/>
      <c r="G5" s="18"/>
      <c r="H5" s="20"/>
      <c r="I5" s="21"/>
      <c r="J5" s="1"/>
      <c r="K5" s="1"/>
      <c r="L5" s="1"/>
      <c r="M5" s="1"/>
      <c r="N5" s="1"/>
      <c r="O5" s="1"/>
      <c r="P5" s="1"/>
      <c r="Q5" s="1"/>
      <c r="R5" s="1"/>
      <c r="S5" s="1"/>
      <c r="T5" s="1"/>
      <c r="U5" s="1"/>
      <c r="V5" s="1"/>
      <c r="W5" s="1"/>
      <c r="X5" s="1"/>
      <c r="Y5" s="1"/>
      <c r="Z5" s="1"/>
      <c r="AA5" s="1"/>
    </row>
    <row r="6">
      <c r="A6" s="22" t="s">
        <v>5</v>
      </c>
      <c r="B6" s="23" t="s">
        <v>6</v>
      </c>
      <c r="C6" s="23" t="s">
        <v>7</v>
      </c>
      <c r="D6" s="24" t="s">
        <v>8</v>
      </c>
      <c r="E6" s="25" t="s">
        <v>9</v>
      </c>
      <c r="F6" s="23" t="s">
        <v>10</v>
      </c>
      <c r="G6" s="26" t="s">
        <v>11</v>
      </c>
      <c r="H6" s="27"/>
      <c r="I6" s="28"/>
      <c r="J6" s="6"/>
      <c r="K6" s="6"/>
      <c r="L6" s="6"/>
      <c r="M6" s="6"/>
      <c r="N6" s="6"/>
      <c r="O6" s="6"/>
      <c r="P6" s="6"/>
      <c r="Q6" s="6"/>
      <c r="R6" s="6"/>
      <c r="S6" s="6"/>
      <c r="T6" s="6"/>
      <c r="U6" s="6"/>
      <c r="V6" s="6"/>
      <c r="W6" s="6"/>
      <c r="X6" s="6"/>
      <c r="Y6" s="6"/>
      <c r="Z6" s="6"/>
      <c r="AA6" s="6"/>
    </row>
    <row r="7" ht="27.0" customHeight="1">
      <c r="A7" s="29"/>
      <c r="B7" s="30"/>
      <c r="C7" s="31"/>
      <c r="D7" s="29" t="str">
        <f>IF($B7="","",SUM(VLOOKUP($B7,DADOS!$C$2:$I1014,4,0)*$C7))</f>
        <v/>
      </c>
      <c r="E7" s="29" t="str">
        <f>IF($B7="","",SUM(VLOOKUP($B7,DADOS!$C$2:$I1014,6,0)*$C7))</f>
        <v/>
      </c>
      <c r="F7" s="32" t="str">
        <f>IF($E7="","",(VLOOKUP($B7,DADOS!$C$2:$I1014,7,0)))</f>
        <v/>
      </c>
      <c r="G7" s="33" t="str">
        <f t="shared" ref="G7:G1014" si="2">IF(D7="","",D7*$F$3+D7)</f>
        <v/>
      </c>
      <c r="H7" s="34"/>
      <c r="I7" s="35"/>
      <c r="J7" s="35"/>
      <c r="K7" s="35"/>
      <c r="L7" s="35"/>
      <c r="M7" s="35"/>
      <c r="N7" s="35"/>
      <c r="O7" s="35"/>
      <c r="P7" s="35"/>
      <c r="Q7" s="35"/>
      <c r="R7" s="35"/>
      <c r="S7" s="35"/>
      <c r="T7" s="35"/>
      <c r="U7" s="35"/>
      <c r="V7" s="35"/>
      <c r="W7" s="35"/>
      <c r="X7" s="35"/>
      <c r="Y7" s="35"/>
      <c r="Z7" s="35"/>
      <c r="AA7" s="35"/>
    </row>
    <row r="8">
      <c r="A8" s="36" t="str">
        <f>IF($B8="","",VLOOKUP($B8,DADOS!$C$2:$I1014,2,0))</f>
        <v/>
      </c>
      <c r="B8" s="37"/>
      <c r="C8" s="36"/>
      <c r="D8" s="38" t="str">
        <f>IF($B8="","",SUM(VLOOKUP($B8,DADOS!$C$2:$I1014,4,0)*$C8))</f>
        <v/>
      </c>
      <c r="E8" s="38" t="str">
        <f>IF($B8="","",SUM(VLOOKUP($B8,DADOS!$C$2:$I1014,6,0)*$C8))</f>
        <v/>
      </c>
      <c r="F8" s="39" t="str">
        <f>IF($E8="","",(VLOOKUP($B8,DADOS!$C$2:$I1014,7,0)))</f>
        <v/>
      </c>
      <c r="G8" s="40" t="str">
        <f t="shared" si="2"/>
        <v/>
      </c>
      <c r="H8" s="41"/>
      <c r="I8" s="42"/>
      <c r="J8" s="42"/>
      <c r="K8" s="42"/>
      <c r="L8" s="42"/>
      <c r="M8" s="42"/>
      <c r="N8" s="42"/>
      <c r="O8" s="42"/>
      <c r="P8" s="42"/>
      <c r="Q8" s="42"/>
      <c r="R8" s="42"/>
      <c r="S8" s="42"/>
      <c r="T8" s="42"/>
      <c r="U8" s="42"/>
      <c r="V8" s="42"/>
      <c r="W8" s="42"/>
      <c r="X8" s="42"/>
      <c r="Y8" s="42"/>
      <c r="Z8" s="42"/>
      <c r="AA8" s="42"/>
    </row>
    <row r="9">
      <c r="A9" s="36" t="str">
        <f>IF($B9="","",VLOOKUP($B9,DADOS!$C$2:$I1014,2,0))</f>
        <v/>
      </c>
      <c r="B9" s="37"/>
      <c r="C9" s="36"/>
      <c r="D9" s="38" t="str">
        <f>IF($B9="","",SUM(VLOOKUP($B9,DADOS!$C$2:$I1014,4,0)*$C9))</f>
        <v/>
      </c>
      <c r="E9" s="38" t="str">
        <f>IF($B9="","",SUM(VLOOKUP($B9,DADOS!$C$2:$I1014,6,0)*$C9))</f>
        <v/>
      </c>
      <c r="F9" s="39" t="str">
        <f>IF($E9="","",(VLOOKUP($B9,DADOS!$C$2:$I1014,7,0)))</f>
        <v/>
      </c>
      <c r="G9" s="40" t="str">
        <f t="shared" si="2"/>
        <v/>
      </c>
      <c r="H9" s="41"/>
      <c r="I9" s="42"/>
      <c r="J9" s="42"/>
      <c r="K9" s="42"/>
      <c r="L9" s="42"/>
      <c r="M9" s="42"/>
      <c r="N9" s="42"/>
      <c r="O9" s="42"/>
      <c r="P9" s="42"/>
      <c r="Q9" s="42"/>
      <c r="R9" s="42"/>
      <c r="S9" s="42"/>
      <c r="T9" s="42"/>
      <c r="U9" s="42"/>
      <c r="V9" s="42"/>
      <c r="W9" s="42"/>
      <c r="X9" s="42"/>
      <c r="Y9" s="42"/>
      <c r="Z9" s="42"/>
      <c r="AA9" s="42"/>
    </row>
    <row r="10">
      <c r="A10" s="36" t="str">
        <f>IF($B10="","",VLOOKUP($B10,DADOS!$C$2:$I1014,2,0))</f>
        <v/>
      </c>
      <c r="B10" s="37"/>
      <c r="C10" s="36"/>
      <c r="D10" s="38" t="str">
        <f>IF($B10="","",SUM(VLOOKUP($B10,DADOS!$C$2:$I1014,4,0)*$C10))</f>
        <v/>
      </c>
      <c r="E10" s="38" t="str">
        <f>IF($B10="","",SUM(VLOOKUP($B10,DADOS!$C$2:$I1014,6,0)*$C10))</f>
        <v/>
      </c>
      <c r="F10" s="39" t="str">
        <f>IF($E10="","",(VLOOKUP($B10,DADOS!$C$2:$I1014,7,0)))</f>
        <v/>
      </c>
      <c r="G10" s="40" t="str">
        <f t="shared" si="2"/>
        <v/>
      </c>
      <c r="H10" s="41"/>
      <c r="I10" s="42"/>
      <c r="J10" s="42"/>
      <c r="K10" s="42"/>
      <c r="L10" s="42"/>
      <c r="M10" s="42"/>
      <c r="N10" s="42"/>
      <c r="O10" s="42"/>
      <c r="P10" s="42"/>
      <c r="Q10" s="42"/>
      <c r="R10" s="42"/>
      <c r="S10" s="42"/>
      <c r="T10" s="42"/>
      <c r="U10" s="42"/>
      <c r="V10" s="42"/>
      <c r="W10" s="42"/>
      <c r="X10" s="42"/>
      <c r="Y10" s="42"/>
      <c r="Z10" s="42"/>
      <c r="AA10" s="42"/>
    </row>
    <row r="11">
      <c r="A11" s="36" t="str">
        <f>IF($B11="","",VLOOKUP($B11,DADOS!$C$2:$I1014,2,0))</f>
        <v/>
      </c>
      <c r="B11" s="37"/>
      <c r="C11" s="36"/>
      <c r="D11" s="38" t="str">
        <f>IF($B11="","",SUM(VLOOKUP($B11,DADOS!$C$2:$I1014,4,0)*$C11))</f>
        <v/>
      </c>
      <c r="E11" s="38" t="str">
        <f>IF($B11="","",SUM(VLOOKUP($B11,DADOS!$C$2:$I1014,6,0)*$C11))</f>
        <v/>
      </c>
      <c r="F11" s="39" t="str">
        <f>IF($E11="","",(VLOOKUP($B11,DADOS!$C$2:$I1014,7,0)))</f>
        <v/>
      </c>
      <c r="G11" s="40" t="str">
        <f t="shared" si="2"/>
        <v/>
      </c>
      <c r="H11" s="41"/>
      <c r="I11" s="42"/>
      <c r="J11" s="42"/>
      <c r="K11" s="42"/>
      <c r="L11" s="42"/>
      <c r="M11" s="42"/>
      <c r="N11" s="42"/>
      <c r="O11" s="42"/>
      <c r="P11" s="42"/>
      <c r="Q11" s="42"/>
      <c r="R11" s="42"/>
      <c r="S11" s="42"/>
      <c r="T11" s="42"/>
      <c r="U11" s="42"/>
      <c r="V11" s="42"/>
      <c r="W11" s="42"/>
      <c r="X11" s="42"/>
      <c r="Y11" s="42"/>
      <c r="Z11" s="42"/>
      <c r="AA11" s="42"/>
    </row>
    <row r="12">
      <c r="A12" s="36" t="str">
        <f>IF($B12="","",VLOOKUP($B12,DADOS!$C$2:$I1014,2,0))</f>
        <v/>
      </c>
      <c r="B12" s="37"/>
      <c r="C12" s="36"/>
      <c r="D12" s="38" t="str">
        <f>IF($B12="","",SUM(VLOOKUP($B12,DADOS!$C$2:$I1014,4,0)*$C12))</f>
        <v/>
      </c>
      <c r="E12" s="38" t="str">
        <f>IF($B12="","",SUM(VLOOKUP($B12,DADOS!$C$2:$I1014,6,0)*$C12))</f>
        <v/>
      </c>
      <c r="F12" s="39" t="str">
        <f>IF($E12="","",(VLOOKUP($B12,DADOS!$C$2:$I1014,7,0)))</f>
        <v/>
      </c>
      <c r="G12" s="40" t="str">
        <f t="shared" si="2"/>
        <v/>
      </c>
      <c r="H12" s="41"/>
      <c r="I12" s="42"/>
      <c r="J12" s="42"/>
      <c r="K12" s="42"/>
      <c r="L12" s="42"/>
      <c r="M12" s="42"/>
      <c r="N12" s="42"/>
      <c r="O12" s="42"/>
      <c r="P12" s="42"/>
      <c r="Q12" s="42"/>
      <c r="R12" s="42"/>
      <c r="S12" s="42"/>
      <c r="T12" s="42"/>
      <c r="U12" s="42"/>
      <c r="V12" s="42"/>
      <c r="W12" s="42"/>
      <c r="X12" s="42"/>
      <c r="Y12" s="42"/>
      <c r="Z12" s="42"/>
      <c r="AA12" s="42"/>
    </row>
    <row r="13">
      <c r="A13" s="36" t="str">
        <f>IF($B13="","",VLOOKUP($B13,DADOS!$C$2:$I1014,2,0))</f>
        <v/>
      </c>
      <c r="B13" s="37"/>
      <c r="C13" s="36"/>
      <c r="D13" s="38" t="str">
        <f>IF($B13="","",SUM(VLOOKUP($B13,DADOS!$C$2:$I1014,4,0)*$C13))</f>
        <v/>
      </c>
      <c r="E13" s="38" t="str">
        <f>IF($B13="","",SUM(VLOOKUP($B13,DADOS!$C$2:$I1014,6,0)*$C13))</f>
        <v/>
      </c>
      <c r="F13" s="39" t="str">
        <f>IF($E13="","",(VLOOKUP($B13,DADOS!$C$2:$I1014,7,0)))</f>
        <v/>
      </c>
      <c r="G13" s="40" t="str">
        <f t="shared" si="2"/>
        <v/>
      </c>
      <c r="H13" s="41"/>
      <c r="I13" s="42"/>
      <c r="J13" s="42"/>
      <c r="K13" s="42"/>
      <c r="L13" s="42"/>
      <c r="M13" s="42"/>
      <c r="N13" s="42"/>
      <c r="O13" s="42"/>
      <c r="P13" s="42"/>
      <c r="Q13" s="42"/>
      <c r="R13" s="42"/>
      <c r="S13" s="42"/>
      <c r="T13" s="42"/>
      <c r="U13" s="42"/>
      <c r="V13" s="42"/>
      <c r="W13" s="42"/>
      <c r="X13" s="42"/>
      <c r="Y13" s="42"/>
      <c r="Z13" s="42"/>
      <c r="AA13" s="42"/>
    </row>
    <row r="14">
      <c r="A14" s="36" t="str">
        <f>IF($B14="","",VLOOKUP($B14,DADOS!$C$2:$I1014,2,0))</f>
        <v/>
      </c>
      <c r="B14" s="37"/>
      <c r="C14" s="36"/>
      <c r="D14" s="38" t="str">
        <f>IF($B14="","",SUM(VLOOKUP($B14,DADOS!$C$2:$I1014,4,0)*$C14))</f>
        <v/>
      </c>
      <c r="E14" s="38" t="str">
        <f>IF($B14="","",SUM(VLOOKUP($B14,DADOS!$C$2:$I1014,6,0)*$C14))</f>
        <v/>
      </c>
      <c r="F14" s="39" t="str">
        <f>IF($E14="","",(VLOOKUP($B14,DADOS!$C$2:$I1014,7,0)))</f>
        <v/>
      </c>
      <c r="G14" s="40" t="str">
        <f t="shared" si="2"/>
        <v/>
      </c>
      <c r="H14" s="41"/>
      <c r="I14" s="21"/>
      <c r="J14" s="21"/>
      <c r="K14" s="21"/>
      <c r="L14" s="21"/>
      <c r="M14" s="21"/>
      <c r="N14" s="21"/>
      <c r="O14" s="21"/>
      <c r="P14" s="21"/>
      <c r="Q14" s="21"/>
      <c r="R14" s="21"/>
      <c r="S14" s="21"/>
      <c r="T14" s="21"/>
      <c r="U14" s="21"/>
      <c r="V14" s="21"/>
      <c r="W14" s="21"/>
      <c r="X14" s="21"/>
      <c r="Y14" s="21"/>
      <c r="Z14" s="21"/>
      <c r="AA14" s="21"/>
    </row>
    <row r="15">
      <c r="A15" s="36" t="str">
        <f>IF($B15="","",VLOOKUP($B15,DADOS!$C$2:$I1014,2,0))</f>
        <v/>
      </c>
      <c r="B15" s="37"/>
      <c r="C15" s="36"/>
      <c r="D15" s="38" t="str">
        <f>IF($B15="","",SUM(VLOOKUP($B15,DADOS!$C$2:$I1014,4,0)*$C15))</f>
        <v/>
      </c>
      <c r="E15" s="38" t="str">
        <f>IF($B15="","",SUM(VLOOKUP($B15,DADOS!$C$2:$I1014,6,0)*$C15))</f>
        <v/>
      </c>
      <c r="F15" s="39" t="str">
        <f>IF($E15="","",(VLOOKUP($B15,DADOS!$C$2:$I1014,7,0)))</f>
        <v/>
      </c>
      <c r="G15" s="40" t="str">
        <f t="shared" si="2"/>
        <v/>
      </c>
      <c r="H15" s="41"/>
      <c r="I15" s="42"/>
      <c r="J15" s="42"/>
      <c r="K15" s="42"/>
      <c r="L15" s="42"/>
      <c r="M15" s="42"/>
      <c r="N15" s="42"/>
      <c r="O15" s="42"/>
      <c r="P15" s="42"/>
      <c r="Q15" s="42"/>
      <c r="R15" s="42"/>
      <c r="S15" s="42"/>
      <c r="T15" s="42"/>
      <c r="U15" s="42"/>
      <c r="V15" s="42"/>
      <c r="W15" s="42"/>
      <c r="X15" s="42"/>
      <c r="Y15" s="42"/>
      <c r="Z15" s="42"/>
      <c r="AA15" s="42"/>
    </row>
    <row r="16">
      <c r="A16" s="36" t="str">
        <f>IF($B16="","",VLOOKUP($B16,DADOS!$C$2:$I1014,2,0))</f>
        <v/>
      </c>
      <c r="B16" s="37"/>
      <c r="C16" s="36"/>
      <c r="D16" s="38" t="str">
        <f>IF($B16="","",SUM(VLOOKUP($B16,DADOS!$C$2:$I1014,4,0)*$C16))</f>
        <v/>
      </c>
      <c r="E16" s="38" t="str">
        <f>IF($B16="","",SUM(VLOOKUP($B16,DADOS!$C$2:$I1014,6,0)*$C16))</f>
        <v/>
      </c>
      <c r="F16" s="39" t="str">
        <f>IF($E16="","",(VLOOKUP($B16,DADOS!$C$2:$I1014,7,0)))</f>
        <v/>
      </c>
      <c r="G16" s="40" t="str">
        <f t="shared" si="2"/>
        <v/>
      </c>
      <c r="H16" s="41"/>
      <c r="I16" s="42"/>
      <c r="J16" s="42"/>
      <c r="K16" s="42"/>
      <c r="L16" s="42"/>
      <c r="M16" s="42"/>
      <c r="N16" s="42"/>
      <c r="O16" s="42"/>
      <c r="P16" s="42"/>
      <c r="Q16" s="42"/>
      <c r="R16" s="42"/>
      <c r="S16" s="42"/>
      <c r="T16" s="42"/>
      <c r="U16" s="42"/>
      <c r="V16" s="42"/>
      <c r="W16" s="42"/>
      <c r="X16" s="42"/>
      <c r="Y16" s="42"/>
      <c r="Z16" s="42"/>
      <c r="AA16" s="42"/>
    </row>
    <row r="17">
      <c r="A17" s="36" t="str">
        <f>IF($B17="","",VLOOKUP($B17,DADOS!$C$2:$I1014,2,0))</f>
        <v/>
      </c>
      <c r="B17" s="37"/>
      <c r="C17" s="36"/>
      <c r="D17" s="38" t="str">
        <f>IF($B17="","",SUM(VLOOKUP($B17,DADOS!$C$2:$I1014,4,0)*$C17))</f>
        <v/>
      </c>
      <c r="E17" s="38" t="str">
        <f>IF($B17="","",SUM(VLOOKUP($B17,DADOS!$C$2:$I1014,6,0)*$C17))</f>
        <v/>
      </c>
      <c r="F17" s="39" t="str">
        <f>IF($E17="","",(VLOOKUP($B17,DADOS!$C$2:$I1014,7,0)))</f>
        <v/>
      </c>
      <c r="G17" s="40" t="str">
        <f t="shared" si="2"/>
        <v/>
      </c>
      <c r="H17" s="41"/>
      <c r="I17" s="42"/>
      <c r="J17" s="42"/>
      <c r="K17" s="42"/>
      <c r="L17" s="42"/>
      <c r="M17" s="42"/>
      <c r="N17" s="42"/>
      <c r="O17" s="42"/>
      <c r="P17" s="42"/>
      <c r="Q17" s="42"/>
      <c r="R17" s="42"/>
      <c r="S17" s="42"/>
      <c r="T17" s="42"/>
      <c r="U17" s="42"/>
      <c r="V17" s="42"/>
      <c r="W17" s="42"/>
      <c r="X17" s="42"/>
      <c r="Y17" s="42"/>
      <c r="Z17" s="42"/>
      <c r="AA17" s="42"/>
    </row>
    <row r="18">
      <c r="A18" s="36" t="str">
        <f>IF($B18="","",VLOOKUP($B18,DADOS!$C$2:$I1014,2,0))</f>
        <v/>
      </c>
      <c r="B18" s="37"/>
      <c r="C18" s="36"/>
      <c r="D18" s="38" t="str">
        <f>IF($B18="","",SUM(VLOOKUP($B18,DADOS!$C$2:$I1014,4,0)*$C18))</f>
        <v/>
      </c>
      <c r="E18" s="38" t="str">
        <f>IF($B18="","",SUM(VLOOKUP($B18,DADOS!$C$2:$I1014,6,0)*$C18))</f>
        <v/>
      </c>
      <c r="F18" s="39" t="str">
        <f>IF($E18="","",(VLOOKUP($B18,DADOS!$C$2:$I1014,7,0)))</f>
        <v/>
      </c>
      <c r="G18" s="40" t="str">
        <f t="shared" si="2"/>
        <v/>
      </c>
      <c r="H18" s="41"/>
      <c r="I18" s="42"/>
      <c r="J18" s="42"/>
      <c r="K18" s="42"/>
      <c r="L18" s="42"/>
      <c r="M18" s="42"/>
      <c r="N18" s="42"/>
      <c r="O18" s="42"/>
      <c r="P18" s="42"/>
      <c r="Q18" s="42"/>
      <c r="R18" s="42"/>
      <c r="S18" s="42"/>
      <c r="T18" s="42"/>
      <c r="U18" s="42"/>
      <c r="V18" s="42"/>
      <c r="W18" s="42"/>
      <c r="X18" s="42"/>
      <c r="Y18" s="42"/>
      <c r="Z18" s="42"/>
      <c r="AA18" s="42"/>
    </row>
    <row r="19">
      <c r="A19" s="36" t="str">
        <f>IF($B19="","",VLOOKUP($B19,DADOS!$C$2:$I1014,2,0))</f>
        <v/>
      </c>
      <c r="B19" s="37"/>
      <c r="C19" s="36"/>
      <c r="D19" s="38" t="str">
        <f>IF($B19="","",SUM(VLOOKUP($B19,DADOS!$C$2:$I1014,4,0)*$C19))</f>
        <v/>
      </c>
      <c r="E19" s="38" t="str">
        <f>IF($B19="","",SUM(VLOOKUP($B19,DADOS!$C$2:$I1014,6,0)*$C19))</f>
        <v/>
      </c>
      <c r="F19" s="39" t="str">
        <f>IF($E19="","",(VLOOKUP($B19,DADOS!$C$2:$I1014,7,0)))</f>
        <v/>
      </c>
      <c r="G19" s="40" t="str">
        <f t="shared" si="2"/>
        <v/>
      </c>
      <c r="H19" s="41"/>
      <c r="I19" s="42"/>
      <c r="J19" s="42"/>
      <c r="K19" s="42"/>
      <c r="L19" s="42"/>
      <c r="M19" s="42"/>
      <c r="N19" s="42"/>
      <c r="O19" s="42"/>
      <c r="P19" s="42"/>
      <c r="Q19" s="42"/>
      <c r="R19" s="42"/>
      <c r="S19" s="42"/>
      <c r="T19" s="42"/>
      <c r="U19" s="42"/>
      <c r="V19" s="42"/>
      <c r="W19" s="42"/>
      <c r="X19" s="42"/>
      <c r="Y19" s="42"/>
      <c r="Z19" s="42"/>
      <c r="AA19" s="42"/>
    </row>
    <row r="20">
      <c r="A20" s="36" t="str">
        <f>IF($B20="","",VLOOKUP($B20,DADOS!$C$2:$I1014,2,0))</f>
        <v/>
      </c>
      <c r="B20" s="37"/>
      <c r="C20" s="36"/>
      <c r="D20" s="38" t="str">
        <f>IF($B20="","",SUM(VLOOKUP($B20,DADOS!$C$2:$I1014,4,0)*$C20))</f>
        <v/>
      </c>
      <c r="E20" s="38" t="str">
        <f>IF($B20="","",SUM(VLOOKUP($B20,DADOS!$C$2:$I1014,6,0)*$C20))</f>
        <v/>
      </c>
      <c r="F20" s="39" t="str">
        <f>IF($E20="","",(VLOOKUP($B20,DADOS!$C$2:$I1014,7,0)))</f>
        <v/>
      </c>
      <c r="G20" s="40" t="str">
        <f t="shared" si="2"/>
        <v/>
      </c>
      <c r="H20" s="41"/>
      <c r="I20" s="42"/>
      <c r="J20" s="42"/>
      <c r="K20" s="42"/>
      <c r="L20" s="42"/>
      <c r="M20" s="42"/>
      <c r="N20" s="42"/>
      <c r="O20" s="42"/>
      <c r="P20" s="42"/>
      <c r="Q20" s="42"/>
      <c r="R20" s="42"/>
      <c r="S20" s="42"/>
      <c r="T20" s="42"/>
      <c r="U20" s="42"/>
      <c r="V20" s="42"/>
      <c r="W20" s="42"/>
      <c r="X20" s="42"/>
      <c r="Y20" s="42"/>
      <c r="Z20" s="42"/>
      <c r="AA20" s="42"/>
    </row>
    <row r="21">
      <c r="A21" s="36" t="str">
        <f>IF($B21="","",VLOOKUP($B21,DADOS!$C$2:$I1014,2,0))</f>
        <v/>
      </c>
      <c r="B21" s="37"/>
      <c r="C21" s="36"/>
      <c r="D21" s="38" t="str">
        <f>IF($B21="","",SUM(VLOOKUP($B21,DADOS!$C$2:$I1014,4,0)*$C21))</f>
        <v/>
      </c>
      <c r="E21" s="38" t="str">
        <f>IF($B21="","",SUM(VLOOKUP($B21,DADOS!$C$2:$I1014,6,0)*$C21))</f>
        <v/>
      </c>
      <c r="F21" s="39" t="str">
        <f>IF($E21="","",(VLOOKUP($B21,DADOS!$C$2:$I1014,7,0)))</f>
        <v/>
      </c>
      <c r="G21" s="40" t="str">
        <f t="shared" si="2"/>
        <v/>
      </c>
      <c r="H21" s="41"/>
      <c r="I21" s="42"/>
      <c r="J21" s="42"/>
      <c r="K21" s="42"/>
      <c r="L21" s="42"/>
      <c r="M21" s="42"/>
      <c r="N21" s="42"/>
      <c r="O21" s="42"/>
      <c r="P21" s="42"/>
      <c r="Q21" s="42"/>
      <c r="R21" s="42"/>
      <c r="S21" s="42"/>
      <c r="T21" s="42"/>
      <c r="U21" s="42"/>
      <c r="V21" s="42"/>
      <c r="W21" s="42"/>
      <c r="X21" s="42"/>
      <c r="Y21" s="42"/>
      <c r="Z21" s="42"/>
      <c r="AA21" s="42"/>
    </row>
    <row r="22">
      <c r="A22" s="36" t="str">
        <f>IF($B22="","",VLOOKUP($B22,DADOS!$C$2:$I1014,2,0))</f>
        <v/>
      </c>
      <c r="B22" s="37"/>
      <c r="C22" s="36"/>
      <c r="D22" s="38" t="str">
        <f>IF($B22="","",SUM(VLOOKUP($B22,DADOS!$C$2:$I1014,4,0)*$C22))</f>
        <v/>
      </c>
      <c r="E22" s="38" t="str">
        <f>IF($B22="","",SUM(VLOOKUP($B22,DADOS!$C$2:$I1014,6,0)*$C22))</f>
        <v/>
      </c>
      <c r="F22" s="39" t="str">
        <f>IF($E22="","",(VLOOKUP($B22,DADOS!$C$2:$I1014,7,0)))</f>
        <v/>
      </c>
      <c r="G22" s="40" t="str">
        <f t="shared" si="2"/>
        <v/>
      </c>
      <c r="H22" s="41"/>
      <c r="I22" s="42"/>
      <c r="J22" s="42"/>
      <c r="K22" s="42"/>
      <c r="L22" s="42"/>
      <c r="M22" s="42"/>
      <c r="N22" s="42"/>
      <c r="O22" s="42"/>
      <c r="P22" s="42"/>
      <c r="Q22" s="42"/>
      <c r="R22" s="42"/>
      <c r="S22" s="42"/>
      <c r="T22" s="42"/>
      <c r="U22" s="42"/>
      <c r="V22" s="42"/>
      <c r="W22" s="42"/>
      <c r="X22" s="42"/>
      <c r="Y22" s="42"/>
      <c r="Z22" s="42"/>
      <c r="AA22" s="42"/>
    </row>
    <row r="23">
      <c r="A23" s="36" t="str">
        <f>IF($B23="","",VLOOKUP($B23,DADOS!$C$2:$I1014,2,0))</f>
        <v/>
      </c>
      <c r="B23" s="37"/>
      <c r="C23" s="36"/>
      <c r="D23" s="38" t="str">
        <f>IF($B23="","",SUM(VLOOKUP($B23,DADOS!$C$2:$I1014,4,0)*$C23))</f>
        <v/>
      </c>
      <c r="E23" s="38" t="str">
        <f>IF($B23="","",SUM(VLOOKUP($B23,DADOS!$C$2:$I1014,6,0)*$C23))</f>
        <v/>
      </c>
      <c r="F23" s="39" t="str">
        <f>IF($E23="","",(VLOOKUP($B23,DADOS!$C$2:$I1014,7,0)))</f>
        <v/>
      </c>
      <c r="G23" s="40" t="str">
        <f t="shared" si="2"/>
        <v/>
      </c>
      <c r="H23" s="41"/>
      <c r="I23" s="42"/>
      <c r="J23" s="42"/>
      <c r="K23" s="42"/>
      <c r="L23" s="42"/>
      <c r="M23" s="42"/>
      <c r="N23" s="42"/>
      <c r="O23" s="42"/>
      <c r="P23" s="42"/>
      <c r="Q23" s="42"/>
      <c r="R23" s="42"/>
      <c r="S23" s="42"/>
      <c r="T23" s="42"/>
      <c r="U23" s="42"/>
      <c r="V23" s="42"/>
      <c r="W23" s="42"/>
      <c r="X23" s="42"/>
      <c r="Y23" s="42"/>
      <c r="Z23" s="42"/>
      <c r="AA23" s="42"/>
    </row>
    <row r="24">
      <c r="A24" s="36" t="str">
        <f>IF($B24="","",VLOOKUP($B24,DADOS!$C$2:$I1014,2,0))</f>
        <v/>
      </c>
      <c r="B24" s="37"/>
      <c r="C24" s="36"/>
      <c r="D24" s="38" t="str">
        <f>IF($B24="","",SUM(VLOOKUP($B24,DADOS!$C$2:$I1014,4,0)*$C24))</f>
        <v/>
      </c>
      <c r="E24" s="38" t="str">
        <f>IF($B24="","",SUM(VLOOKUP($B24,DADOS!$C$2:$I1014,6,0)*$C24))</f>
        <v/>
      </c>
      <c r="F24" s="39" t="str">
        <f>IF($E24="","",(VLOOKUP($B24,DADOS!$C$2:$I1014,7,0)))</f>
        <v/>
      </c>
      <c r="G24" s="40" t="str">
        <f t="shared" si="2"/>
        <v/>
      </c>
      <c r="H24" s="41"/>
      <c r="I24" s="42"/>
      <c r="J24" s="42"/>
      <c r="K24" s="42"/>
      <c r="L24" s="42"/>
      <c r="M24" s="42"/>
      <c r="N24" s="42"/>
      <c r="O24" s="42"/>
      <c r="P24" s="42"/>
      <c r="Q24" s="42"/>
      <c r="R24" s="42"/>
      <c r="S24" s="42"/>
      <c r="T24" s="42"/>
      <c r="U24" s="42"/>
      <c r="V24" s="42"/>
      <c r="W24" s="42"/>
      <c r="X24" s="42"/>
      <c r="Y24" s="42"/>
      <c r="Z24" s="42"/>
      <c r="AA24" s="42"/>
    </row>
    <row r="25">
      <c r="A25" s="36" t="str">
        <f>IF($B25="","",VLOOKUP($B25,DADOS!$C$2:$I1014,2,0))</f>
        <v/>
      </c>
      <c r="B25" s="37"/>
      <c r="C25" s="36"/>
      <c r="D25" s="38" t="str">
        <f>IF($B25="","",SUM(VLOOKUP($B25,DADOS!$C$2:$I1014,4,0)*$C25))</f>
        <v/>
      </c>
      <c r="E25" s="38" t="str">
        <f>IF($B25="","",SUM(VLOOKUP($B25,DADOS!$C$2:$I1014,6,0)*$C25))</f>
        <v/>
      </c>
      <c r="F25" s="39" t="str">
        <f>IF($E25="","",(VLOOKUP($B25,DADOS!$C$2:$I1014,7,0)))</f>
        <v/>
      </c>
      <c r="G25" s="40" t="str">
        <f t="shared" si="2"/>
        <v/>
      </c>
      <c r="H25" s="41"/>
      <c r="I25" s="42"/>
      <c r="J25" s="42"/>
      <c r="K25" s="42"/>
      <c r="L25" s="42"/>
      <c r="M25" s="42"/>
      <c r="N25" s="42"/>
      <c r="O25" s="42"/>
      <c r="P25" s="42"/>
      <c r="Q25" s="42"/>
      <c r="R25" s="42"/>
      <c r="S25" s="42"/>
      <c r="T25" s="42"/>
      <c r="U25" s="42"/>
      <c r="V25" s="42"/>
      <c r="W25" s="42"/>
      <c r="X25" s="42"/>
      <c r="Y25" s="42"/>
      <c r="Z25" s="42"/>
      <c r="AA25" s="42"/>
    </row>
    <row r="26">
      <c r="A26" s="36" t="str">
        <f>IF($B26="","",VLOOKUP($B26,DADOS!$C$2:$I1014,2,0))</f>
        <v/>
      </c>
      <c r="B26" s="37"/>
      <c r="C26" s="36"/>
      <c r="D26" s="38" t="str">
        <f>IF($B26="","",SUM(VLOOKUP($B26,DADOS!$C$2:$I1014,4,0)*$C26))</f>
        <v/>
      </c>
      <c r="E26" s="38" t="str">
        <f>IF($B26="","",SUM(VLOOKUP($B26,DADOS!$C$2:$I1014,6,0)*$C26))</f>
        <v/>
      </c>
      <c r="F26" s="39" t="str">
        <f>IF($E26="","",(VLOOKUP($B26,DADOS!$C$2:$I1014,7,0)))</f>
        <v/>
      </c>
      <c r="G26" s="40" t="str">
        <f t="shared" si="2"/>
        <v/>
      </c>
      <c r="H26" s="41"/>
      <c r="I26" s="42"/>
      <c r="J26" s="42"/>
      <c r="K26" s="42"/>
      <c r="L26" s="42"/>
      <c r="M26" s="42"/>
      <c r="N26" s="42"/>
      <c r="O26" s="42"/>
      <c r="P26" s="42"/>
      <c r="Q26" s="42"/>
      <c r="R26" s="42"/>
      <c r="S26" s="42"/>
      <c r="T26" s="42"/>
      <c r="U26" s="42"/>
      <c r="V26" s="42"/>
      <c r="W26" s="42"/>
      <c r="X26" s="42"/>
      <c r="Y26" s="42"/>
      <c r="Z26" s="42"/>
      <c r="AA26" s="42"/>
    </row>
    <row r="27">
      <c r="A27" s="36" t="str">
        <f>IF($B27="","",VLOOKUP($B27,DADOS!$C$2:$I1014,2,0))</f>
        <v/>
      </c>
      <c r="B27" s="37"/>
      <c r="C27" s="36"/>
      <c r="D27" s="38" t="str">
        <f>IF($B27="","",SUM(VLOOKUP($B27,DADOS!$C$2:$I1014,4,0)*$C27))</f>
        <v/>
      </c>
      <c r="E27" s="38" t="str">
        <f>IF($B27="","",SUM(VLOOKUP($B27,DADOS!$C$2:$I1014,6,0)*$C27))</f>
        <v/>
      </c>
      <c r="F27" s="39" t="str">
        <f>IF($E27="","",(VLOOKUP($B27,DADOS!$C$2:$I1014,7,0)))</f>
        <v/>
      </c>
      <c r="G27" s="40" t="str">
        <f t="shared" si="2"/>
        <v/>
      </c>
      <c r="H27" s="41"/>
      <c r="I27" s="42"/>
      <c r="J27" s="42"/>
      <c r="K27" s="42"/>
      <c r="L27" s="42"/>
      <c r="M27" s="42"/>
      <c r="N27" s="42"/>
      <c r="O27" s="42"/>
      <c r="P27" s="42"/>
      <c r="Q27" s="42"/>
      <c r="R27" s="42"/>
      <c r="S27" s="42"/>
      <c r="T27" s="42"/>
      <c r="U27" s="42"/>
      <c r="V27" s="42"/>
      <c r="W27" s="42"/>
      <c r="X27" s="42"/>
      <c r="Y27" s="42"/>
      <c r="Z27" s="42"/>
      <c r="AA27" s="42"/>
    </row>
    <row r="28">
      <c r="A28" s="36" t="str">
        <f>IF($B28="","",VLOOKUP($B28,DADOS!$C$2:$I1014,2,0))</f>
        <v/>
      </c>
      <c r="B28" s="37"/>
      <c r="C28" s="36"/>
      <c r="D28" s="38" t="str">
        <f>IF($B28="","",SUM(VLOOKUP($B28,DADOS!$C$2:$I1014,4,0)*$C28))</f>
        <v/>
      </c>
      <c r="E28" s="38" t="str">
        <f>IF($B28="","",SUM(VLOOKUP($B28,DADOS!$C$2:$I1014,6,0)*$C28))</f>
        <v/>
      </c>
      <c r="F28" s="39" t="str">
        <f>IF($E28="","",(VLOOKUP($B28,DADOS!$C$2:$I1014,7,0)))</f>
        <v/>
      </c>
      <c r="G28" s="40" t="str">
        <f t="shared" si="2"/>
        <v/>
      </c>
      <c r="H28" s="41"/>
      <c r="I28" s="42"/>
      <c r="J28" s="42"/>
      <c r="K28" s="42"/>
      <c r="L28" s="42"/>
      <c r="M28" s="42"/>
      <c r="N28" s="42"/>
      <c r="O28" s="42"/>
      <c r="P28" s="42"/>
      <c r="Q28" s="42"/>
      <c r="R28" s="42"/>
      <c r="S28" s="42"/>
      <c r="T28" s="42"/>
      <c r="U28" s="42"/>
      <c r="V28" s="42"/>
      <c r="W28" s="42"/>
      <c r="X28" s="42"/>
      <c r="Y28" s="42"/>
      <c r="Z28" s="42"/>
      <c r="AA28" s="42"/>
    </row>
    <row r="29">
      <c r="A29" s="36" t="str">
        <f>IF($B29="","",VLOOKUP($B29,DADOS!$C$2:$I1014,2,0))</f>
        <v/>
      </c>
      <c r="B29" s="37"/>
      <c r="C29" s="36"/>
      <c r="D29" s="38" t="str">
        <f>IF($B29="","",SUM(VLOOKUP($B29,DADOS!$C$2:$I1014,4,0)*$C29))</f>
        <v/>
      </c>
      <c r="E29" s="38" t="str">
        <f>IF($B29="","",SUM(VLOOKUP($B29,DADOS!$C$2:$I1014,6,0)*$C29))</f>
        <v/>
      </c>
      <c r="F29" s="39" t="str">
        <f>IF($E29="","",(VLOOKUP($B29,DADOS!$C$2:$I1014,7,0)))</f>
        <v/>
      </c>
      <c r="G29" s="40" t="str">
        <f t="shared" si="2"/>
        <v/>
      </c>
      <c r="H29" s="41"/>
      <c r="I29" s="42"/>
      <c r="J29" s="42"/>
      <c r="K29" s="42"/>
      <c r="L29" s="42"/>
      <c r="M29" s="42"/>
      <c r="N29" s="42"/>
      <c r="O29" s="42"/>
      <c r="P29" s="42"/>
      <c r="Q29" s="42"/>
      <c r="R29" s="42"/>
      <c r="S29" s="42"/>
      <c r="T29" s="42"/>
      <c r="U29" s="42"/>
      <c r="V29" s="42"/>
      <c r="W29" s="42"/>
      <c r="X29" s="42"/>
      <c r="Y29" s="42"/>
      <c r="Z29" s="42"/>
      <c r="AA29" s="42"/>
    </row>
    <row r="30">
      <c r="A30" s="36" t="str">
        <f>IF($B30="","",VLOOKUP($B30,DADOS!$C$2:$I1014,2,0))</f>
        <v/>
      </c>
      <c r="B30" s="37"/>
      <c r="C30" s="36"/>
      <c r="D30" s="38" t="str">
        <f>IF($B30="","",SUM(VLOOKUP($B30,DADOS!$C$2:$I1014,4,0)*$C30))</f>
        <v/>
      </c>
      <c r="E30" s="38" t="str">
        <f>IF($B30="","",SUM(VLOOKUP($B30,DADOS!$C$2:$I1014,6,0)*$C30))</f>
        <v/>
      </c>
      <c r="F30" s="39" t="str">
        <f>IF($E30="","",(VLOOKUP($B30,DADOS!$C$2:$I1014,7,0)))</f>
        <v/>
      </c>
      <c r="G30" s="40" t="str">
        <f t="shared" si="2"/>
        <v/>
      </c>
      <c r="H30" s="41"/>
      <c r="I30" s="42"/>
      <c r="J30" s="42"/>
      <c r="K30" s="42"/>
      <c r="L30" s="42"/>
      <c r="M30" s="42"/>
      <c r="N30" s="42"/>
      <c r="O30" s="42"/>
      <c r="P30" s="42"/>
      <c r="Q30" s="42"/>
      <c r="R30" s="42"/>
      <c r="S30" s="42"/>
      <c r="T30" s="42"/>
      <c r="U30" s="42"/>
      <c r="V30" s="42"/>
      <c r="W30" s="42"/>
      <c r="X30" s="42"/>
      <c r="Y30" s="42"/>
      <c r="Z30" s="42"/>
      <c r="AA30" s="42"/>
    </row>
    <row r="31">
      <c r="A31" s="36" t="str">
        <f>IF($B31="","",VLOOKUP($B31,DADOS!$C$2:$I1014,2,0))</f>
        <v/>
      </c>
      <c r="B31" s="37"/>
      <c r="C31" s="36"/>
      <c r="D31" s="38" t="str">
        <f>IF($B31="","",SUM(VLOOKUP($B31,DADOS!$C$2:$I1014,4,0)*$C31))</f>
        <v/>
      </c>
      <c r="E31" s="38" t="str">
        <f>IF($B31="","",SUM(VLOOKUP($B31,DADOS!$C$2:$I1014,6,0)*$C31))</f>
        <v/>
      </c>
      <c r="F31" s="39" t="str">
        <f>IF($E31="","",(VLOOKUP($B31,DADOS!$C$2:$I1014,7,0)))</f>
        <v/>
      </c>
      <c r="G31" s="40" t="str">
        <f t="shared" si="2"/>
        <v/>
      </c>
      <c r="H31" s="41"/>
      <c r="I31" s="42"/>
      <c r="J31" s="42"/>
      <c r="K31" s="42"/>
      <c r="L31" s="42"/>
      <c r="M31" s="42"/>
      <c r="N31" s="42"/>
      <c r="O31" s="42"/>
      <c r="P31" s="42"/>
      <c r="Q31" s="42"/>
      <c r="R31" s="42"/>
      <c r="S31" s="42"/>
      <c r="T31" s="42"/>
      <c r="U31" s="42"/>
      <c r="V31" s="42"/>
      <c r="W31" s="42"/>
      <c r="X31" s="42"/>
      <c r="Y31" s="42"/>
      <c r="Z31" s="42"/>
      <c r="AA31" s="42"/>
    </row>
    <row r="32">
      <c r="A32" s="36" t="str">
        <f>IF($B32="","",VLOOKUP($B32,DADOS!$C$2:$I1014,2,0))</f>
        <v/>
      </c>
      <c r="B32" s="37"/>
      <c r="C32" s="36"/>
      <c r="D32" s="38" t="str">
        <f>IF($B32="","",SUM(VLOOKUP($B32,DADOS!$C$2:$I1014,4,0)*$C32))</f>
        <v/>
      </c>
      <c r="E32" s="38" t="str">
        <f>IF($B32="","",SUM(VLOOKUP($B32,DADOS!$C$2:$I1014,6,0)*$C32))</f>
        <v/>
      </c>
      <c r="F32" s="39" t="str">
        <f>IF($E32="","",(VLOOKUP($B32,DADOS!$C$2:$I1014,7,0)))</f>
        <v/>
      </c>
      <c r="G32" s="40" t="str">
        <f t="shared" si="2"/>
        <v/>
      </c>
      <c r="H32" s="41"/>
      <c r="I32" s="42"/>
      <c r="J32" s="42"/>
      <c r="K32" s="42"/>
      <c r="L32" s="42"/>
      <c r="M32" s="42"/>
      <c r="N32" s="42"/>
      <c r="O32" s="42"/>
      <c r="P32" s="42"/>
      <c r="Q32" s="42"/>
      <c r="R32" s="42"/>
      <c r="S32" s="42"/>
      <c r="T32" s="42"/>
      <c r="U32" s="42"/>
      <c r="V32" s="42"/>
      <c r="W32" s="42"/>
      <c r="X32" s="42"/>
      <c r="Y32" s="42"/>
      <c r="Z32" s="42"/>
      <c r="AA32" s="42"/>
    </row>
    <row r="33">
      <c r="A33" s="36" t="str">
        <f>IF($B33="","",VLOOKUP($B33,DADOS!$C$2:$I1014,2,0))</f>
        <v/>
      </c>
      <c r="B33" s="37"/>
      <c r="C33" s="36"/>
      <c r="D33" s="38" t="str">
        <f>IF($B33="","",SUM(VLOOKUP($B33,DADOS!$C$2:$I1014,4,0)*$C33))</f>
        <v/>
      </c>
      <c r="E33" s="38" t="str">
        <f>IF($B33="","",SUM(VLOOKUP($B33,DADOS!$C$2:$I1014,6,0)*$C33))</f>
        <v/>
      </c>
      <c r="F33" s="39" t="str">
        <f>IF($E33="","",(VLOOKUP($B33,DADOS!$C$2:$I1014,7,0)))</f>
        <v/>
      </c>
      <c r="G33" s="40" t="str">
        <f t="shared" si="2"/>
        <v/>
      </c>
      <c r="H33" s="41"/>
      <c r="I33" s="42"/>
      <c r="J33" s="42"/>
      <c r="K33" s="42"/>
      <c r="L33" s="42"/>
      <c r="M33" s="42"/>
      <c r="N33" s="42"/>
      <c r="O33" s="42"/>
      <c r="P33" s="42"/>
      <c r="Q33" s="42"/>
      <c r="R33" s="42"/>
      <c r="S33" s="42"/>
      <c r="T33" s="42"/>
      <c r="U33" s="42"/>
      <c r="V33" s="42"/>
      <c r="W33" s="42"/>
      <c r="X33" s="42"/>
      <c r="Y33" s="42"/>
      <c r="Z33" s="42"/>
      <c r="AA33" s="42"/>
    </row>
    <row r="34">
      <c r="A34" s="36" t="str">
        <f>IF($B34="","",VLOOKUP($B34,DADOS!$C$2:$I1014,2,0))</f>
        <v/>
      </c>
      <c r="B34" s="37"/>
      <c r="C34" s="36"/>
      <c r="D34" s="38" t="str">
        <f>IF($B34="","",SUM(VLOOKUP($B34,DADOS!$C$2:$I1014,4,0)*$C34))</f>
        <v/>
      </c>
      <c r="E34" s="38" t="str">
        <f>IF($B34="","",SUM(VLOOKUP($B34,DADOS!$C$2:$I1014,6,0)*$C34))</f>
        <v/>
      </c>
      <c r="F34" s="39" t="str">
        <f>IF($E34="","",(VLOOKUP($B34,DADOS!$C$2:$I1014,7,0)))</f>
        <v/>
      </c>
      <c r="G34" s="40" t="str">
        <f t="shared" si="2"/>
        <v/>
      </c>
      <c r="H34" s="41"/>
      <c r="I34" s="42"/>
      <c r="J34" s="42"/>
      <c r="K34" s="42"/>
      <c r="L34" s="42"/>
      <c r="M34" s="42"/>
      <c r="N34" s="42"/>
      <c r="O34" s="42"/>
      <c r="P34" s="42"/>
      <c r="Q34" s="42"/>
      <c r="R34" s="42"/>
      <c r="S34" s="42"/>
      <c r="T34" s="42"/>
      <c r="U34" s="42"/>
      <c r="V34" s="42"/>
      <c r="W34" s="42"/>
      <c r="X34" s="42"/>
      <c r="Y34" s="42"/>
      <c r="Z34" s="42"/>
      <c r="AA34" s="42"/>
    </row>
    <row r="35">
      <c r="A35" s="36" t="str">
        <f>IF($B35="","",VLOOKUP($B35,DADOS!$C$2:$I1014,2,0))</f>
        <v/>
      </c>
      <c r="B35" s="37"/>
      <c r="C35" s="36"/>
      <c r="D35" s="38" t="str">
        <f>IF($B35="","",SUM(VLOOKUP($B35,DADOS!$C$2:$I1014,4,0)*$C35))</f>
        <v/>
      </c>
      <c r="E35" s="38" t="str">
        <f>IF($B35="","",SUM(VLOOKUP($B35,DADOS!$C$2:$I1014,6,0)*$C35))</f>
        <v/>
      </c>
      <c r="F35" s="39" t="str">
        <f>IF($E35="","",(VLOOKUP($B35,DADOS!$C$2:$I1014,7,0)))</f>
        <v/>
      </c>
      <c r="G35" s="40" t="str">
        <f t="shared" si="2"/>
        <v/>
      </c>
      <c r="H35" s="41"/>
      <c r="I35" s="42"/>
      <c r="J35" s="42"/>
      <c r="K35" s="42"/>
      <c r="L35" s="42"/>
      <c r="M35" s="42"/>
      <c r="N35" s="42"/>
      <c r="O35" s="42"/>
      <c r="P35" s="42"/>
      <c r="Q35" s="42"/>
      <c r="R35" s="42"/>
      <c r="S35" s="42"/>
      <c r="T35" s="42"/>
      <c r="U35" s="42"/>
      <c r="V35" s="42"/>
      <c r="W35" s="42"/>
      <c r="X35" s="42"/>
      <c r="Y35" s="42"/>
      <c r="Z35" s="42"/>
      <c r="AA35" s="42"/>
    </row>
    <row r="36">
      <c r="A36" s="36" t="str">
        <f>IF($B36="","",VLOOKUP($B36,DADOS!$C$2:$I1014,2,0))</f>
        <v/>
      </c>
      <c r="B36" s="37"/>
      <c r="C36" s="36"/>
      <c r="D36" s="38" t="str">
        <f>IF($B36="","",SUM(VLOOKUP($B36,DADOS!$C$2:$I1014,4,0)*$C36))</f>
        <v/>
      </c>
      <c r="E36" s="38" t="str">
        <f>IF($B36="","",SUM(VLOOKUP($B36,DADOS!$C$2:$I1014,6,0)*$C36))</f>
        <v/>
      </c>
      <c r="F36" s="39" t="str">
        <f>IF($E36="","",(VLOOKUP($B36,DADOS!$C$2:$I1014,7,0)))</f>
        <v/>
      </c>
      <c r="G36" s="40" t="str">
        <f t="shared" si="2"/>
        <v/>
      </c>
      <c r="H36" s="41"/>
      <c r="I36" s="42"/>
      <c r="J36" s="42"/>
      <c r="K36" s="42"/>
      <c r="L36" s="42"/>
      <c r="M36" s="42"/>
      <c r="N36" s="42"/>
      <c r="O36" s="42"/>
      <c r="P36" s="42"/>
      <c r="Q36" s="42"/>
      <c r="R36" s="42"/>
      <c r="S36" s="42"/>
      <c r="T36" s="42"/>
      <c r="U36" s="42"/>
      <c r="V36" s="42"/>
      <c r="W36" s="42"/>
      <c r="X36" s="42"/>
      <c r="Y36" s="42"/>
      <c r="Z36" s="42"/>
      <c r="AA36" s="42"/>
    </row>
    <row r="37">
      <c r="A37" s="36" t="str">
        <f>IF($B37="","",VLOOKUP($B37,DADOS!$C$2:$I1014,2,0))</f>
        <v/>
      </c>
      <c r="B37" s="37"/>
      <c r="C37" s="36"/>
      <c r="D37" s="38" t="str">
        <f>IF($B37="","",SUM(VLOOKUP($B37,DADOS!$C$2:$I1014,4,0)*$C37))</f>
        <v/>
      </c>
      <c r="E37" s="38" t="str">
        <f>IF($B37="","",SUM(VLOOKUP($B37,DADOS!$C$2:$I1014,6,0)*$C37))</f>
        <v/>
      </c>
      <c r="F37" s="39" t="str">
        <f>IF($E37="","",(VLOOKUP($B37,DADOS!$C$2:$I1014,7,0)))</f>
        <v/>
      </c>
      <c r="G37" s="40" t="str">
        <f t="shared" si="2"/>
        <v/>
      </c>
      <c r="H37" s="41"/>
      <c r="I37" s="42"/>
      <c r="J37" s="42"/>
      <c r="K37" s="42"/>
      <c r="L37" s="42"/>
      <c r="M37" s="42"/>
      <c r="N37" s="42"/>
      <c r="O37" s="42"/>
      <c r="P37" s="42"/>
      <c r="Q37" s="42"/>
      <c r="R37" s="42"/>
      <c r="S37" s="42"/>
      <c r="T37" s="42"/>
      <c r="U37" s="42"/>
      <c r="V37" s="42"/>
      <c r="W37" s="42"/>
      <c r="X37" s="42"/>
      <c r="Y37" s="42"/>
      <c r="Z37" s="42"/>
      <c r="AA37" s="42"/>
    </row>
    <row r="38">
      <c r="A38" s="36" t="str">
        <f>IF($B38="","",VLOOKUP($B38,DADOS!$C$2:$I1014,2,0))</f>
        <v/>
      </c>
      <c r="B38" s="37"/>
      <c r="C38" s="36"/>
      <c r="D38" s="38" t="str">
        <f>IF($B38="","",SUM(VLOOKUP($B38,DADOS!$C$2:$I1014,4,0)*$C38))</f>
        <v/>
      </c>
      <c r="E38" s="38" t="str">
        <f>IF($B38="","",SUM(VLOOKUP($B38,DADOS!$C$2:$I1014,6,0)*$C38))</f>
        <v/>
      </c>
      <c r="F38" s="39" t="str">
        <f>IF($E38="","",(VLOOKUP($B38,DADOS!$C$2:$I1014,7,0)))</f>
        <v/>
      </c>
      <c r="G38" s="40" t="str">
        <f t="shared" si="2"/>
        <v/>
      </c>
      <c r="H38" s="41"/>
      <c r="I38" s="42"/>
      <c r="J38" s="42"/>
      <c r="K38" s="42"/>
      <c r="L38" s="42"/>
      <c r="M38" s="42"/>
      <c r="N38" s="42"/>
      <c r="O38" s="42"/>
      <c r="P38" s="42"/>
      <c r="Q38" s="42"/>
      <c r="R38" s="42"/>
      <c r="S38" s="42"/>
      <c r="T38" s="42"/>
      <c r="U38" s="42"/>
      <c r="V38" s="42"/>
      <c r="W38" s="42"/>
      <c r="X38" s="42"/>
      <c r="Y38" s="42"/>
      <c r="Z38" s="42"/>
      <c r="AA38" s="42"/>
    </row>
    <row r="39">
      <c r="A39" s="36" t="str">
        <f>IF($B39="","",VLOOKUP($B39,DADOS!$C$2:$I1014,2,0))</f>
        <v/>
      </c>
      <c r="B39" s="37"/>
      <c r="C39" s="36"/>
      <c r="D39" s="38" t="str">
        <f>IF($B39="","",SUM(VLOOKUP($B39,DADOS!$C$2:$I1014,4,0)*$C39))</f>
        <v/>
      </c>
      <c r="E39" s="38" t="str">
        <f>IF($B39="","",SUM(VLOOKUP($B39,DADOS!$C$2:$I1014,6,0)*$C39))</f>
        <v/>
      </c>
      <c r="F39" s="39" t="str">
        <f>IF($E39="","",(VLOOKUP($B39,DADOS!$C$2:$I1014,7,0)))</f>
        <v/>
      </c>
      <c r="G39" s="40" t="str">
        <f t="shared" si="2"/>
        <v/>
      </c>
      <c r="H39" s="41"/>
      <c r="I39" s="42"/>
      <c r="J39" s="42"/>
      <c r="K39" s="42"/>
      <c r="L39" s="42"/>
      <c r="M39" s="42"/>
      <c r="N39" s="42"/>
      <c r="O39" s="42"/>
      <c r="P39" s="42"/>
      <c r="Q39" s="42"/>
      <c r="R39" s="42"/>
      <c r="S39" s="42"/>
      <c r="T39" s="42"/>
      <c r="U39" s="42"/>
      <c r="V39" s="42"/>
      <c r="W39" s="42"/>
      <c r="X39" s="42"/>
      <c r="Y39" s="42"/>
      <c r="Z39" s="42"/>
      <c r="AA39" s="42"/>
    </row>
    <row r="40">
      <c r="A40" s="36" t="str">
        <f>IF($B40="","",VLOOKUP($B40,DADOS!$C$2:$I1014,2,0))</f>
        <v/>
      </c>
      <c r="B40" s="37"/>
      <c r="C40" s="36"/>
      <c r="D40" s="38" t="str">
        <f>IF($B40="","",SUM(VLOOKUP($B40,DADOS!$C$2:$I1014,4,0)*$C40))</f>
        <v/>
      </c>
      <c r="E40" s="38" t="str">
        <f>IF($B40="","",SUM(VLOOKUP($B40,DADOS!$C$2:$I1014,6,0)*$C40))</f>
        <v/>
      </c>
      <c r="F40" s="39" t="str">
        <f>IF($E40="","",(VLOOKUP($B40,DADOS!$C$2:$I1014,7,0)))</f>
        <v/>
      </c>
      <c r="G40" s="40" t="str">
        <f t="shared" si="2"/>
        <v/>
      </c>
      <c r="H40" s="41"/>
      <c r="I40" s="42"/>
      <c r="J40" s="42"/>
      <c r="K40" s="42"/>
      <c r="L40" s="42"/>
      <c r="M40" s="42"/>
      <c r="N40" s="42"/>
      <c r="O40" s="42"/>
      <c r="P40" s="42"/>
      <c r="Q40" s="42"/>
      <c r="R40" s="42"/>
      <c r="S40" s="42"/>
      <c r="T40" s="42"/>
      <c r="U40" s="42"/>
      <c r="V40" s="42"/>
      <c r="W40" s="42"/>
      <c r="X40" s="42"/>
      <c r="Y40" s="42"/>
      <c r="Z40" s="42"/>
      <c r="AA40" s="42"/>
    </row>
    <row r="41">
      <c r="A41" s="36" t="str">
        <f>IF($B41="","",VLOOKUP($B41,DADOS!$C$2:$I1014,2,0))</f>
        <v/>
      </c>
      <c r="B41" s="37"/>
      <c r="C41" s="36"/>
      <c r="D41" s="38" t="str">
        <f>IF($B41="","",SUM(VLOOKUP($B41,DADOS!$C$2:$I1014,4,0)*$C41))</f>
        <v/>
      </c>
      <c r="E41" s="38" t="str">
        <f>IF($B41="","",SUM(VLOOKUP($B41,DADOS!$C$2:$I1014,6,0)*$C41))</f>
        <v/>
      </c>
      <c r="F41" s="39" t="str">
        <f>IF($E41="","",(VLOOKUP($B41,DADOS!$C$2:$I1014,7,0)))</f>
        <v/>
      </c>
      <c r="G41" s="40" t="str">
        <f t="shared" si="2"/>
        <v/>
      </c>
      <c r="H41" s="41"/>
      <c r="I41" s="42"/>
      <c r="J41" s="42"/>
      <c r="K41" s="42"/>
      <c r="L41" s="42"/>
      <c r="M41" s="42"/>
      <c r="N41" s="42"/>
      <c r="O41" s="42"/>
      <c r="P41" s="42"/>
      <c r="Q41" s="42"/>
      <c r="R41" s="42"/>
      <c r="S41" s="42"/>
      <c r="T41" s="42"/>
      <c r="U41" s="42"/>
      <c r="V41" s="42"/>
      <c r="W41" s="42"/>
      <c r="X41" s="42"/>
      <c r="Y41" s="42"/>
      <c r="Z41" s="42"/>
      <c r="AA41" s="42"/>
    </row>
    <row r="42">
      <c r="A42" s="36" t="str">
        <f>IF($B42="","",VLOOKUP($B42,DADOS!$C$2:$I1014,2,0))</f>
        <v/>
      </c>
      <c r="B42" s="37"/>
      <c r="C42" s="36"/>
      <c r="D42" s="38" t="str">
        <f>IF($B42="","",SUM(VLOOKUP($B42,DADOS!$C$2:$I1014,4,0)*$C42))</f>
        <v/>
      </c>
      <c r="E42" s="38" t="str">
        <f>IF($B42="","",SUM(VLOOKUP($B42,DADOS!$C$2:$I1014,6,0)*$C42))</f>
        <v/>
      </c>
      <c r="F42" s="39" t="str">
        <f>IF($E42="","",(VLOOKUP($B42,DADOS!$C$2:$I1014,7,0)))</f>
        <v/>
      </c>
      <c r="G42" s="40" t="str">
        <f t="shared" si="2"/>
        <v/>
      </c>
      <c r="H42" s="41"/>
      <c r="I42" s="42"/>
      <c r="J42" s="42"/>
      <c r="K42" s="42"/>
      <c r="L42" s="42"/>
      <c r="M42" s="42"/>
      <c r="N42" s="42"/>
      <c r="O42" s="42"/>
      <c r="P42" s="42"/>
      <c r="Q42" s="42"/>
      <c r="R42" s="42"/>
      <c r="S42" s="42"/>
      <c r="T42" s="42"/>
      <c r="U42" s="42"/>
      <c r="V42" s="42"/>
      <c r="W42" s="42"/>
      <c r="X42" s="42"/>
      <c r="Y42" s="42"/>
      <c r="Z42" s="42"/>
      <c r="AA42" s="42"/>
    </row>
    <row r="43">
      <c r="A43" s="36" t="str">
        <f>IF($B43="","",VLOOKUP($B43,DADOS!$C$2:$I1014,2,0))</f>
        <v/>
      </c>
      <c r="B43" s="37"/>
      <c r="C43" s="36"/>
      <c r="D43" s="38" t="str">
        <f>IF($B43="","",SUM(VLOOKUP($B43,DADOS!$C$2:$I1014,4,0)*$C43))</f>
        <v/>
      </c>
      <c r="E43" s="38" t="str">
        <f>IF($B43="","",SUM(VLOOKUP($B43,DADOS!$C$2:$I1014,6,0)*$C43))</f>
        <v/>
      </c>
      <c r="F43" s="39" t="str">
        <f>IF($E43="","",(VLOOKUP($B43,DADOS!$C$2:$I1014,7,0)))</f>
        <v/>
      </c>
      <c r="G43" s="40" t="str">
        <f t="shared" si="2"/>
        <v/>
      </c>
      <c r="H43" s="41"/>
      <c r="I43" s="42"/>
      <c r="J43" s="42"/>
      <c r="K43" s="42"/>
      <c r="L43" s="42"/>
      <c r="M43" s="42"/>
      <c r="N43" s="42"/>
      <c r="O43" s="42"/>
      <c r="P43" s="42"/>
      <c r="Q43" s="42"/>
      <c r="R43" s="42"/>
      <c r="S43" s="42"/>
      <c r="T43" s="42"/>
      <c r="U43" s="42"/>
      <c r="V43" s="42"/>
      <c r="W43" s="42"/>
      <c r="X43" s="42"/>
      <c r="Y43" s="42"/>
      <c r="Z43" s="42"/>
      <c r="AA43" s="42"/>
    </row>
    <row r="44">
      <c r="A44" s="36" t="str">
        <f>IF($B44="","",VLOOKUP($B44,DADOS!$C$2:$I1014,2,0))</f>
        <v/>
      </c>
      <c r="B44" s="37"/>
      <c r="C44" s="36"/>
      <c r="D44" s="38" t="str">
        <f>IF($B44="","",SUM(VLOOKUP($B44,DADOS!$C$2:$I1014,4,0)*$C44))</f>
        <v/>
      </c>
      <c r="E44" s="38" t="str">
        <f>IF($B44="","",SUM(VLOOKUP($B44,DADOS!$C$2:$I1014,6,0)*$C44))</f>
        <v/>
      </c>
      <c r="F44" s="39" t="str">
        <f>IF($E44="","",(VLOOKUP($B44,DADOS!$C$2:$I1014,7,0)))</f>
        <v/>
      </c>
      <c r="G44" s="40" t="str">
        <f t="shared" si="2"/>
        <v/>
      </c>
      <c r="H44" s="41"/>
      <c r="I44" s="42"/>
      <c r="J44" s="42"/>
      <c r="K44" s="42"/>
      <c r="L44" s="42"/>
      <c r="M44" s="42"/>
      <c r="N44" s="42"/>
      <c r="O44" s="42"/>
      <c r="P44" s="42"/>
      <c r="Q44" s="42"/>
      <c r="R44" s="42"/>
      <c r="S44" s="42"/>
      <c r="T44" s="42"/>
      <c r="U44" s="42"/>
      <c r="V44" s="42"/>
      <c r="W44" s="42"/>
      <c r="X44" s="42"/>
      <c r="Y44" s="42"/>
      <c r="Z44" s="42"/>
      <c r="AA44" s="42"/>
    </row>
    <row r="45">
      <c r="A45" s="36" t="str">
        <f>IF($B45="","",VLOOKUP($B45,DADOS!$C$2:$I1014,2,0))</f>
        <v/>
      </c>
      <c r="B45" s="37"/>
      <c r="C45" s="36"/>
      <c r="D45" s="38" t="str">
        <f>IF($B45="","",SUM(VLOOKUP($B45,DADOS!$C$2:$I1014,4,0)*$C45))</f>
        <v/>
      </c>
      <c r="E45" s="38" t="str">
        <f>IF($B45="","",SUM(VLOOKUP($B45,DADOS!$C$2:$I1014,6,0)*$C45))</f>
        <v/>
      </c>
      <c r="F45" s="39" t="str">
        <f>IF($E45="","",(VLOOKUP($B45,DADOS!$C$2:$I1014,7,0)))</f>
        <v/>
      </c>
      <c r="G45" s="40" t="str">
        <f t="shared" si="2"/>
        <v/>
      </c>
      <c r="H45" s="41"/>
      <c r="I45" s="42"/>
      <c r="J45" s="42"/>
      <c r="K45" s="42"/>
      <c r="L45" s="42"/>
      <c r="M45" s="42"/>
      <c r="N45" s="42"/>
      <c r="O45" s="42"/>
      <c r="P45" s="42"/>
      <c r="Q45" s="42"/>
      <c r="R45" s="42"/>
      <c r="S45" s="42"/>
      <c r="T45" s="42"/>
      <c r="U45" s="42"/>
      <c r="V45" s="42"/>
      <c r="W45" s="42"/>
      <c r="X45" s="42"/>
      <c r="Y45" s="42"/>
      <c r="Z45" s="42"/>
      <c r="AA45" s="42"/>
    </row>
    <row r="46">
      <c r="A46" s="36" t="str">
        <f>IF($B46="","",VLOOKUP($B46,DADOS!$C$2:$I1014,2,0))</f>
        <v/>
      </c>
      <c r="B46" s="37"/>
      <c r="C46" s="36"/>
      <c r="D46" s="38" t="str">
        <f>IF($B46="","",SUM(VLOOKUP($B46,DADOS!$C$2:$I1014,4,0)*$C46))</f>
        <v/>
      </c>
      <c r="E46" s="38" t="str">
        <f>IF($B46="","",SUM(VLOOKUP($B46,DADOS!$C$2:$I1014,6,0)*$C46))</f>
        <v/>
      </c>
      <c r="F46" s="39" t="str">
        <f>IF($E46="","",(VLOOKUP($B46,DADOS!$C$2:$I1014,7,0)))</f>
        <v/>
      </c>
      <c r="G46" s="40" t="str">
        <f t="shared" si="2"/>
        <v/>
      </c>
      <c r="H46" s="41"/>
      <c r="I46" s="42"/>
      <c r="J46" s="42"/>
      <c r="K46" s="42"/>
      <c r="L46" s="42"/>
      <c r="M46" s="42"/>
      <c r="N46" s="42"/>
      <c r="O46" s="42"/>
      <c r="P46" s="42"/>
      <c r="Q46" s="42"/>
      <c r="R46" s="42"/>
      <c r="S46" s="42"/>
      <c r="T46" s="42"/>
      <c r="U46" s="42"/>
      <c r="V46" s="42"/>
      <c r="W46" s="42"/>
      <c r="X46" s="42"/>
      <c r="Y46" s="42"/>
      <c r="Z46" s="42"/>
      <c r="AA46" s="42"/>
    </row>
    <row r="47">
      <c r="A47" s="36" t="str">
        <f>IF($B47="","",VLOOKUP($B47,DADOS!$C$2:$I1014,2,0))</f>
        <v/>
      </c>
      <c r="B47" s="37"/>
      <c r="C47" s="36"/>
      <c r="D47" s="38" t="str">
        <f>IF($B47="","",SUM(VLOOKUP($B47,DADOS!$C$2:$I1014,4,0)*$C47))</f>
        <v/>
      </c>
      <c r="E47" s="38" t="str">
        <f>IF($B47="","",SUM(VLOOKUP($B47,DADOS!$C$2:$I1014,6,0)*$C47))</f>
        <v/>
      </c>
      <c r="F47" s="39" t="str">
        <f>IF($E47="","",(VLOOKUP($B47,DADOS!$C$2:$I1014,7,0)))</f>
        <v/>
      </c>
      <c r="G47" s="40" t="str">
        <f t="shared" si="2"/>
        <v/>
      </c>
      <c r="H47" s="41"/>
      <c r="I47" s="42"/>
      <c r="J47" s="42"/>
      <c r="K47" s="42"/>
      <c r="L47" s="42"/>
      <c r="M47" s="42"/>
      <c r="N47" s="42"/>
      <c r="O47" s="42"/>
      <c r="P47" s="42"/>
      <c r="Q47" s="42"/>
      <c r="R47" s="42"/>
      <c r="S47" s="42"/>
      <c r="T47" s="42"/>
      <c r="U47" s="42"/>
      <c r="V47" s="42"/>
      <c r="W47" s="42"/>
      <c r="X47" s="42"/>
      <c r="Y47" s="42"/>
      <c r="Z47" s="42"/>
      <c r="AA47" s="42"/>
    </row>
    <row r="48">
      <c r="A48" s="36" t="str">
        <f>IF($B48="","",VLOOKUP($B48,DADOS!$C$2:$I1014,2,0))</f>
        <v/>
      </c>
      <c r="B48" s="37"/>
      <c r="C48" s="36"/>
      <c r="D48" s="38" t="str">
        <f>IF($B48="","",SUM(VLOOKUP($B48,DADOS!$C$2:$I1014,4,0)*$C48))</f>
        <v/>
      </c>
      <c r="E48" s="38" t="str">
        <f>IF($B48="","",SUM(VLOOKUP($B48,DADOS!$C$2:$I1014,6,0)*$C48))</f>
        <v/>
      </c>
      <c r="F48" s="39" t="str">
        <f>IF($E48="","",(VLOOKUP($B48,DADOS!$C$2:$I1014,7,0)))</f>
        <v/>
      </c>
      <c r="G48" s="40" t="str">
        <f t="shared" si="2"/>
        <v/>
      </c>
      <c r="H48" s="41"/>
      <c r="I48" s="42"/>
      <c r="J48" s="42"/>
      <c r="K48" s="42"/>
      <c r="L48" s="42"/>
      <c r="M48" s="42"/>
      <c r="N48" s="42"/>
      <c r="O48" s="42"/>
      <c r="P48" s="42"/>
      <c r="Q48" s="42"/>
      <c r="R48" s="42"/>
      <c r="S48" s="42"/>
      <c r="T48" s="42"/>
      <c r="U48" s="42"/>
      <c r="V48" s="42"/>
      <c r="W48" s="42"/>
      <c r="X48" s="42"/>
      <c r="Y48" s="42"/>
      <c r="Z48" s="42"/>
      <c r="AA48" s="42"/>
    </row>
    <row r="49">
      <c r="A49" s="36" t="str">
        <f>IF($B49="","",VLOOKUP($B49,DADOS!$C$2:$I1014,2,0))</f>
        <v/>
      </c>
      <c r="B49" s="37"/>
      <c r="C49" s="36"/>
      <c r="D49" s="38" t="str">
        <f>IF($B49="","",SUM(VLOOKUP($B49,DADOS!$C$2:$I1014,4,0)*$C49))</f>
        <v/>
      </c>
      <c r="E49" s="38" t="str">
        <f>IF($B49="","",SUM(VLOOKUP($B49,DADOS!$C$2:$I1014,6,0)*$C49))</f>
        <v/>
      </c>
      <c r="F49" s="39" t="str">
        <f>IF($E49="","",(VLOOKUP($B49,DADOS!$C$2:$I1014,7,0)))</f>
        <v/>
      </c>
      <c r="G49" s="40" t="str">
        <f t="shared" si="2"/>
        <v/>
      </c>
      <c r="H49" s="41"/>
      <c r="I49" s="42"/>
      <c r="J49" s="42"/>
      <c r="K49" s="42"/>
      <c r="L49" s="42"/>
      <c r="M49" s="42"/>
      <c r="N49" s="42"/>
      <c r="O49" s="42"/>
      <c r="P49" s="42"/>
      <c r="Q49" s="42"/>
      <c r="R49" s="42"/>
      <c r="S49" s="42"/>
      <c r="T49" s="42"/>
      <c r="U49" s="42"/>
      <c r="V49" s="42"/>
      <c r="W49" s="42"/>
      <c r="X49" s="42"/>
      <c r="Y49" s="42"/>
      <c r="Z49" s="42"/>
      <c r="AA49" s="42"/>
    </row>
    <row r="50">
      <c r="A50" s="36" t="str">
        <f>IF($B50="","",VLOOKUP($B50,DADOS!$C$2:$I1014,2,0))</f>
        <v/>
      </c>
      <c r="B50" s="37"/>
      <c r="C50" s="36"/>
      <c r="D50" s="38" t="str">
        <f>IF($B50="","",SUM(VLOOKUP($B50,DADOS!$C$2:$I1014,4,0)*$C50))</f>
        <v/>
      </c>
      <c r="E50" s="38" t="str">
        <f>IF($B50="","",SUM(VLOOKUP($B50,DADOS!$C$2:$I1014,6,0)*$C50))</f>
        <v/>
      </c>
      <c r="F50" s="39" t="str">
        <f>IF($E50="","",(VLOOKUP($B50,DADOS!$C$2:$I1014,7,0)))</f>
        <v/>
      </c>
      <c r="G50" s="40" t="str">
        <f t="shared" si="2"/>
        <v/>
      </c>
      <c r="H50" s="41"/>
      <c r="I50" s="42"/>
      <c r="J50" s="42"/>
      <c r="K50" s="42"/>
      <c r="L50" s="42"/>
      <c r="M50" s="42"/>
      <c r="N50" s="42"/>
      <c r="O50" s="42"/>
      <c r="P50" s="42"/>
      <c r="Q50" s="42"/>
      <c r="R50" s="42"/>
      <c r="S50" s="42"/>
      <c r="T50" s="42"/>
      <c r="U50" s="42"/>
      <c r="V50" s="42"/>
      <c r="W50" s="42"/>
      <c r="X50" s="42"/>
      <c r="Y50" s="42"/>
      <c r="Z50" s="42"/>
      <c r="AA50" s="42"/>
    </row>
    <row r="51">
      <c r="A51" s="36" t="str">
        <f>IF($B51="","",VLOOKUP($B51,DADOS!$C$2:$I1014,2,0))</f>
        <v/>
      </c>
      <c r="B51" s="37"/>
      <c r="C51" s="36"/>
      <c r="D51" s="38" t="str">
        <f>IF($B51="","",SUM(VLOOKUP($B51,DADOS!$C$2:$I1014,4,0)*$C51))</f>
        <v/>
      </c>
      <c r="E51" s="38" t="str">
        <f>IF($B51="","",SUM(VLOOKUP($B51,DADOS!$C$2:$I1014,6,0)*$C51))</f>
        <v/>
      </c>
      <c r="F51" s="39" t="str">
        <f>IF($E51="","",(VLOOKUP($B51,DADOS!$C$2:$I1014,7,0)))</f>
        <v/>
      </c>
      <c r="G51" s="40" t="str">
        <f t="shared" si="2"/>
        <v/>
      </c>
      <c r="H51" s="41"/>
      <c r="I51" s="42"/>
      <c r="J51" s="42"/>
      <c r="K51" s="42"/>
      <c r="L51" s="42"/>
      <c r="M51" s="42"/>
      <c r="N51" s="42"/>
      <c r="O51" s="42"/>
      <c r="P51" s="42"/>
      <c r="Q51" s="42"/>
      <c r="R51" s="42"/>
      <c r="S51" s="42"/>
      <c r="T51" s="42"/>
      <c r="U51" s="42"/>
      <c r="V51" s="42"/>
      <c r="W51" s="42"/>
      <c r="X51" s="42"/>
      <c r="Y51" s="42"/>
      <c r="Z51" s="42"/>
      <c r="AA51" s="42"/>
    </row>
    <row r="52">
      <c r="A52" s="36" t="str">
        <f>IF($B52="","",VLOOKUP($B52,DADOS!$C$2:$I1014,2,0))</f>
        <v/>
      </c>
      <c r="B52" s="37"/>
      <c r="C52" s="36"/>
      <c r="D52" s="38" t="str">
        <f>IF($B52="","",SUM(VLOOKUP($B52,DADOS!$C$2:$I1014,4,0)*$C52))</f>
        <v/>
      </c>
      <c r="E52" s="38" t="str">
        <f>IF($B52="","",SUM(VLOOKUP($B52,DADOS!$C$2:$I1014,6,0)*$C52))</f>
        <v/>
      </c>
      <c r="F52" s="39" t="str">
        <f>IF($E52="","",(VLOOKUP($B52,DADOS!$C$2:$I1014,7,0)))</f>
        <v/>
      </c>
      <c r="G52" s="40" t="str">
        <f t="shared" si="2"/>
        <v/>
      </c>
      <c r="H52" s="41"/>
      <c r="I52" s="42"/>
      <c r="J52" s="42"/>
      <c r="K52" s="42"/>
      <c r="L52" s="42"/>
      <c r="M52" s="42"/>
      <c r="N52" s="42"/>
      <c r="O52" s="42"/>
      <c r="P52" s="42"/>
      <c r="Q52" s="42"/>
      <c r="R52" s="42"/>
      <c r="S52" s="42"/>
      <c r="T52" s="42"/>
      <c r="U52" s="42"/>
      <c r="V52" s="42"/>
      <c r="W52" s="42"/>
      <c r="X52" s="42"/>
      <c r="Y52" s="42"/>
      <c r="Z52" s="42"/>
      <c r="AA52" s="42"/>
    </row>
    <row r="53">
      <c r="A53" s="36" t="str">
        <f>IF($B53="","",VLOOKUP($B53,DADOS!$C$2:$I1014,2,0))</f>
        <v/>
      </c>
      <c r="B53" s="37"/>
      <c r="C53" s="36"/>
      <c r="D53" s="38" t="str">
        <f>IF($B53="","",SUM(VLOOKUP($B53,DADOS!$C$2:$I1014,4,0)*$C53))</f>
        <v/>
      </c>
      <c r="E53" s="38" t="str">
        <f>IF($B53="","",SUM(VLOOKUP($B53,DADOS!$C$2:$I1014,6,0)*$C53))</f>
        <v/>
      </c>
      <c r="F53" s="39" t="str">
        <f>IF($E53="","",(VLOOKUP($B53,DADOS!$C$2:$I1014,7,0)))</f>
        <v/>
      </c>
      <c r="G53" s="40" t="str">
        <f t="shared" si="2"/>
        <v/>
      </c>
      <c r="H53" s="41"/>
      <c r="I53" s="42"/>
      <c r="J53" s="42"/>
      <c r="K53" s="42"/>
      <c r="L53" s="42"/>
      <c r="M53" s="42"/>
      <c r="N53" s="42"/>
      <c r="O53" s="42"/>
      <c r="P53" s="42"/>
      <c r="Q53" s="42"/>
      <c r="R53" s="42"/>
      <c r="S53" s="42"/>
      <c r="T53" s="42"/>
      <c r="U53" s="42"/>
      <c r="V53" s="42"/>
      <c r="W53" s="42"/>
      <c r="X53" s="42"/>
      <c r="Y53" s="42"/>
      <c r="Z53" s="42"/>
      <c r="AA53" s="42"/>
    </row>
    <row r="54">
      <c r="A54" s="36" t="str">
        <f>IF($B54="","",VLOOKUP($B54,DADOS!$C$2:$I1014,2,0))</f>
        <v/>
      </c>
      <c r="B54" s="37"/>
      <c r="C54" s="36"/>
      <c r="D54" s="38" t="str">
        <f>IF($B54="","",SUM(VLOOKUP($B54,DADOS!$C$2:$I1014,4,0)*$C54))</f>
        <v/>
      </c>
      <c r="E54" s="38" t="str">
        <f>IF($B54="","",SUM(VLOOKUP($B54,DADOS!$C$2:$I1014,6,0)*$C54))</f>
        <v/>
      </c>
      <c r="F54" s="39" t="str">
        <f>IF($E54="","",(VLOOKUP($B54,DADOS!$C$2:$I1014,7,0)))</f>
        <v/>
      </c>
      <c r="G54" s="40" t="str">
        <f t="shared" si="2"/>
        <v/>
      </c>
      <c r="H54" s="41"/>
      <c r="I54" s="42"/>
      <c r="J54" s="42"/>
      <c r="K54" s="42"/>
      <c r="L54" s="42"/>
      <c r="M54" s="42"/>
      <c r="N54" s="42"/>
      <c r="O54" s="42"/>
      <c r="P54" s="42"/>
      <c r="Q54" s="42"/>
      <c r="R54" s="42"/>
      <c r="S54" s="42"/>
      <c r="T54" s="42"/>
      <c r="U54" s="42"/>
      <c r="V54" s="42"/>
      <c r="W54" s="42"/>
      <c r="X54" s="42"/>
      <c r="Y54" s="42"/>
      <c r="Z54" s="42"/>
      <c r="AA54" s="42"/>
    </row>
    <row r="55">
      <c r="A55" s="36" t="str">
        <f>IF($B55="","",VLOOKUP($B55,DADOS!$C$2:$I1014,2,0))</f>
        <v/>
      </c>
      <c r="B55" s="37"/>
      <c r="C55" s="36"/>
      <c r="D55" s="38" t="str">
        <f>IF($B55="","",SUM(VLOOKUP($B55,DADOS!$C$2:$I1014,4,0)*$C55))</f>
        <v/>
      </c>
      <c r="E55" s="38" t="str">
        <f>IF($B55="","",SUM(VLOOKUP($B55,DADOS!$C$2:$I1014,6,0)*$C55))</f>
        <v/>
      </c>
      <c r="F55" s="39" t="str">
        <f>IF($E55="","",(VLOOKUP($B55,DADOS!$C$2:$I1014,7,0)))</f>
        <v/>
      </c>
      <c r="G55" s="40" t="str">
        <f t="shared" si="2"/>
        <v/>
      </c>
      <c r="H55" s="41"/>
      <c r="I55" s="42"/>
      <c r="J55" s="42"/>
      <c r="K55" s="42"/>
      <c r="L55" s="42"/>
      <c r="M55" s="42"/>
      <c r="N55" s="42"/>
      <c r="O55" s="42"/>
      <c r="P55" s="42"/>
      <c r="Q55" s="42"/>
      <c r="R55" s="42"/>
      <c r="S55" s="42"/>
      <c r="T55" s="42"/>
      <c r="U55" s="42"/>
      <c r="V55" s="42"/>
      <c r="W55" s="42"/>
      <c r="X55" s="42"/>
      <c r="Y55" s="42"/>
      <c r="Z55" s="42"/>
      <c r="AA55" s="42"/>
    </row>
    <row r="56">
      <c r="A56" s="36" t="str">
        <f>IF($B56="","",VLOOKUP($B56,DADOS!$C$2:$I1014,2,0))</f>
        <v/>
      </c>
      <c r="B56" s="37"/>
      <c r="C56" s="36"/>
      <c r="D56" s="38" t="str">
        <f>IF($B56="","",SUM(VLOOKUP($B56,DADOS!$C$2:$I1014,4,0)*$C56))</f>
        <v/>
      </c>
      <c r="E56" s="38" t="str">
        <f>IF($B56="","",SUM(VLOOKUP($B56,DADOS!$C$2:$I1014,6,0)*$C56))</f>
        <v/>
      </c>
      <c r="F56" s="39" t="str">
        <f>IF($E56="","",(VLOOKUP($B56,DADOS!$C$2:$I1014,7,0)))</f>
        <v/>
      </c>
      <c r="G56" s="40" t="str">
        <f t="shared" si="2"/>
        <v/>
      </c>
      <c r="H56" s="41"/>
      <c r="I56" s="42"/>
      <c r="J56" s="42"/>
      <c r="K56" s="42"/>
      <c r="L56" s="42"/>
      <c r="M56" s="42"/>
      <c r="N56" s="42"/>
      <c r="O56" s="42"/>
      <c r="P56" s="42"/>
      <c r="Q56" s="42"/>
      <c r="R56" s="42"/>
      <c r="S56" s="42"/>
      <c r="T56" s="42"/>
      <c r="U56" s="42"/>
      <c r="V56" s="42"/>
      <c r="W56" s="42"/>
      <c r="X56" s="42"/>
      <c r="Y56" s="42"/>
      <c r="Z56" s="42"/>
      <c r="AA56" s="42"/>
    </row>
    <row r="57">
      <c r="A57" s="36" t="str">
        <f>IF($B57="","",VLOOKUP($B57,DADOS!$C$2:$I1014,2,0))</f>
        <v/>
      </c>
      <c r="B57" s="37"/>
      <c r="C57" s="36"/>
      <c r="D57" s="38" t="str">
        <f>IF($B57="","",SUM(VLOOKUP($B57,DADOS!$C$2:$I1014,4,0)*$C57))</f>
        <v/>
      </c>
      <c r="E57" s="38" t="str">
        <f>IF($B57="","",SUM(VLOOKUP($B57,DADOS!$C$2:$I1014,6,0)*$C57))</f>
        <v/>
      </c>
      <c r="F57" s="39" t="str">
        <f>IF($E57="","",(VLOOKUP($B57,DADOS!$C$2:$I1014,7,0)))</f>
        <v/>
      </c>
      <c r="G57" s="40" t="str">
        <f t="shared" si="2"/>
        <v/>
      </c>
      <c r="H57" s="41"/>
      <c r="I57" s="42"/>
      <c r="J57" s="42"/>
      <c r="K57" s="42"/>
      <c r="L57" s="42"/>
      <c r="M57" s="42"/>
      <c r="N57" s="42"/>
      <c r="O57" s="42"/>
      <c r="P57" s="42"/>
      <c r="Q57" s="42"/>
      <c r="R57" s="42"/>
      <c r="S57" s="42"/>
      <c r="T57" s="42"/>
      <c r="U57" s="42"/>
      <c r="V57" s="42"/>
      <c r="W57" s="42"/>
      <c r="X57" s="42"/>
      <c r="Y57" s="42"/>
      <c r="Z57" s="42"/>
      <c r="AA57" s="42"/>
    </row>
    <row r="58">
      <c r="A58" s="36" t="str">
        <f>IF($B58="","",VLOOKUP($B58,DADOS!$C$2:$I1014,2,0))</f>
        <v/>
      </c>
      <c r="B58" s="37"/>
      <c r="C58" s="36"/>
      <c r="D58" s="38" t="str">
        <f>IF($B58="","",SUM(VLOOKUP($B58,DADOS!$C$2:$I1014,4,0)*$C58))</f>
        <v/>
      </c>
      <c r="E58" s="38" t="str">
        <f>IF($B58="","",SUM(VLOOKUP($B58,DADOS!$C$2:$I1014,6,0)*$C58))</f>
        <v/>
      </c>
      <c r="F58" s="39" t="str">
        <f>IF($E58="","",(VLOOKUP($B58,DADOS!$C$2:$I1014,7,0)))</f>
        <v/>
      </c>
      <c r="G58" s="40" t="str">
        <f t="shared" si="2"/>
        <v/>
      </c>
      <c r="H58" s="41"/>
      <c r="I58" s="42"/>
      <c r="J58" s="42"/>
      <c r="K58" s="42"/>
      <c r="L58" s="42"/>
      <c r="M58" s="42"/>
      <c r="N58" s="42"/>
      <c r="O58" s="42"/>
      <c r="P58" s="42"/>
      <c r="Q58" s="42"/>
      <c r="R58" s="42"/>
      <c r="S58" s="42"/>
      <c r="T58" s="42"/>
      <c r="U58" s="42"/>
      <c r="V58" s="42"/>
      <c r="W58" s="42"/>
      <c r="X58" s="42"/>
      <c r="Y58" s="42"/>
      <c r="Z58" s="42"/>
      <c r="AA58" s="42"/>
    </row>
    <row r="59">
      <c r="A59" s="36" t="str">
        <f>IF($B59="","",VLOOKUP($B59,DADOS!$C$2:$I1014,2,0))</f>
        <v/>
      </c>
      <c r="B59" s="37"/>
      <c r="C59" s="36"/>
      <c r="D59" s="38" t="str">
        <f>IF($B59="","",SUM(VLOOKUP($B59,DADOS!$C$2:$I1014,4,0)*$C59))</f>
        <v/>
      </c>
      <c r="E59" s="38" t="str">
        <f>IF($B59="","",SUM(VLOOKUP($B59,DADOS!$C$2:$I1014,6,0)*$C59))</f>
        <v/>
      </c>
      <c r="F59" s="39" t="str">
        <f>IF($E59="","",(VLOOKUP($B59,DADOS!$C$2:$I1014,7,0)))</f>
        <v/>
      </c>
      <c r="G59" s="40" t="str">
        <f t="shared" si="2"/>
        <v/>
      </c>
      <c r="H59" s="41"/>
      <c r="I59" s="42"/>
      <c r="J59" s="42"/>
      <c r="K59" s="42"/>
      <c r="L59" s="42"/>
      <c r="M59" s="42"/>
      <c r="N59" s="42"/>
      <c r="O59" s="42"/>
      <c r="P59" s="42"/>
      <c r="Q59" s="42"/>
      <c r="R59" s="42"/>
      <c r="S59" s="42"/>
      <c r="T59" s="42"/>
      <c r="U59" s="42"/>
      <c r="V59" s="42"/>
      <c r="W59" s="42"/>
      <c r="X59" s="42"/>
      <c r="Y59" s="42"/>
      <c r="Z59" s="42"/>
      <c r="AA59" s="42"/>
    </row>
    <row r="60">
      <c r="A60" s="36" t="str">
        <f>IF($B60="","",VLOOKUP($B60,DADOS!$C$2:$I1014,2,0))</f>
        <v/>
      </c>
      <c r="B60" s="37"/>
      <c r="C60" s="36"/>
      <c r="D60" s="38" t="str">
        <f>IF($B60="","",SUM(VLOOKUP($B60,DADOS!$C$2:$I1014,4,0)*$C60))</f>
        <v/>
      </c>
      <c r="E60" s="38" t="str">
        <f>IF($B60="","",SUM(VLOOKUP($B60,DADOS!$C$2:$I1014,6,0)*$C60))</f>
        <v/>
      </c>
      <c r="F60" s="39" t="str">
        <f>IF($E60="","",(VLOOKUP($B60,DADOS!$C$2:$I1014,7,0)))</f>
        <v/>
      </c>
      <c r="G60" s="40" t="str">
        <f t="shared" si="2"/>
        <v/>
      </c>
      <c r="H60" s="41"/>
      <c r="I60" s="42"/>
      <c r="J60" s="42"/>
      <c r="K60" s="42"/>
      <c r="L60" s="42"/>
      <c r="M60" s="42"/>
      <c r="N60" s="42"/>
      <c r="O60" s="42"/>
      <c r="P60" s="42"/>
      <c r="Q60" s="42"/>
      <c r="R60" s="42"/>
      <c r="S60" s="42"/>
      <c r="T60" s="42"/>
      <c r="U60" s="42"/>
      <c r="V60" s="42"/>
      <c r="W60" s="42"/>
      <c r="X60" s="42"/>
      <c r="Y60" s="42"/>
      <c r="Z60" s="42"/>
      <c r="AA60" s="42"/>
    </row>
    <row r="61">
      <c r="A61" s="36" t="str">
        <f>IF($B61="","",VLOOKUP($B61,DADOS!$C$2:$I1014,2,0))</f>
        <v/>
      </c>
      <c r="B61" s="37"/>
      <c r="C61" s="36"/>
      <c r="D61" s="38" t="str">
        <f>IF($B61="","",SUM(VLOOKUP($B61,DADOS!$C$2:$I1014,4,0)*$C61))</f>
        <v/>
      </c>
      <c r="E61" s="38" t="str">
        <f>IF($B61="","",SUM(VLOOKUP($B61,DADOS!$C$2:$I1014,6,0)*$C61))</f>
        <v/>
      </c>
      <c r="F61" s="39" t="str">
        <f>IF($E61="","",(VLOOKUP($B61,DADOS!$C$2:$I1014,7,0)))</f>
        <v/>
      </c>
      <c r="G61" s="40" t="str">
        <f t="shared" si="2"/>
        <v/>
      </c>
      <c r="H61" s="41"/>
      <c r="I61" s="42"/>
      <c r="J61" s="42"/>
      <c r="K61" s="42"/>
      <c r="L61" s="42"/>
      <c r="M61" s="42"/>
      <c r="N61" s="42"/>
      <c r="O61" s="42"/>
      <c r="P61" s="42"/>
      <c r="Q61" s="42"/>
      <c r="R61" s="42"/>
      <c r="S61" s="42"/>
      <c r="T61" s="42"/>
      <c r="U61" s="42"/>
      <c r="V61" s="42"/>
      <c r="W61" s="42"/>
      <c r="X61" s="42"/>
      <c r="Y61" s="42"/>
      <c r="Z61" s="42"/>
      <c r="AA61" s="42"/>
    </row>
    <row r="62">
      <c r="A62" s="36" t="str">
        <f>IF($B62="","",VLOOKUP($B62,DADOS!$C$2:$I1014,2,0))</f>
        <v/>
      </c>
      <c r="B62" s="37"/>
      <c r="C62" s="36"/>
      <c r="D62" s="38" t="str">
        <f>IF($B62="","",SUM(VLOOKUP($B62,DADOS!$C$2:$I1014,4,0)*$C62))</f>
        <v/>
      </c>
      <c r="E62" s="38" t="str">
        <f>IF($B62="","",SUM(VLOOKUP($B62,DADOS!$C$2:$I1014,6,0)*$C62))</f>
        <v/>
      </c>
      <c r="F62" s="39" t="str">
        <f>IF($E62="","",(VLOOKUP($B62,DADOS!$C$2:$I1014,7,0)))</f>
        <v/>
      </c>
      <c r="G62" s="40" t="str">
        <f t="shared" si="2"/>
        <v/>
      </c>
      <c r="H62" s="41"/>
      <c r="I62" s="42"/>
      <c r="J62" s="42"/>
      <c r="K62" s="42"/>
      <c r="L62" s="42"/>
      <c r="M62" s="42"/>
      <c r="N62" s="42"/>
      <c r="O62" s="42"/>
      <c r="P62" s="42"/>
      <c r="Q62" s="42"/>
      <c r="R62" s="42"/>
      <c r="S62" s="42"/>
      <c r="T62" s="42"/>
      <c r="U62" s="42"/>
      <c r="V62" s="42"/>
      <c r="W62" s="42"/>
      <c r="X62" s="42"/>
      <c r="Y62" s="42"/>
      <c r="Z62" s="42"/>
      <c r="AA62" s="42"/>
    </row>
    <row r="63">
      <c r="A63" s="36" t="str">
        <f>IF($B63="","",VLOOKUP($B63,DADOS!$C$2:$I1014,2,0))</f>
        <v/>
      </c>
      <c r="B63" s="37"/>
      <c r="C63" s="36"/>
      <c r="D63" s="38" t="str">
        <f>IF($B63="","",SUM(VLOOKUP($B63,DADOS!$C$2:$I1014,4,0)*$C63))</f>
        <v/>
      </c>
      <c r="E63" s="38" t="str">
        <f>IF($B63="","",SUM(VLOOKUP($B63,DADOS!$C$2:$I1014,6,0)*$C63))</f>
        <v/>
      </c>
      <c r="F63" s="39" t="str">
        <f>IF($E63="","",(VLOOKUP($B63,DADOS!$C$2:$I1014,7,0)))</f>
        <v/>
      </c>
      <c r="G63" s="40" t="str">
        <f t="shared" si="2"/>
        <v/>
      </c>
      <c r="H63" s="41"/>
      <c r="I63" s="42"/>
      <c r="J63" s="42"/>
      <c r="K63" s="42"/>
      <c r="L63" s="42"/>
      <c r="M63" s="42"/>
      <c r="N63" s="42"/>
      <c r="O63" s="42"/>
      <c r="P63" s="42"/>
      <c r="Q63" s="42"/>
      <c r="R63" s="42"/>
      <c r="S63" s="42"/>
      <c r="T63" s="42"/>
      <c r="U63" s="42"/>
      <c r="V63" s="42"/>
      <c r="W63" s="42"/>
      <c r="X63" s="42"/>
      <c r="Y63" s="42"/>
      <c r="Z63" s="42"/>
      <c r="AA63" s="42"/>
    </row>
    <row r="64">
      <c r="A64" s="36" t="str">
        <f>IF($B64="","",VLOOKUP($B64,DADOS!$C$2:$I1014,2,0))</f>
        <v/>
      </c>
      <c r="B64" s="37"/>
      <c r="C64" s="36"/>
      <c r="D64" s="38" t="str">
        <f>IF($B64="","",SUM(VLOOKUP($B64,DADOS!$C$2:$I1014,4,0)*$C64))</f>
        <v/>
      </c>
      <c r="E64" s="38" t="str">
        <f>IF($B64="","",SUM(VLOOKUP($B64,DADOS!$C$2:$I1014,6,0)*$C64))</f>
        <v/>
      </c>
      <c r="F64" s="39" t="str">
        <f>IF($E64="","",(VLOOKUP($B64,DADOS!$C$2:$I1014,7,0)))</f>
        <v/>
      </c>
      <c r="G64" s="40" t="str">
        <f t="shared" si="2"/>
        <v/>
      </c>
      <c r="H64" s="41"/>
      <c r="I64" s="42"/>
      <c r="J64" s="42"/>
      <c r="K64" s="42"/>
      <c r="L64" s="42"/>
      <c r="M64" s="42"/>
      <c r="N64" s="42"/>
      <c r="O64" s="42"/>
      <c r="P64" s="42"/>
      <c r="Q64" s="42"/>
      <c r="R64" s="42"/>
      <c r="S64" s="42"/>
      <c r="T64" s="42"/>
      <c r="U64" s="42"/>
      <c r="V64" s="42"/>
      <c r="W64" s="42"/>
      <c r="X64" s="42"/>
      <c r="Y64" s="42"/>
      <c r="Z64" s="42"/>
      <c r="AA64" s="42"/>
    </row>
    <row r="65">
      <c r="A65" s="36" t="str">
        <f>IF($B65="","",VLOOKUP($B65,DADOS!$C$2:$I1014,2,0))</f>
        <v/>
      </c>
      <c r="B65" s="37"/>
      <c r="C65" s="36"/>
      <c r="D65" s="38" t="str">
        <f>IF($B65="","",SUM(VLOOKUP($B65,DADOS!$C$2:$I1014,4,0)*$C65))</f>
        <v/>
      </c>
      <c r="E65" s="38" t="str">
        <f>IF($B65="","",SUM(VLOOKUP($B65,DADOS!$C$2:$I1014,6,0)*$C65))</f>
        <v/>
      </c>
      <c r="F65" s="39" t="str">
        <f>IF($E65="","",(VLOOKUP($B65,DADOS!$C$2:$I1014,7,0)))</f>
        <v/>
      </c>
      <c r="G65" s="40" t="str">
        <f t="shared" si="2"/>
        <v/>
      </c>
      <c r="H65" s="41"/>
      <c r="I65" s="42"/>
      <c r="J65" s="42"/>
      <c r="K65" s="42"/>
      <c r="L65" s="42"/>
      <c r="M65" s="42"/>
      <c r="N65" s="42"/>
      <c r="O65" s="42"/>
      <c r="P65" s="42"/>
      <c r="Q65" s="42"/>
      <c r="R65" s="42"/>
      <c r="S65" s="42"/>
      <c r="T65" s="42"/>
      <c r="U65" s="42"/>
      <c r="V65" s="42"/>
      <c r="W65" s="42"/>
      <c r="X65" s="42"/>
      <c r="Y65" s="42"/>
      <c r="Z65" s="42"/>
      <c r="AA65" s="42"/>
    </row>
    <row r="66">
      <c r="A66" s="36" t="str">
        <f>IF($B66="","",VLOOKUP($B66,DADOS!$C$2:$I1014,2,0))</f>
        <v/>
      </c>
      <c r="B66" s="37"/>
      <c r="C66" s="36"/>
      <c r="D66" s="38" t="str">
        <f>IF($B66="","",SUM(VLOOKUP($B66,DADOS!$C$2:$I1014,4,0)*$C66))</f>
        <v/>
      </c>
      <c r="E66" s="38" t="str">
        <f>IF($B66="","",SUM(VLOOKUP($B66,DADOS!$C$2:$I1014,6,0)*$C66))</f>
        <v/>
      </c>
      <c r="F66" s="39" t="str">
        <f>IF($E66="","",(VLOOKUP($B66,DADOS!$C$2:$I1014,7,0)))</f>
        <v/>
      </c>
      <c r="G66" s="40" t="str">
        <f t="shared" si="2"/>
        <v/>
      </c>
      <c r="H66" s="41"/>
      <c r="I66" s="42"/>
      <c r="J66" s="42"/>
      <c r="K66" s="42"/>
      <c r="L66" s="42"/>
      <c r="M66" s="42"/>
      <c r="N66" s="42"/>
      <c r="O66" s="42"/>
      <c r="P66" s="42"/>
      <c r="Q66" s="42"/>
      <c r="R66" s="42"/>
      <c r="S66" s="42"/>
      <c r="T66" s="42"/>
      <c r="U66" s="42"/>
      <c r="V66" s="42"/>
      <c r="W66" s="42"/>
      <c r="X66" s="42"/>
      <c r="Y66" s="42"/>
      <c r="Z66" s="42"/>
      <c r="AA66" s="42"/>
    </row>
    <row r="67">
      <c r="A67" s="36" t="str">
        <f>IF($B67="","",VLOOKUP($B67,DADOS!$C$2:$I1014,2,0))</f>
        <v/>
      </c>
      <c r="B67" s="37"/>
      <c r="C67" s="36"/>
      <c r="D67" s="38" t="str">
        <f>IF($B67="","",SUM(VLOOKUP($B67,DADOS!$C$2:$I1014,4,0)*$C67))</f>
        <v/>
      </c>
      <c r="E67" s="38" t="str">
        <f>IF($B67="","",SUM(VLOOKUP($B67,DADOS!$C$2:$I1014,6,0)*$C67))</f>
        <v/>
      </c>
      <c r="F67" s="39" t="str">
        <f>IF($E67="","",(VLOOKUP($B67,DADOS!$C$2:$I1014,7,0)))</f>
        <v/>
      </c>
      <c r="G67" s="40" t="str">
        <f t="shared" si="2"/>
        <v/>
      </c>
      <c r="H67" s="41"/>
      <c r="I67" s="42"/>
      <c r="J67" s="42"/>
      <c r="K67" s="42"/>
      <c r="L67" s="42"/>
      <c r="M67" s="42"/>
      <c r="N67" s="42"/>
      <c r="O67" s="42"/>
      <c r="P67" s="42"/>
      <c r="Q67" s="42"/>
      <c r="R67" s="42"/>
      <c r="S67" s="42"/>
      <c r="T67" s="42"/>
      <c r="U67" s="42"/>
      <c r="V67" s="42"/>
      <c r="W67" s="42"/>
      <c r="X67" s="42"/>
      <c r="Y67" s="42"/>
      <c r="Z67" s="42"/>
      <c r="AA67" s="42"/>
    </row>
    <row r="68">
      <c r="A68" s="36" t="str">
        <f>IF($B68="","",VLOOKUP($B68,DADOS!$C$2:$I1014,2,0))</f>
        <v/>
      </c>
      <c r="B68" s="37"/>
      <c r="C68" s="36"/>
      <c r="D68" s="38" t="str">
        <f>IF($B68="","",SUM(VLOOKUP($B68,DADOS!$C$2:$I1014,4,0)*$C68))</f>
        <v/>
      </c>
      <c r="E68" s="38" t="str">
        <f>IF($B68="","",SUM(VLOOKUP($B68,DADOS!$C$2:$I1014,6,0)*$C68))</f>
        <v/>
      </c>
      <c r="F68" s="39" t="str">
        <f>IF($E68="","",(VLOOKUP($B68,DADOS!$C$2:$I1014,7,0)))</f>
        <v/>
      </c>
      <c r="G68" s="40" t="str">
        <f t="shared" si="2"/>
        <v/>
      </c>
      <c r="H68" s="41"/>
      <c r="I68" s="42"/>
      <c r="J68" s="42"/>
      <c r="K68" s="42"/>
      <c r="L68" s="42"/>
      <c r="M68" s="42"/>
      <c r="N68" s="42"/>
      <c r="O68" s="42"/>
      <c r="P68" s="42"/>
      <c r="Q68" s="42"/>
      <c r="R68" s="42"/>
      <c r="S68" s="42"/>
      <c r="T68" s="42"/>
      <c r="U68" s="42"/>
      <c r="V68" s="42"/>
      <c r="W68" s="42"/>
      <c r="X68" s="42"/>
      <c r="Y68" s="42"/>
      <c r="Z68" s="42"/>
      <c r="AA68" s="42"/>
    </row>
    <row r="69">
      <c r="A69" s="36" t="str">
        <f>IF($B69="","",VLOOKUP($B69,DADOS!$C$2:$I1014,2,0))</f>
        <v/>
      </c>
      <c r="B69" s="37"/>
      <c r="C69" s="36"/>
      <c r="D69" s="38" t="str">
        <f>IF($B69="","",SUM(VLOOKUP($B69,DADOS!$C$2:$I1014,4,0)*$C69))</f>
        <v/>
      </c>
      <c r="E69" s="38" t="str">
        <f>IF($B69="","",SUM(VLOOKUP($B69,DADOS!$C$2:$I1014,6,0)*$C69))</f>
        <v/>
      </c>
      <c r="F69" s="39" t="str">
        <f>IF($E69="","",(VLOOKUP($B69,DADOS!$C$2:$I1014,7,0)))</f>
        <v/>
      </c>
      <c r="G69" s="40" t="str">
        <f t="shared" si="2"/>
        <v/>
      </c>
      <c r="H69" s="41"/>
      <c r="I69" s="42"/>
      <c r="J69" s="42"/>
      <c r="K69" s="42"/>
      <c r="L69" s="42"/>
      <c r="M69" s="42"/>
      <c r="N69" s="42"/>
      <c r="O69" s="42"/>
      <c r="P69" s="42"/>
      <c r="Q69" s="42"/>
      <c r="R69" s="42"/>
      <c r="S69" s="42"/>
      <c r="T69" s="42"/>
      <c r="U69" s="42"/>
      <c r="V69" s="42"/>
      <c r="W69" s="42"/>
      <c r="X69" s="42"/>
      <c r="Y69" s="42"/>
      <c r="Z69" s="42"/>
      <c r="AA69" s="42"/>
    </row>
    <row r="70">
      <c r="A70" s="36" t="str">
        <f>IF($B70="","",VLOOKUP($B70,DADOS!$C$2:$I1014,2,0))</f>
        <v/>
      </c>
      <c r="B70" s="37"/>
      <c r="C70" s="36"/>
      <c r="D70" s="38" t="str">
        <f>IF($B70="","",SUM(VLOOKUP($B70,DADOS!$C$2:$I1014,4,0)*$C70))</f>
        <v/>
      </c>
      <c r="E70" s="38" t="str">
        <f>IF($B70="","",SUM(VLOOKUP($B70,DADOS!$C$2:$I1014,6,0)*$C70))</f>
        <v/>
      </c>
      <c r="F70" s="39" t="str">
        <f>IF($E70="","",(VLOOKUP($B70,DADOS!$C$2:$I1014,7,0)))</f>
        <v/>
      </c>
      <c r="G70" s="40" t="str">
        <f t="shared" si="2"/>
        <v/>
      </c>
      <c r="H70" s="41"/>
      <c r="I70" s="42"/>
      <c r="J70" s="42"/>
      <c r="K70" s="42"/>
      <c r="L70" s="42"/>
      <c r="M70" s="42"/>
      <c r="N70" s="42"/>
      <c r="O70" s="42"/>
      <c r="P70" s="42"/>
      <c r="Q70" s="42"/>
      <c r="R70" s="42"/>
      <c r="S70" s="42"/>
      <c r="T70" s="42"/>
      <c r="U70" s="42"/>
      <c r="V70" s="42"/>
      <c r="W70" s="42"/>
      <c r="X70" s="42"/>
      <c r="Y70" s="42"/>
      <c r="Z70" s="42"/>
      <c r="AA70" s="42"/>
    </row>
    <row r="71">
      <c r="A71" s="36" t="str">
        <f>IF($B71="","",VLOOKUP($B71,DADOS!$C$2:$I1014,2,0))</f>
        <v/>
      </c>
      <c r="B71" s="37"/>
      <c r="C71" s="36"/>
      <c r="D71" s="38" t="str">
        <f>IF($B71="","",SUM(VLOOKUP($B71,DADOS!$C$2:$I1014,4,0)*$C71))</f>
        <v/>
      </c>
      <c r="E71" s="38" t="str">
        <f>IF($B71="","",SUM(VLOOKUP($B71,DADOS!$C$2:$I1014,6,0)*$C71))</f>
        <v/>
      </c>
      <c r="F71" s="39" t="str">
        <f>IF($E71="","",(VLOOKUP($B71,DADOS!$C$2:$I1014,7,0)))</f>
        <v/>
      </c>
      <c r="G71" s="40" t="str">
        <f t="shared" si="2"/>
        <v/>
      </c>
      <c r="H71" s="41"/>
      <c r="I71" s="42"/>
      <c r="J71" s="42"/>
      <c r="K71" s="42"/>
      <c r="L71" s="42"/>
      <c r="M71" s="42"/>
      <c r="N71" s="42"/>
      <c r="O71" s="42"/>
      <c r="P71" s="42"/>
      <c r="Q71" s="42"/>
      <c r="R71" s="42"/>
      <c r="S71" s="42"/>
      <c r="T71" s="42"/>
      <c r="U71" s="42"/>
      <c r="V71" s="42"/>
      <c r="W71" s="42"/>
      <c r="X71" s="42"/>
      <c r="Y71" s="42"/>
      <c r="Z71" s="42"/>
      <c r="AA71" s="42"/>
    </row>
    <row r="72">
      <c r="A72" s="36" t="str">
        <f>IF($B72="","",VLOOKUP($B72,DADOS!$C$2:$I1014,2,0))</f>
        <v/>
      </c>
      <c r="B72" s="37"/>
      <c r="C72" s="36"/>
      <c r="D72" s="38" t="str">
        <f>IF($B72="","",SUM(VLOOKUP($B72,DADOS!$C$2:$I1014,4,0)*$C72))</f>
        <v/>
      </c>
      <c r="E72" s="38" t="str">
        <f>IF($B72="","",SUM(VLOOKUP($B72,DADOS!$C$2:$I1014,6,0)*$C72))</f>
        <v/>
      </c>
      <c r="F72" s="39" t="str">
        <f>IF($E72="","",(VLOOKUP($B72,DADOS!$C$2:$I1014,7,0)))</f>
        <v/>
      </c>
      <c r="G72" s="40" t="str">
        <f t="shared" si="2"/>
        <v/>
      </c>
      <c r="H72" s="41"/>
      <c r="I72" s="42"/>
      <c r="J72" s="42"/>
      <c r="K72" s="42"/>
      <c r="L72" s="42"/>
      <c r="M72" s="42"/>
      <c r="N72" s="42"/>
      <c r="O72" s="42"/>
      <c r="P72" s="42"/>
      <c r="Q72" s="42"/>
      <c r="R72" s="42"/>
      <c r="S72" s="42"/>
      <c r="T72" s="42"/>
      <c r="U72" s="42"/>
      <c r="V72" s="42"/>
      <c r="W72" s="42"/>
      <c r="X72" s="42"/>
      <c r="Y72" s="42"/>
      <c r="Z72" s="42"/>
      <c r="AA72" s="42"/>
    </row>
    <row r="73">
      <c r="A73" s="36" t="str">
        <f>IF($B73="","",VLOOKUP($B73,DADOS!$C$2:$I1014,2,0))</f>
        <v/>
      </c>
      <c r="B73" s="37"/>
      <c r="C73" s="36"/>
      <c r="D73" s="38" t="str">
        <f>IF($B73="","",SUM(VLOOKUP($B73,DADOS!$C$2:$I1014,4,0)*$C73))</f>
        <v/>
      </c>
      <c r="E73" s="38" t="str">
        <f>IF($B73="","",SUM(VLOOKUP($B73,DADOS!$C$2:$I1014,6,0)*$C73))</f>
        <v/>
      </c>
      <c r="F73" s="39" t="str">
        <f>IF($E73="","",(VLOOKUP($B73,DADOS!$C$2:$I1014,7,0)))</f>
        <v/>
      </c>
      <c r="G73" s="40" t="str">
        <f t="shared" si="2"/>
        <v/>
      </c>
      <c r="H73" s="41"/>
      <c r="I73" s="42"/>
      <c r="J73" s="42"/>
      <c r="K73" s="42"/>
      <c r="L73" s="42"/>
      <c r="M73" s="42"/>
      <c r="N73" s="42"/>
      <c r="O73" s="42"/>
      <c r="P73" s="42"/>
      <c r="Q73" s="42"/>
      <c r="R73" s="42"/>
      <c r="S73" s="42"/>
      <c r="T73" s="42"/>
      <c r="U73" s="42"/>
      <c r="V73" s="42"/>
      <c r="W73" s="42"/>
      <c r="X73" s="42"/>
      <c r="Y73" s="42"/>
      <c r="Z73" s="42"/>
      <c r="AA73" s="42"/>
    </row>
    <row r="74">
      <c r="A74" s="36" t="str">
        <f>IF($B74="","",VLOOKUP($B74,DADOS!$C$2:$I1014,2,0))</f>
        <v/>
      </c>
      <c r="B74" s="37"/>
      <c r="C74" s="36"/>
      <c r="D74" s="38" t="str">
        <f>IF($B74="","",SUM(VLOOKUP($B74,DADOS!$C$2:$I1014,4,0)*$C74))</f>
        <v/>
      </c>
      <c r="E74" s="38" t="str">
        <f>IF($B74="","",SUM(VLOOKUP($B74,DADOS!$C$2:$I1014,6,0)*$C74))</f>
        <v/>
      </c>
      <c r="F74" s="39" t="str">
        <f>IF($E74="","",(VLOOKUP($B74,DADOS!$C$2:$I1014,7,0)))</f>
        <v/>
      </c>
      <c r="G74" s="40" t="str">
        <f t="shared" si="2"/>
        <v/>
      </c>
      <c r="H74" s="41"/>
      <c r="I74" s="42"/>
      <c r="J74" s="42"/>
      <c r="K74" s="42"/>
      <c r="L74" s="42"/>
      <c r="M74" s="42"/>
      <c r="N74" s="42"/>
      <c r="O74" s="42"/>
      <c r="P74" s="42"/>
      <c r="Q74" s="42"/>
      <c r="R74" s="42"/>
      <c r="S74" s="42"/>
      <c r="T74" s="42"/>
      <c r="U74" s="42"/>
      <c r="V74" s="42"/>
      <c r="W74" s="42"/>
      <c r="X74" s="42"/>
      <c r="Y74" s="42"/>
      <c r="Z74" s="42"/>
      <c r="AA74" s="42"/>
    </row>
    <row r="75">
      <c r="A75" s="36" t="str">
        <f>IF($B75="","",VLOOKUP($B75,DADOS!$C$2:$I1014,2,0))</f>
        <v/>
      </c>
      <c r="B75" s="37"/>
      <c r="C75" s="36"/>
      <c r="D75" s="38" t="str">
        <f>IF($B75="","",SUM(VLOOKUP($B75,DADOS!$C$2:$I1014,4,0)*$C75))</f>
        <v/>
      </c>
      <c r="E75" s="38" t="str">
        <f>IF($B75="","",SUM(VLOOKUP($B75,DADOS!$C$2:$I1014,6,0)*$C75))</f>
        <v/>
      </c>
      <c r="F75" s="39" t="str">
        <f>IF($E75="","",(VLOOKUP($B75,DADOS!$C$2:$I1014,7,0)))</f>
        <v/>
      </c>
      <c r="G75" s="40" t="str">
        <f t="shared" si="2"/>
        <v/>
      </c>
      <c r="H75" s="41"/>
      <c r="I75" s="42"/>
      <c r="J75" s="42"/>
      <c r="K75" s="42"/>
      <c r="L75" s="42"/>
      <c r="M75" s="42"/>
      <c r="N75" s="42"/>
      <c r="O75" s="42"/>
      <c r="P75" s="42"/>
      <c r="Q75" s="42"/>
      <c r="R75" s="42"/>
      <c r="S75" s="42"/>
      <c r="T75" s="42"/>
      <c r="U75" s="42"/>
      <c r="V75" s="42"/>
      <c r="W75" s="42"/>
      <c r="X75" s="42"/>
      <c r="Y75" s="42"/>
      <c r="Z75" s="42"/>
      <c r="AA75" s="42"/>
    </row>
    <row r="76">
      <c r="A76" s="36" t="str">
        <f>IF($B76="","",VLOOKUP($B76,DADOS!$C$2:$I1014,2,0))</f>
        <v/>
      </c>
      <c r="B76" s="37"/>
      <c r="C76" s="36"/>
      <c r="D76" s="38" t="str">
        <f>IF($B76="","",SUM(VLOOKUP($B76,DADOS!$C$2:$I1014,4,0)*$C76))</f>
        <v/>
      </c>
      <c r="E76" s="38" t="str">
        <f>IF($B76="","",SUM(VLOOKUP($B76,DADOS!$C$2:$I1014,6,0)*$C76))</f>
        <v/>
      </c>
      <c r="F76" s="39" t="str">
        <f>IF($E76="","",(VLOOKUP($B76,DADOS!$C$2:$I1014,7,0)))</f>
        <v/>
      </c>
      <c r="G76" s="40" t="str">
        <f t="shared" si="2"/>
        <v/>
      </c>
      <c r="H76" s="41"/>
      <c r="I76" s="42"/>
      <c r="J76" s="42"/>
      <c r="K76" s="42"/>
      <c r="L76" s="42"/>
      <c r="M76" s="42"/>
      <c r="N76" s="42"/>
      <c r="O76" s="42"/>
      <c r="P76" s="42"/>
      <c r="Q76" s="42"/>
      <c r="R76" s="42"/>
      <c r="S76" s="42"/>
      <c r="T76" s="42"/>
      <c r="U76" s="42"/>
      <c r="V76" s="42"/>
      <c r="W76" s="42"/>
      <c r="X76" s="42"/>
      <c r="Y76" s="42"/>
      <c r="Z76" s="42"/>
      <c r="AA76" s="42"/>
    </row>
    <row r="77">
      <c r="A77" s="36" t="str">
        <f>IF($B77="","",VLOOKUP($B77,DADOS!$C$2:$I1014,2,0))</f>
        <v/>
      </c>
      <c r="B77" s="37"/>
      <c r="C77" s="36"/>
      <c r="D77" s="38" t="str">
        <f>IF($B77="","",SUM(VLOOKUP($B77,DADOS!$C$2:$I1014,4,0)*$C77))</f>
        <v/>
      </c>
      <c r="E77" s="38" t="str">
        <f>IF($B77="","",SUM(VLOOKUP($B77,DADOS!$C$2:$I1014,6,0)*$C77))</f>
        <v/>
      </c>
      <c r="F77" s="39" t="str">
        <f>IF($E77="","",(VLOOKUP($B77,DADOS!$C$2:$I1014,7,0)))</f>
        <v/>
      </c>
      <c r="G77" s="40" t="str">
        <f t="shared" si="2"/>
        <v/>
      </c>
      <c r="H77" s="41"/>
      <c r="I77" s="42"/>
      <c r="J77" s="42"/>
      <c r="K77" s="42"/>
      <c r="L77" s="42"/>
      <c r="M77" s="42"/>
      <c r="N77" s="42"/>
      <c r="O77" s="42"/>
      <c r="P77" s="42"/>
      <c r="Q77" s="42"/>
      <c r="R77" s="42"/>
      <c r="S77" s="42"/>
      <c r="T77" s="42"/>
      <c r="U77" s="42"/>
      <c r="V77" s="42"/>
      <c r="W77" s="42"/>
      <c r="X77" s="42"/>
      <c r="Y77" s="42"/>
      <c r="Z77" s="42"/>
      <c r="AA77" s="42"/>
    </row>
    <row r="78">
      <c r="A78" s="36" t="str">
        <f>IF($B78="","",VLOOKUP($B78,DADOS!$C$2:$I1014,2,0))</f>
        <v/>
      </c>
      <c r="B78" s="37"/>
      <c r="C78" s="36"/>
      <c r="D78" s="38" t="str">
        <f>IF($B78="","",SUM(VLOOKUP($B78,DADOS!$C$2:$I1014,4,0)*$C78))</f>
        <v/>
      </c>
      <c r="E78" s="38" t="str">
        <f>IF($B78="","",SUM(VLOOKUP($B78,DADOS!$C$2:$I1014,6,0)*$C78))</f>
        <v/>
      </c>
      <c r="F78" s="39" t="str">
        <f>IF($E78="","",(VLOOKUP($B78,DADOS!$C$2:$I1014,7,0)))</f>
        <v/>
      </c>
      <c r="G78" s="40" t="str">
        <f t="shared" si="2"/>
        <v/>
      </c>
      <c r="H78" s="41"/>
      <c r="I78" s="42"/>
      <c r="J78" s="42"/>
      <c r="K78" s="42"/>
      <c r="L78" s="42"/>
      <c r="M78" s="42"/>
      <c r="N78" s="42"/>
      <c r="O78" s="42"/>
      <c r="P78" s="42"/>
      <c r="Q78" s="42"/>
      <c r="R78" s="42"/>
      <c r="S78" s="42"/>
      <c r="T78" s="42"/>
      <c r="U78" s="42"/>
      <c r="V78" s="42"/>
      <c r="W78" s="42"/>
      <c r="X78" s="42"/>
      <c r="Y78" s="42"/>
      <c r="Z78" s="42"/>
      <c r="AA78" s="42"/>
    </row>
    <row r="79">
      <c r="A79" s="36" t="str">
        <f>IF($B79="","",VLOOKUP($B79,DADOS!$C$2:$I1014,2,0))</f>
        <v/>
      </c>
      <c r="B79" s="37"/>
      <c r="C79" s="36"/>
      <c r="D79" s="38" t="str">
        <f>IF($B79="","",SUM(VLOOKUP($B79,DADOS!$C$2:$I1014,4,0)*$C79))</f>
        <v/>
      </c>
      <c r="E79" s="38" t="str">
        <f>IF($B79="","",SUM(VLOOKUP($B79,DADOS!$C$2:$I1014,6,0)*$C79))</f>
        <v/>
      </c>
      <c r="F79" s="39" t="str">
        <f>IF($E79="","",(VLOOKUP($B79,DADOS!$C$2:$I1014,7,0)))</f>
        <v/>
      </c>
      <c r="G79" s="40" t="str">
        <f t="shared" si="2"/>
        <v/>
      </c>
      <c r="H79" s="41"/>
      <c r="I79" s="42"/>
      <c r="J79" s="42"/>
      <c r="K79" s="42"/>
      <c r="L79" s="42"/>
      <c r="M79" s="42"/>
      <c r="N79" s="42"/>
      <c r="O79" s="42"/>
      <c r="P79" s="42"/>
      <c r="Q79" s="42"/>
      <c r="R79" s="42"/>
      <c r="S79" s="42"/>
      <c r="T79" s="42"/>
      <c r="U79" s="42"/>
      <c r="V79" s="42"/>
      <c r="W79" s="42"/>
      <c r="X79" s="42"/>
      <c r="Y79" s="42"/>
      <c r="Z79" s="42"/>
      <c r="AA79" s="42"/>
    </row>
    <row r="80">
      <c r="A80" s="36" t="str">
        <f>IF($B80="","",VLOOKUP($B80,DADOS!$C$2:$I1014,2,0))</f>
        <v/>
      </c>
      <c r="B80" s="37"/>
      <c r="C80" s="36"/>
      <c r="D80" s="38" t="str">
        <f>IF($B80="","",SUM(VLOOKUP($B80,DADOS!$C$2:$I1014,4,0)*$C80))</f>
        <v/>
      </c>
      <c r="E80" s="38" t="str">
        <f>IF($B80="","",SUM(VLOOKUP($B80,DADOS!$C$2:$I1014,6,0)*$C80))</f>
        <v/>
      </c>
      <c r="F80" s="39" t="str">
        <f>IF($E80="","",(VLOOKUP($B80,DADOS!$C$2:$I1014,7,0)))</f>
        <v/>
      </c>
      <c r="G80" s="40" t="str">
        <f t="shared" si="2"/>
        <v/>
      </c>
      <c r="H80" s="41"/>
      <c r="I80" s="42"/>
      <c r="J80" s="42"/>
      <c r="K80" s="42"/>
      <c r="L80" s="42"/>
      <c r="M80" s="42"/>
      <c r="N80" s="42"/>
      <c r="O80" s="42"/>
      <c r="P80" s="42"/>
      <c r="Q80" s="42"/>
      <c r="R80" s="42"/>
      <c r="S80" s="42"/>
      <c r="T80" s="42"/>
      <c r="U80" s="42"/>
      <c r="V80" s="42"/>
      <c r="W80" s="42"/>
      <c r="X80" s="42"/>
      <c r="Y80" s="42"/>
      <c r="Z80" s="42"/>
      <c r="AA80" s="42"/>
    </row>
    <row r="81">
      <c r="A81" s="36" t="str">
        <f>IF($B81="","",VLOOKUP($B81,DADOS!$C$2:$I1014,2,0))</f>
        <v/>
      </c>
      <c r="B81" s="37"/>
      <c r="C81" s="36"/>
      <c r="D81" s="38" t="str">
        <f>IF($B81="","",SUM(VLOOKUP($B81,DADOS!$C$2:$I1014,4,0)*$C81))</f>
        <v/>
      </c>
      <c r="E81" s="38" t="str">
        <f>IF($B81="","",SUM(VLOOKUP($B81,DADOS!$C$2:$I1014,6,0)*$C81))</f>
        <v/>
      </c>
      <c r="F81" s="39" t="str">
        <f>IF($E81="","",(VLOOKUP($B81,DADOS!$C$2:$I1014,7,0)))</f>
        <v/>
      </c>
      <c r="G81" s="40" t="str">
        <f t="shared" si="2"/>
        <v/>
      </c>
      <c r="H81" s="41"/>
      <c r="I81" s="42"/>
      <c r="J81" s="42"/>
      <c r="K81" s="42"/>
      <c r="L81" s="42"/>
      <c r="M81" s="42"/>
      <c r="N81" s="42"/>
      <c r="O81" s="42"/>
      <c r="P81" s="42"/>
      <c r="Q81" s="42"/>
      <c r="R81" s="42"/>
      <c r="S81" s="42"/>
      <c r="T81" s="42"/>
      <c r="U81" s="42"/>
      <c r="V81" s="42"/>
      <c r="W81" s="42"/>
      <c r="X81" s="42"/>
      <c r="Y81" s="42"/>
      <c r="Z81" s="42"/>
      <c r="AA81" s="42"/>
    </row>
    <row r="82">
      <c r="A82" s="36" t="str">
        <f>IF($B82="","",VLOOKUP($B82,DADOS!$C$2:$I1014,2,0))</f>
        <v/>
      </c>
      <c r="B82" s="37"/>
      <c r="C82" s="36"/>
      <c r="D82" s="38" t="str">
        <f>IF($B82="","",SUM(VLOOKUP($B82,DADOS!$C$2:$I1014,4,0)*$C82))</f>
        <v/>
      </c>
      <c r="E82" s="38" t="str">
        <f>IF($B82="","",SUM(VLOOKUP($B82,DADOS!$C$2:$I1014,6,0)*$C82))</f>
        <v/>
      </c>
      <c r="F82" s="39" t="str">
        <f>IF($E82="","",(VLOOKUP($B82,DADOS!$C$2:$I1014,7,0)))</f>
        <v/>
      </c>
      <c r="G82" s="40" t="str">
        <f t="shared" si="2"/>
        <v/>
      </c>
      <c r="H82" s="41"/>
      <c r="I82" s="42"/>
      <c r="J82" s="42"/>
      <c r="K82" s="42"/>
      <c r="L82" s="42"/>
      <c r="M82" s="42"/>
      <c r="N82" s="42"/>
      <c r="O82" s="42"/>
      <c r="P82" s="42"/>
      <c r="Q82" s="42"/>
      <c r="R82" s="42"/>
      <c r="S82" s="42"/>
      <c r="T82" s="42"/>
      <c r="U82" s="42"/>
      <c r="V82" s="42"/>
      <c r="W82" s="42"/>
      <c r="X82" s="42"/>
      <c r="Y82" s="42"/>
      <c r="Z82" s="42"/>
      <c r="AA82" s="42"/>
    </row>
    <row r="83">
      <c r="A83" s="36" t="str">
        <f>IF($B83="","",VLOOKUP($B83,DADOS!$C$2:$I1014,2,0))</f>
        <v/>
      </c>
      <c r="B83" s="37"/>
      <c r="C83" s="36"/>
      <c r="D83" s="38" t="str">
        <f>IF($B83="","",SUM(VLOOKUP($B83,DADOS!$C$2:$I1014,4,0)*$C83))</f>
        <v/>
      </c>
      <c r="E83" s="38" t="str">
        <f>IF($B83="","",SUM(VLOOKUP($B83,DADOS!$C$2:$I1014,6,0)*$C83))</f>
        <v/>
      </c>
      <c r="F83" s="39" t="str">
        <f>IF($E83="","",(VLOOKUP($B83,DADOS!$C$2:$I1014,7,0)))</f>
        <v/>
      </c>
      <c r="G83" s="40" t="str">
        <f t="shared" si="2"/>
        <v/>
      </c>
      <c r="H83" s="41"/>
      <c r="I83" s="42"/>
      <c r="J83" s="42"/>
      <c r="K83" s="42"/>
      <c r="L83" s="42"/>
      <c r="M83" s="42"/>
      <c r="N83" s="42"/>
      <c r="O83" s="42"/>
      <c r="P83" s="42"/>
      <c r="Q83" s="42"/>
      <c r="R83" s="42"/>
      <c r="S83" s="42"/>
      <c r="T83" s="42"/>
      <c r="U83" s="42"/>
      <c r="V83" s="42"/>
      <c r="W83" s="42"/>
      <c r="X83" s="42"/>
      <c r="Y83" s="42"/>
      <c r="Z83" s="42"/>
      <c r="AA83" s="42"/>
    </row>
    <row r="84">
      <c r="A84" s="36" t="str">
        <f>IF($B84="","",VLOOKUP($B84,DADOS!$C$2:$I1014,2,0))</f>
        <v/>
      </c>
      <c r="B84" s="37"/>
      <c r="C84" s="36"/>
      <c r="D84" s="38" t="str">
        <f>IF($B84="","",SUM(VLOOKUP($B84,DADOS!$C$2:$I1014,4,0)*$C84))</f>
        <v/>
      </c>
      <c r="E84" s="38" t="str">
        <f>IF($B84="","",SUM(VLOOKUP($B84,DADOS!$C$2:$I1014,6,0)*$C84))</f>
        <v/>
      </c>
      <c r="F84" s="39" t="str">
        <f>IF($E84="","",(VLOOKUP($B84,DADOS!$C$2:$I1014,7,0)))</f>
        <v/>
      </c>
      <c r="G84" s="40" t="str">
        <f t="shared" si="2"/>
        <v/>
      </c>
      <c r="H84" s="41"/>
      <c r="I84" s="42"/>
      <c r="J84" s="42"/>
      <c r="K84" s="42"/>
      <c r="L84" s="42"/>
      <c r="M84" s="42"/>
      <c r="N84" s="42"/>
      <c r="O84" s="42"/>
      <c r="P84" s="42"/>
      <c r="Q84" s="42"/>
      <c r="R84" s="42"/>
      <c r="S84" s="42"/>
      <c r="T84" s="42"/>
      <c r="U84" s="42"/>
      <c r="V84" s="42"/>
      <c r="W84" s="42"/>
      <c r="X84" s="42"/>
      <c r="Y84" s="42"/>
      <c r="Z84" s="42"/>
      <c r="AA84" s="42"/>
    </row>
    <row r="85">
      <c r="A85" s="36" t="str">
        <f>IF($B85="","",VLOOKUP($B85,DADOS!$C$2:$I1014,2,0))</f>
        <v/>
      </c>
      <c r="B85" s="37"/>
      <c r="C85" s="36"/>
      <c r="D85" s="38" t="str">
        <f>IF($B85="","",SUM(VLOOKUP($B85,DADOS!$C$2:$I1014,4,0)*$C85))</f>
        <v/>
      </c>
      <c r="E85" s="38" t="str">
        <f>IF($B85="","",SUM(VLOOKUP($B85,DADOS!$C$2:$I1014,6,0)*$C85))</f>
        <v/>
      </c>
      <c r="F85" s="39" t="str">
        <f>IF($E85="","",(VLOOKUP($B85,DADOS!$C$2:$I1014,7,0)))</f>
        <v/>
      </c>
      <c r="G85" s="40" t="str">
        <f t="shared" si="2"/>
        <v/>
      </c>
      <c r="H85" s="41"/>
      <c r="I85" s="42"/>
      <c r="J85" s="42"/>
      <c r="K85" s="42"/>
      <c r="L85" s="42"/>
      <c r="M85" s="42"/>
      <c r="N85" s="42"/>
      <c r="O85" s="42"/>
      <c r="P85" s="42"/>
      <c r="Q85" s="42"/>
      <c r="R85" s="42"/>
      <c r="S85" s="42"/>
      <c r="T85" s="42"/>
      <c r="U85" s="42"/>
      <c r="V85" s="42"/>
      <c r="W85" s="42"/>
      <c r="X85" s="42"/>
      <c r="Y85" s="42"/>
      <c r="Z85" s="42"/>
      <c r="AA85" s="42"/>
    </row>
    <row r="86">
      <c r="A86" s="36" t="str">
        <f>IF($B86="","",VLOOKUP($B86,DADOS!$C$2:$I1014,2,0))</f>
        <v/>
      </c>
      <c r="B86" s="37"/>
      <c r="C86" s="36"/>
      <c r="D86" s="38" t="str">
        <f>IF($B86="","",SUM(VLOOKUP($B86,DADOS!$C$2:$I1014,4,0)*$C86))</f>
        <v/>
      </c>
      <c r="E86" s="38" t="str">
        <f>IF($B86="","",SUM(VLOOKUP($B86,DADOS!$C$2:$I1014,6,0)*$C86))</f>
        <v/>
      </c>
      <c r="F86" s="39" t="str">
        <f>IF($E86="","",(VLOOKUP($B86,DADOS!$C$2:$I1014,7,0)))</f>
        <v/>
      </c>
      <c r="G86" s="40" t="str">
        <f t="shared" si="2"/>
        <v/>
      </c>
      <c r="H86" s="41"/>
      <c r="I86" s="42"/>
      <c r="J86" s="42"/>
      <c r="K86" s="42"/>
      <c r="L86" s="42"/>
      <c r="M86" s="42"/>
      <c r="N86" s="42"/>
      <c r="O86" s="42"/>
      <c r="P86" s="42"/>
      <c r="Q86" s="42"/>
      <c r="R86" s="42"/>
      <c r="S86" s="42"/>
      <c r="T86" s="42"/>
      <c r="U86" s="42"/>
      <c r="V86" s="42"/>
      <c r="W86" s="42"/>
      <c r="X86" s="42"/>
      <c r="Y86" s="42"/>
      <c r="Z86" s="42"/>
      <c r="AA86" s="42"/>
    </row>
    <row r="87">
      <c r="A87" s="36" t="str">
        <f>IF($B87="","",VLOOKUP($B87,DADOS!$C$2:$I1014,2,0))</f>
        <v/>
      </c>
      <c r="B87" s="37"/>
      <c r="C87" s="36"/>
      <c r="D87" s="38" t="str">
        <f>IF($B87="","",SUM(VLOOKUP($B87,DADOS!$C$2:$I1014,4,0)*$C87))</f>
        <v/>
      </c>
      <c r="E87" s="38" t="str">
        <f>IF($B87="","",SUM(VLOOKUP($B87,DADOS!$C$2:$I1014,6,0)*$C87))</f>
        <v/>
      </c>
      <c r="F87" s="39" t="str">
        <f>IF($E87="","",(VLOOKUP($B87,DADOS!$C$2:$I1014,7,0)))</f>
        <v/>
      </c>
      <c r="G87" s="40" t="str">
        <f t="shared" si="2"/>
        <v/>
      </c>
      <c r="H87" s="41"/>
      <c r="I87" s="42"/>
      <c r="J87" s="42"/>
      <c r="K87" s="42"/>
      <c r="L87" s="42"/>
      <c r="M87" s="42"/>
      <c r="N87" s="42"/>
      <c r="O87" s="42"/>
      <c r="P87" s="42"/>
      <c r="Q87" s="42"/>
      <c r="R87" s="42"/>
      <c r="S87" s="42"/>
      <c r="T87" s="42"/>
      <c r="U87" s="42"/>
      <c r="V87" s="42"/>
      <c r="W87" s="42"/>
      <c r="X87" s="42"/>
      <c r="Y87" s="42"/>
      <c r="Z87" s="42"/>
      <c r="AA87" s="42"/>
    </row>
    <row r="88">
      <c r="A88" s="36" t="str">
        <f>IF($B88="","",VLOOKUP($B88,DADOS!$C$2:$I1014,2,0))</f>
        <v/>
      </c>
      <c r="B88" s="37"/>
      <c r="C88" s="36"/>
      <c r="D88" s="38" t="str">
        <f>IF($B88="","",SUM(VLOOKUP($B88,DADOS!$C$2:$I1014,4,0)*$C88))</f>
        <v/>
      </c>
      <c r="E88" s="38" t="str">
        <f>IF($B88="","",SUM(VLOOKUP($B88,DADOS!$C$2:$I1014,6,0)*$C88))</f>
        <v/>
      </c>
      <c r="F88" s="39" t="str">
        <f>IF($E88="","",(VLOOKUP($B88,DADOS!$C$2:$I1014,7,0)))</f>
        <v/>
      </c>
      <c r="G88" s="40" t="str">
        <f t="shared" si="2"/>
        <v/>
      </c>
      <c r="H88" s="41"/>
      <c r="I88" s="42"/>
      <c r="J88" s="42"/>
      <c r="K88" s="42"/>
      <c r="L88" s="42"/>
      <c r="M88" s="42"/>
      <c r="N88" s="42"/>
      <c r="O88" s="42"/>
      <c r="P88" s="42"/>
      <c r="Q88" s="42"/>
      <c r="R88" s="42"/>
      <c r="S88" s="42"/>
      <c r="T88" s="42"/>
      <c r="U88" s="42"/>
      <c r="V88" s="42"/>
      <c r="W88" s="42"/>
      <c r="X88" s="42"/>
      <c r="Y88" s="42"/>
      <c r="Z88" s="42"/>
      <c r="AA88" s="42"/>
    </row>
    <row r="89">
      <c r="A89" s="36" t="str">
        <f>IF($B89="","",VLOOKUP($B89,DADOS!$C$2:$I1014,2,0))</f>
        <v/>
      </c>
      <c r="B89" s="37"/>
      <c r="C89" s="36"/>
      <c r="D89" s="38" t="str">
        <f>IF($B89="","",SUM(VLOOKUP($B89,DADOS!$C$2:$I1014,4,0)*$C89))</f>
        <v/>
      </c>
      <c r="E89" s="38" t="str">
        <f>IF($B89="","",SUM(VLOOKUP($B89,DADOS!$C$2:$I1014,6,0)*$C89))</f>
        <v/>
      </c>
      <c r="F89" s="39" t="str">
        <f>IF($E89="","",(VLOOKUP($B89,DADOS!$C$2:$I1014,7,0)))</f>
        <v/>
      </c>
      <c r="G89" s="40" t="str">
        <f t="shared" si="2"/>
        <v/>
      </c>
      <c r="H89" s="41"/>
      <c r="I89" s="42"/>
      <c r="J89" s="42"/>
      <c r="K89" s="42"/>
      <c r="L89" s="42"/>
      <c r="M89" s="42"/>
      <c r="N89" s="42"/>
      <c r="O89" s="42"/>
      <c r="P89" s="42"/>
      <c r="Q89" s="42"/>
      <c r="R89" s="42"/>
      <c r="S89" s="42"/>
      <c r="T89" s="42"/>
      <c r="U89" s="42"/>
      <c r="V89" s="42"/>
      <c r="W89" s="42"/>
      <c r="X89" s="42"/>
      <c r="Y89" s="42"/>
      <c r="Z89" s="42"/>
      <c r="AA89" s="42"/>
    </row>
    <row r="90">
      <c r="A90" s="36" t="str">
        <f>IF($B90="","",VLOOKUP($B90,DADOS!$C$2:$I1014,2,0))</f>
        <v/>
      </c>
      <c r="B90" s="37"/>
      <c r="C90" s="36"/>
      <c r="D90" s="38" t="str">
        <f>IF($B90="","",SUM(VLOOKUP($B90,DADOS!$C$2:$I1014,4,0)*$C90))</f>
        <v/>
      </c>
      <c r="E90" s="38" t="str">
        <f>IF($B90="","",SUM(VLOOKUP($B90,DADOS!$C$2:$I1014,6,0)*$C90))</f>
        <v/>
      </c>
      <c r="F90" s="39" t="str">
        <f>IF($E90="","",(VLOOKUP($B90,DADOS!$C$2:$I1014,7,0)))</f>
        <v/>
      </c>
      <c r="G90" s="40" t="str">
        <f t="shared" si="2"/>
        <v/>
      </c>
      <c r="H90" s="41"/>
      <c r="I90" s="42"/>
      <c r="J90" s="42"/>
      <c r="K90" s="42"/>
      <c r="L90" s="42"/>
      <c r="M90" s="42"/>
      <c r="N90" s="42"/>
      <c r="O90" s="42"/>
      <c r="P90" s="42"/>
      <c r="Q90" s="42"/>
      <c r="R90" s="42"/>
      <c r="S90" s="42"/>
      <c r="T90" s="42"/>
      <c r="U90" s="42"/>
      <c r="V90" s="42"/>
      <c r="W90" s="42"/>
      <c r="X90" s="42"/>
      <c r="Y90" s="42"/>
      <c r="Z90" s="42"/>
      <c r="AA90" s="42"/>
    </row>
    <row r="91">
      <c r="A91" s="36" t="str">
        <f>IF($B91="","",VLOOKUP($B91,DADOS!$C$2:$I1014,2,0))</f>
        <v/>
      </c>
      <c r="B91" s="37"/>
      <c r="C91" s="36"/>
      <c r="D91" s="38" t="str">
        <f>IF($B91="","",SUM(VLOOKUP($B91,DADOS!$C$2:$I1014,4,0)*$C91))</f>
        <v/>
      </c>
      <c r="E91" s="38" t="str">
        <f>IF($B91="","",SUM(VLOOKUP($B91,DADOS!$C$2:$I1014,6,0)*$C91))</f>
        <v/>
      </c>
      <c r="F91" s="39" t="str">
        <f>IF($E91="","",(VLOOKUP($B91,DADOS!$C$2:$I1014,7,0)))</f>
        <v/>
      </c>
      <c r="G91" s="40" t="str">
        <f t="shared" si="2"/>
        <v/>
      </c>
      <c r="H91" s="41"/>
      <c r="I91" s="42"/>
      <c r="J91" s="42"/>
      <c r="K91" s="42"/>
      <c r="L91" s="42"/>
      <c r="M91" s="42"/>
      <c r="N91" s="42"/>
      <c r="O91" s="42"/>
      <c r="P91" s="42"/>
      <c r="Q91" s="42"/>
      <c r="R91" s="42"/>
      <c r="S91" s="42"/>
      <c r="T91" s="42"/>
      <c r="U91" s="42"/>
      <c r="V91" s="42"/>
      <c r="W91" s="42"/>
      <c r="X91" s="42"/>
      <c r="Y91" s="42"/>
      <c r="Z91" s="42"/>
      <c r="AA91" s="42"/>
    </row>
    <row r="92">
      <c r="A92" s="36" t="str">
        <f>IF($B92="","",VLOOKUP($B92,DADOS!$C$2:$I1014,2,0))</f>
        <v/>
      </c>
      <c r="B92" s="37"/>
      <c r="C92" s="36"/>
      <c r="D92" s="38" t="str">
        <f>IF($B92="","",SUM(VLOOKUP($B92,DADOS!$C$2:$I1014,4,0)*$C92))</f>
        <v/>
      </c>
      <c r="E92" s="38" t="str">
        <f>IF($B92="","",SUM(VLOOKUP($B92,DADOS!$C$2:$I1014,6,0)*$C92))</f>
        <v/>
      </c>
      <c r="F92" s="39" t="str">
        <f>IF($E92="","",(VLOOKUP($B92,DADOS!$C$2:$I1014,7,0)))</f>
        <v/>
      </c>
      <c r="G92" s="40" t="str">
        <f t="shared" si="2"/>
        <v/>
      </c>
      <c r="H92" s="41"/>
      <c r="I92" s="42"/>
      <c r="J92" s="42"/>
      <c r="K92" s="42"/>
      <c r="L92" s="42"/>
      <c r="M92" s="42"/>
      <c r="N92" s="42"/>
      <c r="O92" s="42"/>
      <c r="P92" s="42"/>
      <c r="Q92" s="42"/>
      <c r="R92" s="42"/>
      <c r="S92" s="42"/>
      <c r="T92" s="42"/>
      <c r="U92" s="42"/>
      <c r="V92" s="42"/>
      <c r="W92" s="42"/>
      <c r="X92" s="42"/>
      <c r="Y92" s="42"/>
      <c r="Z92" s="42"/>
      <c r="AA92" s="42"/>
    </row>
    <row r="93">
      <c r="A93" s="36" t="str">
        <f>IF($B93="","",VLOOKUP($B93,DADOS!$C$2:$I1014,2,0))</f>
        <v/>
      </c>
      <c r="B93" s="37"/>
      <c r="C93" s="36"/>
      <c r="D93" s="38" t="str">
        <f>IF($B93="","",SUM(VLOOKUP($B93,DADOS!$C$2:$I1014,4,0)*$C93))</f>
        <v/>
      </c>
      <c r="E93" s="38" t="str">
        <f>IF($B93="","",SUM(VLOOKUP($B93,DADOS!$C$2:$I1014,6,0)*$C93))</f>
        <v/>
      </c>
      <c r="F93" s="39" t="str">
        <f>IF($E93="","",(VLOOKUP($B93,DADOS!$C$2:$I1014,7,0)))</f>
        <v/>
      </c>
      <c r="G93" s="40" t="str">
        <f t="shared" si="2"/>
        <v/>
      </c>
      <c r="H93" s="41"/>
      <c r="I93" s="42"/>
      <c r="J93" s="42"/>
      <c r="K93" s="42"/>
      <c r="L93" s="42"/>
      <c r="M93" s="42"/>
      <c r="N93" s="42"/>
      <c r="O93" s="42"/>
      <c r="P93" s="42"/>
      <c r="Q93" s="42"/>
      <c r="R93" s="42"/>
      <c r="S93" s="42"/>
      <c r="T93" s="42"/>
      <c r="U93" s="42"/>
      <c r="V93" s="42"/>
      <c r="W93" s="42"/>
      <c r="X93" s="42"/>
      <c r="Y93" s="42"/>
      <c r="Z93" s="42"/>
      <c r="AA93" s="42"/>
    </row>
    <row r="94">
      <c r="A94" s="36" t="str">
        <f>IF($B94="","",VLOOKUP($B94,DADOS!$C$2:$I1014,2,0))</f>
        <v/>
      </c>
      <c r="B94" s="37"/>
      <c r="C94" s="36"/>
      <c r="D94" s="38" t="str">
        <f>IF($B94="","",SUM(VLOOKUP($B94,DADOS!$C$2:$I1014,4,0)*$C94))</f>
        <v/>
      </c>
      <c r="E94" s="38" t="str">
        <f>IF($B94="","",SUM(VLOOKUP($B94,DADOS!$C$2:$I1014,6,0)*$C94))</f>
        <v/>
      </c>
      <c r="F94" s="39" t="str">
        <f>IF($E94="","",(VLOOKUP($B94,DADOS!$C$2:$I1014,7,0)))</f>
        <v/>
      </c>
      <c r="G94" s="40" t="str">
        <f t="shared" si="2"/>
        <v/>
      </c>
      <c r="H94" s="41"/>
      <c r="I94" s="42"/>
      <c r="J94" s="42"/>
      <c r="K94" s="42"/>
      <c r="L94" s="42"/>
      <c r="M94" s="42"/>
      <c r="N94" s="42"/>
      <c r="O94" s="42"/>
      <c r="P94" s="42"/>
      <c r="Q94" s="42"/>
      <c r="R94" s="42"/>
      <c r="S94" s="42"/>
      <c r="T94" s="42"/>
      <c r="U94" s="42"/>
      <c r="V94" s="42"/>
      <c r="W94" s="42"/>
      <c r="X94" s="42"/>
      <c r="Y94" s="42"/>
      <c r="Z94" s="42"/>
      <c r="AA94" s="42"/>
    </row>
    <row r="95">
      <c r="A95" s="36" t="str">
        <f>IF($B95="","",VLOOKUP($B95,DADOS!$C$2:$I1014,2,0))</f>
        <v/>
      </c>
      <c r="B95" s="37"/>
      <c r="C95" s="36"/>
      <c r="D95" s="38" t="str">
        <f>IF($B95="","",SUM(VLOOKUP($B95,DADOS!$C$2:$I1014,4,0)*$C95))</f>
        <v/>
      </c>
      <c r="E95" s="38" t="str">
        <f>IF($B95="","",SUM(VLOOKUP($B95,DADOS!$C$2:$I1014,6,0)*$C95))</f>
        <v/>
      </c>
      <c r="F95" s="39" t="str">
        <f>IF($E95="","",(VLOOKUP($B95,DADOS!$C$2:$I1014,7,0)))</f>
        <v/>
      </c>
      <c r="G95" s="40" t="str">
        <f t="shared" si="2"/>
        <v/>
      </c>
      <c r="H95" s="41"/>
      <c r="I95" s="42"/>
      <c r="J95" s="42"/>
      <c r="K95" s="42"/>
      <c r="L95" s="42"/>
      <c r="M95" s="42"/>
      <c r="N95" s="42"/>
      <c r="O95" s="42"/>
      <c r="P95" s="42"/>
      <c r="Q95" s="42"/>
      <c r="R95" s="42"/>
      <c r="S95" s="42"/>
      <c r="T95" s="42"/>
      <c r="U95" s="42"/>
      <c r="V95" s="42"/>
      <c r="W95" s="42"/>
      <c r="X95" s="42"/>
      <c r="Y95" s="42"/>
      <c r="Z95" s="42"/>
      <c r="AA95" s="42"/>
    </row>
    <row r="96">
      <c r="A96" s="36" t="str">
        <f>IF($B96="","",VLOOKUP($B96,DADOS!$C$2:$I1014,2,0))</f>
        <v/>
      </c>
      <c r="B96" s="37"/>
      <c r="C96" s="36"/>
      <c r="D96" s="38" t="str">
        <f>IF($B96="","",SUM(VLOOKUP($B96,DADOS!$C$2:$I1014,4,0)*$C96))</f>
        <v/>
      </c>
      <c r="E96" s="38" t="str">
        <f>IF($B96="","",SUM(VLOOKUP($B96,DADOS!$C$2:$I1014,6,0)*$C96))</f>
        <v/>
      </c>
      <c r="F96" s="39" t="str">
        <f>IF($E96="","",(VLOOKUP($B96,DADOS!$C$2:$I1014,7,0)))</f>
        <v/>
      </c>
      <c r="G96" s="40" t="str">
        <f t="shared" si="2"/>
        <v/>
      </c>
      <c r="H96" s="41"/>
      <c r="I96" s="42"/>
      <c r="J96" s="42"/>
      <c r="K96" s="42"/>
      <c r="L96" s="42"/>
      <c r="M96" s="42"/>
      <c r="N96" s="42"/>
      <c r="O96" s="42"/>
      <c r="P96" s="42"/>
      <c r="Q96" s="42"/>
      <c r="R96" s="42"/>
      <c r="S96" s="42"/>
      <c r="T96" s="42"/>
      <c r="U96" s="42"/>
      <c r="V96" s="42"/>
      <c r="W96" s="42"/>
      <c r="X96" s="42"/>
      <c r="Y96" s="42"/>
      <c r="Z96" s="42"/>
      <c r="AA96" s="42"/>
    </row>
    <row r="97">
      <c r="A97" s="36" t="str">
        <f>IF($B97="","",VLOOKUP($B97,DADOS!$C$2:$I1014,2,0))</f>
        <v/>
      </c>
      <c r="B97" s="37"/>
      <c r="C97" s="36"/>
      <c r="D97" s="38" t="str">
        <f>IF($B97="","",SUM(VLOOKUP($B97,DADOS!$C$2:$I1014,4,0)*$C97))</f>
        <v/>
      </c>
      <c r="E97" s="38" t="str">
        <f>IF($B97="","",SUM(VLOOKUP($B97,DADOS!$C$2:$I1014,6,0)*$C97))</f>
        <v/>
      </c>
      <c r="F97" s="39" t="str">
        <f>IF($E97="","",(VLOOKUP($B97,DADOS!$C$2:$I1014,7,0)))</f>
        <v/>
      </c>
      <c r="G97" s="40" t="str">
        <f t="shared" si="2"/>
        <v/>
      </c>
      <c r="H97" s="41"/>
      <c r="I97" s="42"/>
      <c r="J97" s="42"/>
      <c r="K97" s="42"/>
      <c r="L97" s="42"/>
      <c r="M97" s="42"/>
      <c r="N97" s="42"/>
      <c r="O97" s="42"/>
      <c r="P97" s="42"/>
      <c r="Q97" s="42"/>
      <c r="R97" s="42"/>
      <c r="S97" s="42"/>
      <c r="T97" s="42"/>
      <c r="U97" s="42"/>
      <c r="V97" s="42"/>
      <c r="W97" s="42"/>
      <c r="X97" s="42"/>
      <c r="Y97" s="42"/>
      <c r="Z97" s="42"/>
      <c r="AA97" s="42"/>
    </row>
    <row r="98">
      <c r="A98" s="36" t="str">
        <f>IF($B98="","",VLOOKUP($B98,DADOS!$C$2:$I1014,2,0))</f>
        <v/>
      </c>
      <c r="B98" s="37"/>
      <c r="C98" s="36"/>
      <c r="D98" s="38" t="str">
        <f>IF($B98="","",SUM(VLOOKUP($B98,DADOS!$C$2:$I1014,4,0)*$C98))</f>
        <v/>
      </c>
      <c r="E98" s="38" t="str">
        <f>IF($B98="","",SUM(VLOOKUP($B98,DADOS!$C$2:$I1014,6,0)*$C98))</f>
        <v/>
      </c>
      <c r="F98" s="39" t="str">
        <f>IF($E98="","",(VLOOKUP($B98,DADOS!$C$2:$I1014,7,0)))</f>
        <v/>
      </c>
      <c r="G98" s="40" t="str">
        <f t="shared" si="2"/>
        <v/>
      </c>
      <c r="H98" s="41"/>
      <c r="I98" s="42"/>
      <c r="J98" s="42"/>
      <c r="K98" s="42"/>
      <c r="L98" s="42"/>
      <c r="M98" s="42"/>
      <c r="N98" s="42"/>
      <c r="O98" s="42"/>
      <c r="P98" s="42"/>
      <c r="Q98" s="42"/>
      <c r="R98" s="42"/>
      <c r="S98" s="42"/>
      <c r="T98" s="42"/>
      <c r="U98" s="42"/>
      <c r="V98" s="42"/>
      <c r="W98" s="42"/>
      <c r="X98" s="42"/>
      <c r="Y98" s="42"/>
      <c r="Z98" s="42"/>
      <c r="AA98" s="42"/>
    </row>
    <row r="99">
      <c r="A99" s="36" t="str">
        <f>IF($B99="","",VLOOKUP($B99,DADOS!$C$2:$I1014,2,0))</f>
        <v/>
      </c>
      <c r="B99" s="37"/>
      <c r="C99" s="36"/>
      <c r="D99" s="38" t="str">
        <f>IF($B99="","",SUM(VLOOKUP($B99,DADOS!$C$2:$I1014,4,0)*$C99))</f>
        <v/>
      </c>
      <c r="E99" s="38" t="str">
        <f>IF($B99="","",SUM(VLOOKUP($B99,DADOS!$C$2:$I1014,6,0)*$C99))</f>
        <v/>
      </c>
      <c r="F99" s="39" t="str">
        <f>IF($E99="","",(VLOOKUP($B99,DADOS!$C$2:$I1014,7,0)))</f>
        <v/>
      </c>
      <c r="G99" s="40" t="str">
        <f t="shared" si="2"/>
        <v/>
      </c>
      <c r="H99" s="41"/>
      <c r="I99" s="42"/>
      <c r="J99" s="42"/>
      <c r="K99" s="42"/>
      <c r="L99" s="42"/>
      <c r="M99" s="42"/>
      <c r="N99" s="42"/>
      <c r="O99" s="42"/>
      <c r="P99" s="42"/>
      <c r="Q99" s="42"/>
      <c r="R99" s="42"/>
      <c r="S99" s="42"/>
      <c r="T99" s="42"/>
      <c r="U99" s="42"/>
      <c r="V99" s="42"/>
      <c r="W99" s="42"/>
      <c r="X99" s="42"/>
      <c r="Y99" s="42"/>
      <c r="Z99" s="42"/>
      <c r="AA99" s="42"/>
    </row>
    <row r="100">
      <c r="A100" s="36" t="str">
        <f>IF($B100="","",VLOOKUP($B100,DADOS!$C$2:$I1014,2,0))</f>
        <v/>
      </c>
      <c r="B100" s="37"/>
      <c r="C100" s="36"/>
      <c r="D100" s="38" t="str">
        <f>IF($B100="","",SUM(VLOOKUP($B100,DADOS!$C$2:$I1014,4,0)*$C100))</f>
        <v/>
      </c>
      <c r="E100" s="38" t="str">
        <f>IF($B100="","",SUM(VLOOKUP($B100,DADOS!$C$2:$I1014,6,0)*$C100))</f>
        <v/>
      </c>
      <c r="F100" s="39" t="str">
        <f>IF($E100="","",(VLOOKUP($B100,DADOS!$C$2:$I1014,7,0)))</f>
        <v/>
      </c>
      <c r="G100" s="40" t="str">
        <f t="shared" si="2"/>
        <v/>
      </c>
      <c r="H100" s="41"/>
      <c r="I100" s="42"/>
      <c r="J100" s="42"/>
      <c r="K100" s="42"/>
      <c r="L100" s="42"/>
      <c r="M100" s="42"/>
      <c r="N100" s="42"/>
      <c r="O100" s="42"/>
      <c r="P100" s="42"/>
      <c r="Q100" s="42"/>
      <c r="R100" s="42"/>
      <c r="S100" s="42"/>
      <c r="T100" s="42"/>
      <c r="U100" s="42"/>
      <c r="V100" s="42"/>
      <c r="W100" s="42"/>
      <c r="X100" s="42"/>
      <c r="Y100" s="42"/>
      <c r="Z100" s="42"/>
      <c r="AA100" s="42"/>
    </row>
    <row r="101">
      <c r="A101" s="36" t="str">
        <f>IF($B101="","",VLOOKUP($B101,DADOS!$C$2:$I1014,2,0))</f>
        <v/>
      </c>
      <c r="B101" s="37"/>
      <c r="C101" s="36"/>
      <c r="D101" s="38" t="str">
        <f>IF($B101="","",SUM(VLOOKUP($B101,DADOS!$C$2:$I1014,4,0)*$C101))</f>
        <v/>
      </c>
      <c r="E101" s="38" t="str">
        <f>IF($B101="","",SUM(VLOOKUP($B101,DADOS!$C$2:$I1014,6,0)*$C101))</f>
        <v/>
      </c>
      <c r="F101" s="39" t="str">
        <f>IF($E101="","",(VLOOKUP($B101,DADOS!$C$2:$I1014,7,0)))</f>
        <v/>
      </c>
      <c r="G101" s="40" t="str">
        <f t="shared" si="2"/>
        <v/>
      </c>
      <c r="H101" s="41"/>
      <c r="I101" s="42"/>
      <c r="J101" s="42"/>
      <c r="K101" s="42"/>
      <c r="L101" s="42"/>
      <c r="M101" s="42"/>
      <c r="N101" s="42"/>
      <c r="O101" s="42"/>
      <c r="P101" s="42"/>
      <c r="Q101" s="42"/>
      <c r="R101" s="42"/>
      <c r="S101" s="42"/>
      <c r="T101" s="42"/>
      <c r="U101" s="42"/>
      <c r="V101" s="42"/>
      <c r="W101" s="42"/>
      <c r="X101" s="42"/>
      <c r="Y101" s="42"/>
      <c r="Z101" s="42"/>
      <c r="AA101" s="42"/>
    </row>
    <row r="102">
      <c r="A102" s="36" t="str">
        <f>IF($B102="","",VLOOKUP($B102,DADOS!$C$2:$I1014,2,0))</f>
        <v/>
      </c>
      <c r="B102" s="37"/>
      <c r="C102" s="36"/>
      <c r="D102" s="38" t="str">
        <f>IF($B102="","",SUM(VLOOKUP($B102,DADOS!$C$2:$I1014,4,0)*$C102))</f>
        <v/>
      </c>
      <c r="E102" s="38" t="str">
        <f>IF($B102="","",SUM(VLOOKUP($B102,DADOS!$C$2:$I1014,6,0)*$C102))</f>
        <v/>
      </c>
      <c r="F102" s="39" t="str">
        <f>IF($E102="","",(VLOOKUP($B102,DADOS!$C$2:$I1014,7,0)))</f>
        <v/>
      </c>
      <c r="G102" s="40" t="str">
        <f t="shared" si="2"/>
        <v/>
      </c>
      <c r="H102" s="41"/>
      <c r="I102" s="42"/>
      <c r="J102" s="42"/>
      <c r="K102" s="42"/>
      <c r="L102" s="42"/>
      <c r="M102" s="42"/>
      <c r="N102" s="42"/>
      <c r="O102" s="42"/>
      <c r="P102" s="42"/>
      <c r="Q102" s="42"/>
      <c r="R102" s="42"/>
      <c r="S102" s="42"/>
      <c r="T102" s="42"/>
      <c r="U102" s="42"/>
      <c r="V102" s="42"/>
      <c r="W102" s="42"/>
      <c r="X102" s="42"/>
      <c r="Y102" s="42"/>
      <c r="Z102" s="42"/>
      <c r="AA102" s="42"/>
    </row>
    <row r="103">
      <c r="A103" s="36" t="str">
        <f>IF($B103="","",VLOOKUP($B103,DADOS!$C$2:$I1014,2,0))</f>
        <v/>
      </c>
      <c r="B103" s="37"/>
      <c r="C103" s="36"/>
      <c r="D103" s="38" t="str">
        <f>IF($B103="","",SUM(VLOOKUP($B103,DADOS!$C$2:$I1014,4,0)*$C103))</f>
        <v/>
      </c>
      <c r="E103" s="38" t="str">
        <f>IF($B103="","",SUM(VLOOKUP($B103,DADOS!$C$2:$I1014,6,0)*$C103))</f>
        <v/>
      </c>
      <c r="F103" s="39" t="str">
        <f>IF($E103="","",(VLOOKUP($B103,DADOS!$C$2:$I1014,7,0)))</f>
        <v/>
      </c>
      <c r="G103" s="40" t="str">
        <f t="shared" si="2"/>
        <v/>
      </c>
      <c r="H103" s="41"/>
      <c r="I103" s="42"/>
      <c r="J103" s="42"/>
      <c r="K103" s="42"/>
      <c r="L103" s="42"/>
      <c r="M103" s="42"/>
      <c r="N103" s="42"/>
      <c r="O103" s="42"/>
      <c r="P103" s="42"/>
      <c r="Q103" s="42"/>
      <c r="R103" s="42"/>
      <c r="S103" s="42"/>
      <c r="T103" s="42"/>
      <c r="U103" s="42"/>
      <c r="V103" s="42"/>
      <c r="W103" s="42"/>
      <c r="X103" s="42"/>
      <c r="Y103" s="42"/>
      <c r="Z103" s="42"/>
      <c r="AA103" s="42"/>
    </row>
    <row r="104">
      <c r="A104" s="36" t="str">
        <f>IF($B104="","",VLOOKUP($B104,DADOS!$C$2:$I1014,2,0))</f>
        <v/>
      </c>
      <c r="B104" s="37"/>
      <c r="C104" s="36"/>
      <c r="D104" s="38" t="str">
        <f>IF($B104="","",SUM(VLOOKUP($B104,DADOS!$C$2:$I1014,4,0)*$C104))</f>
        <v/>
      </c>
      <c r="E104" s="38" t="str">
        <f>IF($B104="","",SUM(VLOOKUP($B104,DADOS!$C$2:$I1014,6,0)*$C104))</f>
        <v/>
      </c>
      <c r="F104" s="39" t="str">
        <f>IF($E104="","",(VLOOKUP($B104,DADOS!$C$2:$I1014,7,0)))</f>
        <v/>
      </c>
      <c r="G104" s="40" t="str">
        <f t="shared" si="2"/>
        <v/>
      </c>
      <c r="H104" s="41"/>
      <c r="I104" s="42"/>
      <c r="J104" s="42"/>
      <c r="K104" s="42"/>
      <c r="L104" s="42"/>
      <c r="M104" s="42"/>
      <c r="N104" s="42"/>
      <c r="O104" s="42"/>
      <c r="P104" s="42"/>
      <c r="Q104" s="42"/>
      <c r="R104" s="42"/>
      <c r="S104" s="42"/>
      <c r="T104" s="42"/>
      <c r="U104" s="42"/>
      <c r="V104" s="42"/>
      <c r="W104" s="42"/>
      <c r="X104" s="42"/>
      <c r="Y104" s="42"/>
      <c r="Z104" s="42"/>
      <c r="AA104" s="42"/>
    </row>
    <row r="105">
      <c r="A105" s="36" t="str">
        <f>IF($B105="","",VLOOKUP($B105,DADOS!$C$2:$I1014,2,0))</f>
        <v/>
      </c>
      <c r="B105" s="37"/>
      <c r="C105" s="36"/>
      <c r="D105" s="38" t="str">
        <f>IF($B105="","",SUM(VLOOKUP($B105,DADOS!$C$2:$I1014,4,0)*$C105))</f>
        <v/>
      </c>
      <c r="E105" s="38" t="str">
        <f>IF($B105="","",SUM(VLOOKUP($B105,DADOS!$C$2:$I1014,6,0)*$C105))</f>
        <v/>
      </c>
      <c r="F105" s="39" t="str">
        <f>IF($E105="","",(VLOOKUP($B105,DADOS!$C$2:$I1014,7,0)))</f>
        <v/>
      </c>
      <c r="G105" s="40" t="str">
        <f t="shared" si="2"/>
        <v/>
      </c>
      <c r="H105" s="41"/>
      <c r="I105" s="42"/>
      <c r="J105" s="42"/>
      <c r="K105" s="42"/>
      <c r="L105" s="42"/>
      <c r="M105" s="42"/>
      <c r="N105" s="42"/>
      <c r="O105" s="42"/>
      <c r="P105" s="42"/>
      <c r="Q105" s="42"/>
      <c r="R105" s="42"/>
      <c r="S105" s="42"/>
      <c r="T105" s="42"/>
      <c r="U105" s="42"/>
      <c r="V105" s="42"/>
      <c r="W105" s="42"/>
      <c r="X105" s="42"/>
      <c r="Y105" s="42"/>
      <c r="Z105" s="42"/>
      <c r="AA105" s="42"/>
    </row>
    <row r="106">
      <c r="A106" s="36" t="str">
        <f>IF($B106="","",VLOOKUP($B106,DADOS!$C$2:$I1014,2,0))</f>
        <v/>
      </c>
      <c r="B106" s="37"/>
      <c r="C106" s="36"/>
      <c r="D106" s="38" t="str">
        <f>IF($B106="","",SUM(VLOOKUP($B106,DADOS!$C$2:$I1014,4,0)*$C106))</f>
        <v/>
      </c>
      <c r="E106" s="38" t="str">
        <f>IF($B106="","",SUM(VLOOKUP($B106,DADOS!$C$2:$I1014,6,0)*$C106))</f>
        <v/>
      </c>
      <c r="F106" s="39" t="str">
        <f>IF($E106="","",(VLOOKUP($B106,DADOS!$C$2:$I1014,7,0)))</f>
        <v/>
      </c>
      <c r="G106" s="40" t="str">
        <f t="shared" si="2"/>
        <v/>
      </c>
      <c r="H106" s="41"/>
      <c r="I106" s="42"/>
      <c r="J106" s="42"/>
      <c r="K106" s="42"/>
      <c r="L106" s="42"/>
      <c r="M106" s="42"/>
      <c r="N106" s="42"/>
      <c r="O106" s="42"/>
      <c r="P106" s="42"/>
      <c r="Q106" s="42"/>
      <c r="R106" s="42"/>
      <c r="S106" s="42"/>
      <c r="T106" s="42"/>
      <c r="U106" s="42"/>
      <c r="V106" s="42"/>
      <c r="W106" s="42"/>
      <c r="X106" s="42"/>
      <c r="Y106" s="42"/>
      <c r="Z106" s="42"/>
      <c r="AA106" s="42"/>
    </row>
    <row r="107">
      <c r="A107" s="36" t="str">
        <f>IF($B107="","",VLOOKUP($B107,DADOS!$C$2:$I1014,2,0))</f>
        <v/>
      </c>
      <c r="B107" s="37"/>
      <c r="C107" s="36"/>
      <c r="D107" s="38" t="str">
        <f>IF($B107="","",SUM(VLOOKUP($B107,DADOS!$C$2:$I1014,4,0)*$C107))</f>
        <v/>
      </c>
      <c r="E107" s="38" t="str">
        <f>IF($B107="","",SUM(VLOOKUP($B107,DADOS!$C$2:$I1014,6,0)*$C107))</f>
        <v/>
      </c>
      <c r="F107" s="39" t="str">
        <f>IF($E107="","",(VLOOKUP($B107,DADOS!$C$2:$I1014,7,0)))</f>
        <v/>
      </c>
      <c r="G107" s="40" t="str">
        <f t="shared" si="2"/>
        <v/>
      </c>
      <c r="H107" s="41"/>
      <c r="I107" s="42"/>
      <c r="J107" s="42"/>
      <c r="K107" s="42"/>
      <c r="L107" s="42"/>
      <c r="M107" s="42"/>
      <c r="N107" s="42"/>
      <c r="O107" s="42"/>
      <c r="P107" s="42"/>
      <c r="Q107" s="42"/>
      <c r="R107" s="42"/>
      <c r="S107" s="42"/>
      <c r="T107" s="42"/>
      <c r="U107" s="42"/>
      <c r="V107" s="42"/>
      <c r="W107" s="42"/>
      <c r="X107" s="42"/>
      <c r="Y107" s="42"/>
      <c r="Z107" s="42"/>
      <c r="AA107" s="42"/>
    </row>
    <row r="108">
      <c r="A108" s="36" t="str">
        <f>IF($B108="","",VLOOKUP($B108,DADOS!$C$2:$I1014,2,0))</f>
        <v/>
      </c>
      <c r="B108" s="37"/>
      <c r="C108" s="36"/>
      <c r="D108" s="38" t="str">
        <f>IF($B108="","",SUM(VLOOKUP($B108,DADOS!$C$2:$I1014,4,0)*$C108))</f>
        <v/>
      </c>
      <c r="E108" s="38" t="str">
        <f>IF($B108="","",SUM(VLOOKUP($B108,DADOS!$C$2:$I1014,6,0)*$C108))</f>
        <v/>
      </c>
      <c r="F108" s="39" t="str">
        <f>IF($E108="","",(VLOOKUP($B108,DADOS!$C$2:$I1014,7,0)))</f>
        <v/>
      </c>
      <c r="G108" s="40" t="str">
        <f t="shared" si="2"/>
        <v/>
      </c>
      <c r="H108" s="41"/>
      <c r="I108" s="42"/>
      <c r="J108" s="42"/>
      <c r="K108" s="42"/>
      <c r="L108" s="42"/>
      <c r="M108" s="42"/>
      <c r="N108" s="42"/>
      <c r="O108" s="42"/>
      <c r="P108" s="42"/>
      <c r="Q108" s="42"/>
      <c r="R108" s="42"/>
      <c r="S108" s="42"/>
      <c r="T108" s="42"/>
      <c r="U108" s="42"/>
      <c r="V108" s="42"/>
      <c r="W108" s="42"/>
      <c r="X108" s="42"/>
      <c r="Y108" s="42"/>
      <c r="Z108" s="42"/>
      <c r="AA108" s="42"/>
    </row>
    <row r="109">
      <c r="A109" s="36" t="str">
        <f>IF($B109="","",VLOOKUP($B109,DADOS!$C$2:$I1014,2,0))</f>
        <v/>
      </c>
      <c r="B109" s="37"/>
      <c r="C109" s="36"/>
      <c r="D109" s="38" t="str">
        <f>IF($B109="","",SUM(VLOOKUP($B109,DADOS!$C$2:$I1014,4,0)*$C109))</f>
        <v/>
      </c>
      <c r="E109" s="38" t="str">
        <f>IF($B109="","",SUM(VLOOKUP($B109,DADOS!$C$2:$I1014,6,0)*$C109))</f>
        <v/>
      </c>
      <c r="F109" s="39" t="str">
        <f>IF($E109="","",(VLOOKUP($B109,DADOS!$C$2:$I1014,7,0)))</f>
        <v/>
      </c>
      <c r="G109" s="40" t="str">
        <f t="shared" si="2"/>
        <v/>
      </c>
      <c r="H109" s="41"/>
      <c r="I109" s="42"/>
      <c r="J109" s="42"/>
      <c r="K109" s="42"/>
      <c r="L109" s="42"/>
      <c r="M109" s="42"/>
      <c r="N109" s="42"/>
      <c r="O109" s="42"/>
      <c r="P109" s="42"/>
      <c r="Q109" s="42"/>
      <c r="R109" s="42"/>
      <c r="S109" s="42"/>
      <c r="T109" s="42"/>
      <c r="U109" s="42"/>
      <c r="V109" s="42"/>
      <c r="W109" s="42"/>
      <c r="X109" s="42"/>
      <c r="Y109" s="42"/>
      <c r="Z109" s="42"/>
      <c r="AA109" s="42"/>
    </row>
    <row r="110">
      <c r="A110" s="36" t="str">
        <f>IF($B110="","",VLOOKUP($B110,DADOS!$C$2:$I1014,2,0))</f>
        <v/>
      </c>
      <c r="B110" s="37"/>
      <c r="C110" s="36"/>
      <c r="D110" s="38" t="str">
        <f>IF($B110="","",SUM(VLOOKUP($B110,DADOS!$C$2:$I1014,4,0)*$C110))</f>
        <v/>
      </c>
      <c r="E110" s="38" t="str">
        <f>IF($B110="","",SUM(VLOOKUP($B110,DADOS!$C$2:$I1014,6,0)*$C110))</f>
        <v/>
      </c>
      <c r="F110" s="39" t="str">
        <f>IF($E110="","",(VLOOKUP($B110,DADOS!$C$2:$I1014,7,0)))</f>
        <v/>
      </c>
      <c r="G110" s="40" t="str">
        <f t="shared" si="2"/>
        <v/>
      </c>
      <c r="H110" s="41"/>
      <c r="I110" s="42"/>
      <c r="J110" s="42"/>
      <c r="K110" s="42"/>
      <c r="L110" s="42"/>
      <c r="M110" s="42"/>
      <c r="N110" s="42"/>
      <c r="O110" s="42"/>
      <c r="P110" s="42"/>
      <c r="Q110" s="42"/>
      <c r="R110" s="42"/>
      <c r="S110" s="42"/>
      <c r="T110" s="42"/>
      <c r="U110" s="42"/>
      <c r="V110" s="42"/>
      <c r="W110" s="42"/>
      <c r="X110" s="42"/>
      <c r="Y110" s="42"/>
      <c r="Z110" s="42"/>
      <c r="AA110" s="42"/>
    </row>
    <row r="111">
      <c r="A111" s="36" t="str">
        <f>IF($B111="","",VLOOKUP($B111,DADOS!$C$2:$I1014,2,0))</f>
        <v/>
      </c>
      <c r="B111" s="37"/>
      <c r="C111" s="36"/>
      <c r="D111" s="38" t="str">
        <f>IF($B111="","",SUM(VLOOKUP($B111,DADOS!$C$2:$I1014,4,0)*$C111))</f>
        <v/>
      </c>
      <c r="E111" s="38" t="str">
        <f>IF($B111="","",SUM(VLOOKUP($B111,DADOS!$C$2:$I1014,6,0)*$C111))</f>
        <v/>
      </c>
      <c r="F111" s="39" t="str">
        <f>IF($E111="","",(VLOOKUP($B111,DADOS!$C$2:$I1014,7,0)))</f>
        <v/>
      </c>
      <c r="G111" s="40" t="str">
        <f t="shared" si="2"/>
        <v/>
      </c>
      <c r="H111" s="41"/>
      <c r="I111" s="42"/>
      <c r="J111" s="42"/>
      <c r="K111" s="42"/>
      <c r="L111" s="42"/>
      <c r="M111" s="42"/>
      <c r="N111" s="42"/>
      <c r="O111" s="42"/>
      <c r="P111" s="42"/>
      <c r="Q111" s="42"/>
      <c r="R111" s="42"/>
      <c r="S111" s="42"/>
      <c r="T111" s="42"/>
      <c r="U111" s="42"/>
      <c r="V111" s="42"/>
      <c r="W111" s="42"/>
      <c r="X111" s="42"/>
      <c r="Y111" s="42"/>
      <c r="Z111" s="42"/>
      <c r="AA111" s="42"/>
    </row>
    <row r="112">
      <c r="A112" s="36" t="str">
        <f>IF($B112="","",VLOOKUP($B112,DADOS!$C$2:$I1014,2,0))</f>
        <v/>
      </c>
      <c r="B112" s="37"/>
      <c r="C112" s="36"/>
      <c r="D112" s="38" t="str">
        <f>IF($B112="","",SUM(VLOOKUP($B112,DADOS!$C$2:$I1014,4,0)*$C112))</f>
        <v/>
      </c>
      <c r="E112" s="38" t="str">
        <f>IF($B112="","",SUM(VLOOKUP($B112,DADOS!$C$2:$I1014,6,0)*$C112))</f>
        <v/>
      </c>
      <c r="F112" s="39" t="str">
        <f>IF($E112="","",(VLOOKUP($B112,DADOS!$C$2:$I1014,7,0)))</f>
        <v/>
      </c>
      <c r="G112" s="40" t="str">
        <f t="shared" si="2"/>
        <v/>
      </c>
      <c r="H112" s="41"/>
      <c r="I112" s="42"/>
      <c r="J112" s="42"/>
      <c r="K112" s="42"/>
      <c r="L112" s="42"/>
      <c r="M112" s="42"/>
      <c r="N112" s="42"/>
      <c r="O112" s="42"/>
      <c r="P112" s="42"/>
      <c r="Q112" s="42"/>
      <c r="R112" s="42"/>
      <c r="S112" s="42"/>
      <c r="T112" s="42"/>
      <c r="U112" s="42"/>
      <c r="V112" s="42"/>
      <c r="W112" s="42"/>
      <c r="X112" s="42"/>
      <c r="Y112" s="42"/>
      <c r="Z112" s="42"/>
      <c r="AA112" s="42"/>
    </row>
    <row r="113">
      <c r="A113" s="36" t="str">
        <f>IF($B113="","",VLOOKUP($B113,DADOS!$C$2:$I1014,2,0))</f>
        <v/>
      </c>
      <c r="B113" s="37"/>
      <c r="C113" s="36"/>
      <c r="D113" s="38" t="str">
        <f>IF($B113="","",SUM(VLOOKUP($B113,DADOS!$C$2:$I1014,4,0)*$C113))</f>
        <v/>
      </c>
      <c r="E113" s="38" t="str">
        <f>IF($B113="","",SUM(VLOOKUP($B113,DADOS!$C$2:$I1014,6,0)*$C113))</f>
        <v/>
      </c>
      <c r="F113" s="39" t="str">
        <f>IF($E113="","",(VLOOKUP($B113,DADOS!$C$2:$I1014,7,0)))</f>
        <v/>
      </c>
      <c r="G113" s="40" t="str">
        <f t="shared" si="2"/>
        <v/>
      </c>
      <c r="H113" s="41"/>
      <c r="I113" s="42"/>
      <c r="J113" s="42"/>
      <c r="K113" s="42"/>
      <c r="L113" s="42"/>
      <c r="M113" s="42"/>
      <c r="N113" s="42"/>
      <c r="O113" s="42"/>
      <c r="P113" s="42"/>
      <c r="Q113" s="42"/>
      <c r="R113" s="42"/>
      <c r="S113" s="42"/>
      <c r="T113" s="42"/>
      <c r="U113" s="42"/>
      <c r="V113" s="42"/>
      <c r="W113" s="42"/>
      <c r="X113" s="42"/>
      <c r="Y113" s="42"/>
      <c r="Z113" s="42"/>
      <c r="AA113" s="42"/>
    </row>
    <row r="114">
      <c r="A114" s="36" t="str">
        <f>IF($B114="","",VLOOKUP($B114,DADOS!$C$2:$I1014,2,0))</f>
        <v/>
      </c>
      <c r="B114" s="37"/>
      <c r="C114" s="36"/>
      <c r="D114" s="38" t="str">
        <f>IF($B114="","",SUM(VLOOKUP($B114,DADOS!$C$2:$I1014,4,0)*$C114))</f>
        <v/>
      </c>
      <c r="E114" s="38" t="str">
        <f>IF($B114="","",SUM(VLOOKUP($B114,DADOS!$C$2:$I1014,6,0)*$C114))</f>
        <v/>
      </c>
      <c r="F114" s="39" t="str">
        <f>IF($E114="","",(VLOOKUP($B114,DADOS!$C$2:$I1014,7,0)))</f>
        <v/>
      </c>
      <c r="G114" s="40" t="str">
        <f t="shared" si="2"/>
        <v/>
      </c>
      <c r="H114" s="41"/>
      <c r="I114" s="42"/>
      <c r="J114" s="42"/>
      <c r="K114" s="42"/>
      <c r="L114" s="42"/>
      <c r="M114" s="42"/>
      <c r="N114" s="42"/>
      <c r="O114" s="42"/>
      <c r="P114" s="42"/>
      <c r="Q114" s="42"/>
      <c r="R114" s="42"/>
      <c r="S114" s="42"/>
      <c r="T114" s="42"/>
      <c r="U114" s="42"/>
      <c r="V114" s="42"/>
      <c r="W114" s="42"/>
      <c r="X114" s="42"/>
      <c r="Y114" s="42"/>
      <c r="Z114" s="42"/>
      <c r="AA114" s="42"/>
    </row>
    <row r="115">
      <c r="A115" s="36" t="str">
        <f>IF($B115="","",VLOOKUP($B115,DADOS!$C$2:$I1014,2,0))</f>
        <v/>
      </c>
      <c r="B115" s="37"/>
      <c r="C115" s="36"/>
      <c r="D115" s="38" t="str">
        <f>IF($B115="","",SUM(VLOOKUP($B115,DADOS!$C$2:$I1014,4,0)*$C115))</f>
        <v/>
      </c>
      <c r="E115" s="38" t="str">
        <f>IF($B115="","",SUM(VLOOKUP($B115,DADOS!$C$2:$I1014,6,0)*$C115))</f>
        <v/>
      </c>
      <c r="F115" s="39" t="str">
        <f>IF($E115="","",(VLOOKUP($B115,DADOS!$C$2:$I1014,7,0)))</f>
        <v/>
      </c>
      <c r="G115" s="40" t="str">
        <f t="shared" si="2"/>
        <v/>
      </c>
      <c r="H115" s="41"/>
      <c r="I115" s="42"/>
      <c r="J115" s="42"/>
      <c r="K115" s="42"/>
      <c r="L115" s="42"/>
      <c r="M115" s="42"/>
      <c r="N115" s="42"/>
      <c r="O115" s="42"/>
      <c r="P115" s="42"/>
      <c r="Q115" s="42"/>
      <c r="R115" s="42"/>
      <c r="S115" s="42"/>
      <c r="T115" s="42"/>
      <c r="U115" s="42"/>
      <c r="V115" s="42"/>
      <c r="W115" s="42"/>
      <c r="X115" s="42"/>
      <c r="Y115" s="42"/>
      <c r="Z115" s="42"/>
      <c r="AA115" s="42"/>
    </row>
    <row r="116">
      <c r="A116" s="36" t="str">
        <f>IF($B116="","",VLOOKUP($B116,DADOS!$C$2:$I1014,2,0))</f>
        <v/>
      </c>
      <c r="B116" s="37"/>
      <c r="C116" s="36"/>
      <c r="D116" s="38" t="str">
        <f>IF($B116="","",SUM(VLOOKUP($B116,DADOS!$C$2:$I1014,4,0)*$C116))</f>
        <v/>
      </c>
      <c r="E116" s="38" t="str">
        <f>IF($B116="","",SUM(VLOOKUP($B116,DADOS!$C$2:$I1014,6,0)*$C116))</f>
        <v/>
      </c>
      <c r="F116" s="39" t="str">
        <f>IF($E116="","",(VLOOKUP($B116,DADOS!$C$2:$I1014,7,0)))</f>
        <v/>
      </c>
      <c r="G116" s="40" t="str">
        <f t="shared" si="2"/>
        <v/>
      </c>
      <c r="H116" s="41"/>
      <c r="I116" s="42"/>
      <c r="J116" s="42"/>
      <c r="K116" s="42"/>
      <c r="L116" s="42"/>
      <c r="M116" s="42"/>
      <c r="N116" s="42"/>
      <c r="O116" s="42"/>
      <c r="P116" s="42"/>
      <c r="Q116" s="42"/>
      <c r="R116" s="42"/>
      <c r="S116" s="42"/>
      <c r="T116" s="42"/>
      <c r="U116" s="42"/>
      <c r="V116" s="42"/>
      <c r="W116" s="42"/>
      <c r="X116" s="42"/>
      <c r="Y116" s="42"/>
      <c r="Z116" s="42"/>
      <c r="AA116" s="42"/>
    </row>
    <row r="117">
      <c r="A117" s="36" t="str">
        <f>IF($B117="","",VLOOKUP($B117,DADOS!$C$2:$I1014,2,0))</f>
        <v/>
      </c>
      <c r="B117" s="37"/>
      <c r="C117" s="36"/>
      <c r="D117" s="38" t="str">
        <f>IF($B117="","",SUM(VLOOKUP($B117,DADOS!$C$2:$I1014,4,0)*$C117))</f>
        <v/>
      </c>
      <c r="E117" s="38" t="str">
        <f>IF($B117="","",SUM(VLOOKUP($B117,DADOS!$C$2:$I1014,6,0)*$C117))</f>
        <v/>
      </c>
      <c r="F117" s="39" t="str">
        <f>IF($E117="","",(VLOOKUP($B117,DADOS!$C$2:$I1014,7,0)))</f>
        <v/>
      </c>
      <c r="G117" s="40" t="str">
        <f t="shared" si="2"/>
        <v/>
      </c>
      <c r="H117" s="41"/>
      <c r="I117" s="42"/>
      <c r="J117" s="42"/>
      <c r="K117" s="42"/>
      <c r="L117" s="42"/>
      <c r="M117" s="42"/>
      <c r="N117" s="42"/>
      <c r="O117" s="42"/>
      <c r="P117" s="42"/>
      <c r="Q117" s="42"/>
      <c r="R117" s="42"/>
      <c r="S117" s="42"/>
      <c r="T117" s="42"/>
      <c r="U117" s="42"/>
      <c r="V117" s="42"/>
      <c r="W117" s="42"/>
      <c r="X117" s="42"/>
      <c r="Y117" s="42"/>
      <c r="Z117" s="42"/>
      <c r="AA117" s="42"/>
    </row>
    <row r="118">
      <c r="A118" s="36" t="str">
        <f>IF($B118="","",VLOOKUP($B118,DADOS!$C$2:$I1014,2,0))</f>
        <v/>
      </c>
      <c r="B118" s="37"/>
      <c r="C118" s="36"/>
      <c r="D118" s="38" t="str">
        <f>IF($B118="","",SUM(VLOOKUP($B118,DADOS!$C$2:$I1014,4,0)*$C118))</f>
        <v/>
      </c>
      <c r="E118" s="38" t="str">
        <f>IF($B118="","",SUM(VLOOKUP($B118,DADOS!$C$2:$I1014,6,0)*$C118))</f>
        <v/>
      </c>
      <c r="F118" s="39" t="str">
        <f>IF($E118="","",(VLOOKUP($B118,DADOS!$C$2:$I1014,7,0)))</f>
        <v/>
      </c>
      <c r="G118" s="40" t="str">
        <f t="shared" si="2"/>
        <v/>
      </c>
      <c r="H118" s="41"/>
      <c r="I118" s="42"/>
      <c r="J118" s="42"/>
      <c r="K118" s="42"/>
      <c r="L118" s="42"/>
      <c r="M118" s="42"/>
      <c r="N118" s="42"/>
      <c r="O118" s="42"/>
      <c r="P118" s="42"/>
      <c r="Q118" s="42"/>
      <c r="R118" s="42"/>
      <c r="S118" s="42"/>
      <c r="T118" s="42"/>
      <c r="U118" s="42"/>
      <c r="V118" s="42"/>
      <c r="W118" s="42"/>
      <c r="X118" s="42"/>
      <c r="Y118" s="42"/>
      <c r="Z118" s="42"/>
      <c r="AA118" s="42"/>
    </row>
    <row r="119">
      <c r="A119" s="36" t="str">
        <f>IF($B119="","",VLOOKUP($B119,DADOS!$C$2:$I1014,2,0))</f>
        <v/>
      </c>
      <c r="B119" s="37"/>
      <c r="C119" s="36"/>
      <c r="D119" s="38" t="str">
        <f>IF($B119="","",SUM(VLOOKUP($B119,DADOS!$C$2:$I1014,4,0)*$C119))</f>
        <v/>
      </c>
      <c r="E119" s="38" t="str">
        <f>IF($B119="","",SUM(VLOOKUP($B119,DADOS!$C$2:$I1014,6,0)*$C119))</f>
        <v/>
      </c>
      <c r="F119" s="39" t="str">
        <f>IF($E119="","",(VLOOKUP($B119,DADOS!$C$2:$I1014,7,0)))</f>
        <v/>
      </c>
      <c r="G119" s="40" t="str">
        <f t="shared" si="2"/>
        <v/>
      </c>
      <c r="H119" s="41"/>
      <c r="I119" s="42"/>
      <c r="J119" s="42"/>
      <c r="K119" s="42"/>
      <c r="L119" s="42"/>
      <c r="M119" s="42"/>
      <c r="N119" s="42"/>
      <c r="O119" s="42"/>
      <c r="P119" s="42"/>
      <c r="Q119" s="42"/>
      <c r="R119" s="42"/>
      <c r="S119" s="42"/>
      <c r="T119" s="42"/>
      <c r="U119" s="42"/>
      <c r="V119" s="42"/>
      <c r="W119" s="42"/>
      <c r="X119" s="42"/>
      <c r="Y119" s="42"/>
      <c r="Z119" s="42"/>
      <c r="AA119" s="42"/>
    </row>
    <row r="120">
      <c r="A120" s="36" t="str">
        <f>IF($B120="","",VLOOKUP($B120,DADOS!$C$2:$I1014,2,0))</f>
        <v/>
      </c>
      <c r="B120" s="37"/>
      <c r="C120" s="36"/>
      <c r="D120" s="38" t="str">
        <f>IF($B120="","",SUM(VLOOKUP($B120,DADOS!$C$2:$I1014,4,0)*$C120))</f>
        <v/>
      </c>
      <c r="E120" s="38" t="str">
        <f>IF($B120="","",SUM(VLOOKUP($B120,DADOS!$C$2:$I1014,6,0)*$C120))</f>
        <v/>
      </c>
      <c r="F120" s="39" t="str">
        <f>IF($E120="","",(VLOOKUP($B120,DADOS!$C$2:$I1014,7,0)))</f>
        <v/>
      </c>
      <c r="G120" s="40" t="str">
        <f t="shared" si="2"/>
        <v/>
      </c>
      <c r="H120" s="41"/>
      <c r="I120" s="42"/>
      <c r="J120" s="42"/>
      <c r="K120" s="42"/>
      <c r="L120" s="42"/>
      <c r="M120" s="42"/>
      <c r="N120" s="42"/>
      <c r="O120" s="42"/>
      <c r="P120" s="42"/>
      <c r="Q120" s="42"/>
      <c r="R120" s="42"/>
      <c r="S120" s="42"/>
      <c r="T120" s="42"/>
      <c r="U120" s="42"/>
      <c r="V120" s="42"/>
      <c r="W120" s="42"/>
      <c r="X120" s="42"/>
      <c r="Y120" s="42"/>
      <c r="Z120" s="42"/>
      <c r="AA120" s="42"/>
    </row>
    <row r="121">
      <c r="A121" s="36" t="str">
        <f>IF($B121="","",VLOOKUP($B121,DADOS!$C$2:$I1014,2,0))</f>
        <v/>
      </c>
      <c r="B121" s="37"/>
      <c r="C121" s="36"/>
      <c r="D121" s="38" t="str">
        <f>IF($B121="","",SUM(VLOOKUP($B121,DADOS!$C$2:$I1014,4,0)*$C121))</f>
        <v/>
      </c>
      <c r="E121" s="38" t="str">
        <f>IF($B121="","",SUM(VLOOKUP($B121,DADOS!$C$2:$I1014,6,0)*$C121))</f>
        <v/>
      </c>
      <c r="F121" s="39" t="str">
        <f>IF($E121="","",(VLOOKUP($B121,DADOS!$C$2:$I1014,7,0)))</f>
        <v/>
      </c>
      <c r="G121" s="40" t="str">
        <f t="shared" si="2"/>
        <v/>
      </c>
      <c r="H121" s="41"/>
      <c r="I121" s="42"/>
      <c r="J121" s="42"/>
      <c r="K121" s="42"/>
      <c r="L121" s="42"/>
      <c r="M121" s="42"/>
      <c r="N121" s="42"/>
      <c r="O121" s="42"/>
      <c r="P121" s="42"/>
      <c r="Q121" s="42"/>
      <c r="R121" s="42"/>
      <c r="S121" s="42"/>
      <c r="T121" s="42"/>
      <c r="U121" s="42"/>
      <c r="V121" s="42"/>
      <c r="W121" s="42"/>
      <c r="X121" s="42"/>
      <c r="Y121" s="42"/>
      <c r="Z121" s="42"/>
      <c r="AA121" s="42"/>
    </row>
    <row r="122">
      <c r="A122" s="36" t="str">
        <f>IF($B122="","",VLOOKUP($B122,DADOS!$C$2:$I1014,2,0))</f>
        <v/>
      </c>
      <c r="B122" s="37"/>
      <c r="C122" s="36"/>
      <c r="D122" s="38" t="str">
        <f>IF($B122="","",SUM(VLOOKUP($B122,DADOS!$C$2:$I1014,4,0)*$C122))</f>
        <v/>
      </c>
      <c r="E122" s="38" t="str">
        <f>IF($B122="","",SUM(VLOOKUP($B122,DADOS!$C$2:$I1014,6,0)*$C122))</f>
        <v/>
      </c>
      <c r="F122" s="39" t="str">
        <f>IF($E122="","",(VLOOKUP($B122,DADOS!$C$2:$I1014,7,0)))</f>
        <v/>
      </c>
      <c r="G122" s="40" t="str">
        <f t="shared" si="2"/>
        <v/>
      </c>
      <c r="H122" s="41"/>
      <c r="I122" s="42"/>
      <c r="J122" s="42"/>
      <c r="K122" s="42"/>
      <c r="L122" s="42"/>
      <c r="M122" s="42"/>
      <c r="N122" s="42"/>
      <c r="O122" s="42"/>
      <c r="P122" s="42"/>
      <c r="Q122" s="42"/>
      <c r="R122" s="42"/>
      <c r="S122" s="42"/>
      <c r="T122" s="42"/>
      <c r="U122" s="42"/>
      <c r="V122" s="42"/>
      <c r="W122" s="42"/>
      <c r="X122" s="42"/>
      <c r="Y122" s="42"/>
      <c r="Z122" s="42"/>
      <c r="AA122" s="42"/>
    </row>
    <row r="123">
      <c r="A123" s="36" t="str">
        <f>IF($B123="","",VLOOKUP($B123,DADOS!$C$2:$I1014,2,0))</f>
        <v/>
      </c>
      <c r="B123" s="37"/>
      <c r="C123" s="36"/>
      <c r="D123" s="38" t="str">
        <f>IF($B123="","",SUM(VLOOKUP($B123,DADOS!$C$2:$I1014,4,0)*$C123))</f>
        <v/>
      </c>
      <c r="E123" s="38" t="str">
        <f>IF($B123="","",SUM(VLOOKUP($B123,DADOS!$C$2:$I1014,6,0)*$C123))</f>
        <v/>
      </c>
      <c r="F123" s="39" t="str">
        <f>IF($E123="","",(VLOOKUP($B123,DADOS!$C$2:$I1014,7,0)))</f>
        <v/>
      </c>
      <c r="G123" s="40" t="str">
        <f t="shared" si="2"/>
        <v/>
      </c>
      <c r="H123" s="41"/>
      <c r="I123" s="42"/>
      <c r="J123" s="42"/>
      <c r="K123" s="42"/>
      <c r="L123" s="42"/>
      <c r="M123" s="42"/>
      <c r="N123" s="42"/>
      <c r="O123" s="42"/>
      <c r="P123" s="42"/>
      <c r="Q123" s="42"/>
      <c r="R123" s="42"/>
      <c r="S123" s="42"/>
      <c r="T123" s="42"/>
      <c r="U123" s="42"/>
      <c r="V123" s="42"/>
      <c r="W123" s="42"/>
      <c r="X123" s="42"/>
      <c r="Y123" s="42"/>
      <c r="Z123" s="42"/>
      <c r="AA123" s="42"/>
    </row>
    <row r="124">
      <c r="A124" s="36" t="str">
        <f>IF($B124="","",VLOOKUP($B124,DADOS!$C$2:$I1014,2,0))</f>
        <v/>
      </c>
      <c r="B124" s="37"/>
      <c r="C124" s="36"/>
      <c r="D124" s="38" t="str">
        <f>IF($B124="","",SUM(VLOOKUP($B124,DADOS!$C$2:$I1014,4,0)*$C124))</f>
        <v/>
      </c>
      <c r="E124" s="38" t="str">
        <f>IF($B124="","",SUM(VLOOKUP($B124,DADOS!$C$2:$I1014,6,0)*$C124))</f>
        <v/>
      </c>
      <c r="F124" s="39" t="str">
        <f>IF($E124="","",(VLOOKUP($B124,DADOS!$C$2:$I1014,7,0)))</f>
        <v/>
      </c>
      <c r="G124" s="40" t="str">
        <f t="shared" si="2"/>
        <v/>
      </c>
      <c r="H124" s="41"/>
      <c r="I124" s="42"/>
      <c r="J124" s="42"/>
      <c r="K124" s="42"/>
      <c r="L124" s="42"/>
      <c r="M124" s="42"/>
      <c r="N124" s="42"/>
      <c r="O124" s="42"/>
      <c r="P124" s="42"/>
      <c r="Q124" s="42"/>
      <c r="R124" s="42"/>
      <c r="S124" s="42"/>
      <c r="T124" s="42"/>
      <c r="U124" s="42"/>
      <c r="V124" s="42"/>
      <c r="W124" s="42"/>
      <c r="X124" s="42"/>
      <c r="Y124" s="42"/>
      <c r="Z124" s="42"/>
      <c r="AA124" s="42"/>
    </row>
    <row r="125">
      <c r="A125" s="36" t="str">
        <f>IF($B125="","",VLOOKUP($B125,DADOS!$C$2:$I1014,2,0))</f>
        <v/>
      </c>
      <c r="B125" s="37"/>
      <c r="C125" s="36"/>
      <c r="D125" s="38" t="str">
        <f>IF($B125="","",SUM(VLOOKUP($B125,DADOS!$C$2:$I1014,4,0)*$C125))</f>
        <v/>
      </c>
      <c r="E125" s="38" t="str">
        <f>IF($B125="","",SUM(VLOOKUP($B125,DADOS!$C$2:$I1014,6,0)*$C125))</f>
        <v/>
      </c>
      <c r="F125" s="39" t="str">
        <f>IF($E125="","",(VLOOKUP($B125,DADOS!$C$2:$I1014,7,0)))</f>
        <v/>
      </c>
      <c r="G125" s="40" t="str">
        <f t="shared" si="2"/>
        <v/>
      </c>
      <c r="H125" s="41"/>
      <c r="I125" s="42"/>
      <c r="J125" s="42"/>
      <c r="K125" s="42"/>
      <c r="L125" s="42"/>
      <c r="M125" s="42"/>
      <c r="N125" s="42"/>
      <c r="O125" s="42"/>
      <c r="P125" s="42"/>
      <c r="Q125" s="42"/>
      <c r="R125" s="42"/>
      <c r="S125" s="42"/>
      <c r="T125" s="42"/>
      <c r="U125" s="42"/>
      <c r="V125" s="42"/>
      <c r="W125" s="42"/>
      <c r="X125" s="42"/>
      <c r="Y125" s="42"/>
      <c r="Z125" s="42"/>
      <c r="AA125" s="42"/>
    </row>
    <row r="126">
      <c r="A126" s="36" t="str">
        <f>IF($B126="","",VLOOKUP($B126,DADOS!$C$2:$I1014,2,0))</f>
        <v/>
      </c>
      <c r="B126" s="37"/>
      <c r="C126" s="36"/>
      <c r="D126" s="38" t="str">
        <f>IF($B126="","",SUM(VLOOKUP($B126,DADOS!$C$2:$I1014,4,0)*$C126))</f>
        <v/>
      </c>
      <c r="E126" s="38" t="str">
        <f>IF($B126="","",SUM(VLOOKUP($B126,DADOS!$C$2:$I1014,6,0)*$C126))</f>
        <v/>
      </c>
      <c r="F126" s="39" t="str">
        <f>IF($E126="","",(VLOOKUP($B126,DADOS!$C$2:$I1014,7,0)))</f>
        <v/>
      </c>
      <c r="G126" s="40" t="str">
        <f t="shared" si="2"/>
        <v/>
      </c>
      <c r="H126" s="41"/>
      <c r="I126" s="42"/>
      <c r="J126" s="42"/>
      <c r="K126" s="42"/>
      <c r="L126" s="42"/>
      <c r="M126" s="42"/>
      <c r="N126" s="42"/>
      <c r="O126" s="42"/>
      <c r="P126" s="42"/>
      <c r="Q126" s="42"/>
      <c r="R126" s="42"/>
      <c r="S126" s="42"/>
      <c r="T126" s="42"/>
      <c r="U126" s="42"/>
      <c r="V126" s="42"/>
      <c r="W126" s="42"/>
      <c r="X126" s="42"/>
      <c r="Y126" s="42"/>
      <c r="Z126" s="42"/>
      <c r="AA126" s="42"/>
    </row>
    <row r="127">
      <c r="A127" s="36" t="str">
        <f>IF($B127="","",VLOOKUP($B127,DADOS!$C$2:$I1014,2,0))</f>
        <v/>
      </c>
      <c r="B127" s="37"/>
      <c r="C127" s="36"/>
      <c r="D127" s="38" t="str">
        <f>IF($B127="","",SUM(VLOOKUP($B127,DADOS!$C$2:$I1014,4,0)*$C127))</f>
        <v/>
      </c>
      <c r="E127" s="38" t="str">
        <f>IF($B127="","",SUM(VLOOKUP($B127,DADOS!$C$2:$I1014,6,0)*$C127))</f>
        <v/>
      </c>
      <c r="F127" s="39" t="str">
        <f>IF($E127="","",(VLOOKUP($B127,DADOS!$C$2:$I1014,7,0)))</f>
        <v/>
      </c>
      <c r="G127" s="40" t="str">
        <f t="shared" si="2"/>
        <v/>
      </c>
      <c r="H127" s="41"/>
      <c r="I127" s="42"/>
      <c r="J127" s="42"/>
      <c r="K127" s="42"/>
      <c r="L127" s="42"/>
      <c r="M127" s="42"/>
      <c r="N127" s="42"/>
      <c r="O127" s="42"/>
      <c r="P127" s="42"/>
      <c r="Q127" s="42"/>
      <c r="R127" s="42"/>
      <c r="S127" s="42"/>
      <c r="T127" s="42"/>
      <c r="U127" s="42"/>
      <c r="V127" s="42"/>
      <c r="W127" s="42"/>
      <c r="X127" s="42"/>
      <c r="Y127" s="42"/>
      <c r="Z127" s="42"/>
      <c r="AA127" s="42"/>
    </row>
    <row r="128">
      <c r="A128" s="36" t="str">
        <f>IF($B128="","",VLOOKUP($B128,DADOS!$C$2:$I1014,2,0))</f>
        <v/>
      </c>
      <c r="B128" s="37"/>
      <c r="C128" s="36"/>
      <c r="D128" s="38" t="str">
        <f>IF($B128="","",SUM(VLOOKUP($B128,DADOS!$C$2:$I1014,4,0)*$C128))</f>
        <v/>
      </c>
      <c r="E128" s="38" t="str">
        <f>IF($B128="","",SUM(VLOOKUP($B128,DADOS!$C$2:$I1014,6,0)*$C128))</f>
        <v/>
      </c>
      <c r="F128" s="39" t="str">
        <f>IF($E128="","",(VLOOKUP($B128,DADOS!$C$2:$I1014,7,0)))</f>
        <v/>
      </c>
      <c r="G128" s="40" t="str">
        <f t="shared" si="2"/>
        <v/>
      </c>
      <c r="H128" s="41"/>
      <c r="I128" s="42"/>
      <c r="J128" s="42"/>
      <c r="K128" s="42"/>
      <c r="L128" s="42"/>
      <c r="M128" s="42"/>
      <c r="N128" s="42"/>
      <c r="O128" s="42"/>
      <c r="P128" s="42"/>
      <c r="Q128" s="42"/>
      <c r="R128" s="42"/>
      <c r="S128" s="42"/>
      <c r="T128" s="42"/>
      <c r="U128" s="42"/>
      <c r="V128" s="42"/>
      <c r="W128" s="42"/>
      <c r="X128" s="42"/>
      <c r="Y128" s="42"/>
      <c r="Z128" s="42"/>
      <c r="AA128" s="42"/>
    </row>
    <row r="129">
      <c r="A129" s="36" t="str">
        <f>IF($B129="","",VLOOKUP($B129,DADOS!$C$2:$I1014,2,0))</f>
        <v/>
      </c>
      <c r="B129" s="37"/>
      <c r="C129" s="36"/>
      <c r="D129" s="38" t="str">
        <f>IF($B129="","",SUM(VLOOKUP($B129,DADOS!$C$2:$I1014,4,0)*$C129))</f>
        <v/>
      </c>
      <c r="E129" s="38" t="str">
        <f>IF($B129="","",SUM(VLOOKUP($B129,DADOS!$C$2:$I1014,6,0)*$C129))</f>
        <v/>
      </c>
      <c r="F129" s="39" t="str">
        <f>IF($E129="","",(VLOOKUP($B129,DADOS!$C$2:$I1014,7,0)))</f>
        <v/>
      </c>
      <c r="G129" s="40" t="str">
        <f t="shared" si="2"/>
        <v/>
      </c>
      <c r="H129" s="41"/>
      <c r="I129" s="42"/>
      <c r="J129" s="42"/>
      <c r="K129" s="42"/>
      <c r="L129" s="42"/>
      <c r="M129" s="42"/>
      <c r="N129" s="42"/>
      <c r="O129" s="42"/>
      <c r="P129" s="42"/>
      <c r="Q129" s="42"/>
      <c r="R129" s="42"/>
      <c r="S129" s="42"/>
      <c r="T129" s="42"/>
      <c r="U129" s="42"/>
      <c r="V129" s="42"/>
      <c r="W129" s="42"/>
      <c r="X129" s="42"/>
      <c r="Y129" s="42"/>
      <c r="Z129" s="42"/>
      <c r="AA129" s="42"/>
    </row>
    <row r="130">
      <c r="A130" s="36" t="str">
        <f>IF($B130="","",VLOOKUP($B130,DADOS!$C$2:$I1014,2,0))</f>
        <v/>
      </c>
      <c r="B130" s="37"/>
      <c r="C130" s="36"/>
      <c r="D130" s="38" t="str">
        <f>IF($B130="","",SUM(VLOOKUP($B130,DADOS!$C$2:$I1014,4,0)*$C130))</f>
        <v/>
      </c>
      <c r="E130" s="38" t="str">
        <f>IF($B130="","",SUM(VLOOKUP($B130,DADOS!$C$2:$I1014,6,0)*$C130))</f>
        <v/>
      </c>
      <c r="F130" s="39" t="str">
        <f>IF($E130="","",(VLOOKUP($B130,DADOS!$C$2:$I1014,7,0)))</f>
        <v/>
      </c>
      <c r="G130" s="40" t="str">
        <f t="shared" si="2"/>
        <v/>
      </c>
      <c r="H130" s="41"/>
      <c r="I130" s="42"/>
      <c r="J130" s="42"/>
      <c r="K130" s="42"/>
      <c r="L130" s="42"/>
      <c r="M130" s="42"/>
      <c r="N130" s="42"/>
      <c r="O130" s="42"/>
      <c r="P130" s="42"/>
      <c r="Q130" s="42"/>
      <c r="R130" s="42"/>
      <c r="S130" s="42"/>
      <c r="T130" s="42"/>
      <c r="U130" s="42"/>
      <c r="V130" s="42"/>
      <c r="W130" s="42"/>
      <c r="X130" s="42"/>
      <c r="Y130" s="42"/>
      <c r="Z130" s="42"/>
      <c r="AA130" s="42"/>
    </row>
    <row r="131">
      <c r="A131" s="36" t="str">
        <f>IF($B131="","",VLOOKUP($B131,DADOS!$C$2:$I1014,2,0))</f>
        <v/>
      </c>
      <c r="B131" s="37"/>
      <c r="C131" s="36"/>
      <c r="D131" s="38" t="str">
        <f>IF($B131="","",SUM(VLOOKUP($B131,DADOS!$C$2:$I1014,4,0)*$C131))</f>
        <v/>
      </c>
      <c r="E131" s="38" t="str">
        <f>IF($B131="","",SUM(VLOOKUP($B131,DADOS!$C$2:$I1014,6,0)*$C131))</f>
        <v/>
      </c>
      <c r="F131" s="39" t="str">
        <f>IF($E131="","",(VLOOKUP($B131,DADOS!$C$2:$I1014,7,0)))</f>
        <v/>
      </c>
      <c r="G131" s="40" t="str">
        <f t="shared" si="2"/>
        <v/>
      </c>
      <c r="H131" s="41"/>
      <c r="I131" s="42"/>
      <c r="J131" s="42"/>
      <c r="K131" s="42"/>
      <c r="L131" s="42"/>
      <c r="M131" s="42"/>
      <c r="N131" s="42"/>
      <c r="O131" s="42"/>
      <c r="P131" s="42"/>
      <c r="Q131" s="42"/>
      <c r="R131" s="42"/>
      <c r="S131" s="42"/>
      <c r="T131" s="42"/>
      <c r="U131" s="42"/>
      <c r="V131" s="42"/>
      <c r="W131" s="42"/>
      <c r="X131" s="42"/>
      <c r="Y131" s="42"/>
      <c r="Z131" s="42"/>
      <c r="AA131" s="42"/>
    </row>
    <row r="132">
      <c r="A132" s="36" t="str">
        <f>IF($B132="","",VLOOKUP($B132,DADOS!$C$2:$I1014,2,0))</f>
        <v/>
      </c>
      <c r="B132" s="37"/>
      <c r="C132" s="36"/>
      <c r="D132" s="38" t="str">
        <f>IF($B132="","",SUM(VLOOKUP($B132,DADOS!$C$2:$I1014,4,0)*$C132))</f>
        <v/>
      </c>
      <c r="E132" s="38" t="str">
        <f>IF($B132="","",SUM(VLOOKUP($B132,DADOS!$C$2:$I1014,6,0)*$C132))</f>
        <v/>
      </c>
      <c r="F132" s="39" t="str">
        <f>IF($E132="","",(VLOOKUP($B132,DADOS!$C$2:$I1014,7,0)))</f>
        <v/>
      </c>
      <c r="G132" s="40" t="str">
        <f t="shared" si="2"/>
        <v/>
      </c>
      <c r="H132" s="41"/>
      <c r="I132" s="42"/>
      <c r="J132" s="42"/>
      <c r="K132" s="42"/>
      <c r="L132" s="42"/>
      <c r="M132" s="42"/>
      <c r="N132" s="42"/>
      <c r="O132" s="42"/>
      <c r="P132" s="42"/>
      <c r="Q132" s="42"/>
      <c r="R132" s="42"/>
      <c r="S132" s="42"/>
      <c r="T132" s="42"/>
      <c r="U132" s="42"/>
      <c r="V132" s="42"/>
      <c r="W132" s="42"/>
      <c r="X132" s="42"/>
      <c r="Y132" s="42"/>
      <c r="Z132" s="42"/>
      <c r="AA132" s="42"/>
    </row>
    <row r="133">
      <c r="A133" s="36" t="str">
        <f>IF($B133="","",VLOOKUP($B133,DADOS!$C$2:$I1014,2,0))</f>
        <v/>
      </c>
      <c r="B133" s="37"/>
      <c r="C133" s="36"/>
      <c r="D133" s="38" t="str">
        <f>IF($B133="","",SUM(VLOOKUP($B133,DADOS!$C$2:$I1014,4,0)*$C133))</f>
        <v/>
      </c>
      <c r="E133" s="38" t="str">
        <f>IF($B133="","",SUM(VLOOKUP($B133,DADOS!$C$2:$I1014,6,0)*$C133))</f>
        <v/>
      </c>
      <c r="F133" s="39" t="str">
        <f>IF($E133="","",(VLOOKUP($B133,DADOS!$C$2:$I1014,7,0)))</f>
        <v/>
      </c>
      <c r="G133" s="40" t="str">
        <f t="shared" si="2"/>
        <v/>
      </c>
      <c r="H133" s="41"/>
      <c r="I133" s="42"/>
      <c r="J133" s="42"/>
      <c r="K133" s="42"/>
      <c r="L133" s="42"/>
      <c r="M133" s="42"/>
      <c r="N133" s="42"/>
      <c r="O133" s="42"/>
      <c r="P133" s="42"/>
      <c r="Q133" s="42"/>
      <c r="R133" s="42"/>
      <c r="S133" s="42"/>
      <c r="T133" s="42"/>
      <c r="U133" s="42"/>
      <c r="V133" s="42"/>
      <c r="W133" s="42"/>
      <c r="X133" s="42"/>
      <c r="Y133" s="42"/>
      <c r="Z133" s="42"/>
      <c r="AA133" s="42"/>
    </row>
    <row r="134">
      <c r="A134" s="36" t="str">
        <f>IF($B134="","",VLOOKUP($B134,DADOS!$C$2:$I1014,2,0))</f>
        <v/>
      </c>
      <c r="B134" s="37"/>
      <c r="C134" s="36"/>
      <c r="D134" s="38" t="str">
        <f>IF($B134="","",SUM(VLOOKUP($B134,DADOS!$C$2:$I1014,4,0)*$C134))</f>
        <v/>
      </c>
      <c r="E134" s="38" t="str">
        <f>IF($B134="","",SUM(VLOOKUP($B134,DADOS!$C$2:$I1014,6,0)*$C134))</f>
        <v/>
      </c>
      <c r="F134" s="39" t="str">
        <f>IF($E134="","",(VLOOKUP($B134,DADOS!$C$2:$I1014,7,0)))</f>
        <v/>
      </c>
      <c r="G134" s="40" t="str">
        <f t="shared" si="2"/>
        <v/>
      </c>
      <c r="H134" s="41"/>
      <c r="I134" s="42"/>
      <c r="J134" s="42"/>
      <c r="K134" s="42"/>
      <c r="L134" s="42"/>
      <c r="M134" s="42"/>
      <c r="N134" s="42"/>
      <c r="O134" s="42"/>
      <c r="P134" s="42"/>
      <c r="Q134" s="42"/>
      <c r="R134" s="42"/>
      <c r="S134" s="42"/>
      <c r="T134" s="42"/>
      <c r="U134" s="42"/>
      <c r="V134" s="42"/>
      <c r="W134" s="42"/>
      <c r="X134" s="42"/>
      <c r="Y134" s="42"/>
      <c r="Z134" s="42"/>
      <c r="AA134" s="42"/>
    </row>
    <row r="135">
      <c r="A135" s="36" t="str">
        <f>IF($B135="","",VLOOKUP($B135,DADOS!$C$2:$I1014,2,0))</f>
        <v/>
      </c>
      <c r="B135" s="37"/>
      <c r="C135" s="36"/>
      <c r="D135" s="38" t="str">
        <f>IF($B135="","",SUM(VLOOKUP($B135,DADOS!$C$2:$I1014,4,0)*$C135))</f>
        <v/>
      </c>
      <c r="E135" s="38" t="str">
        <f>IF($B135="","",SUM(VLOOKUP($B135,DADOS!$C$2:$I1014,6,0)*$C135))</f>
        <v/>
      </c>
      <c r="F135" s="39" t="str">
        <f>IF($E135="","",(VLOOKUP($B135,DADOS!$C$2:$I1014,7,0)))</f>
        <v/>
      </c>
      <c r="G135" s="40" t="str">
        <f t="shared" si="2"/>
        <v/>
      </c>
      <c r="H135" s="41"/>
      <c r="I135" s="42"/>
      <c r="J135" s="42"/>
      <c r="K135" s="42"/>
      <c r="L135" s="42"/>
      <c r="M135" s="42"/>
      <c r="N135" s="42"/>
      <c r="O135" s="42"/>
      <c r="P135" s="42"/>
      <c r="Q135" s="42"/>
      <c r="R135" s="42"/>
      <c r="S135" s="42"/>
      <c r="T135" s="42"/>
      <c r="U135" s="42"/>
      <c r="V135" s="42"/>
      <c r="W135" s="42"/>
      <c r="X135" s="42"/>
      <c r="Y135" s="42"/>
      <c r="Z135" s="42"/>
      <c r="AA135" s="42"/>
    </row>
    <row r="136">
      <c r="A136" s="36" t="str">
        <f>IF($B136="","",VLOOKUP($B136,DADOS!$C$2:$I1014,2,0))</f>
        <v/>
      </c>
      <c r="B136" s="37"/>
      <c r="C136" s="36"/>
      <c r="D136" s="38" t="str">
        <f>IF($B136="","",SUM(VLOOKUP($B136,DADOS!$C$2:$I1014,4,0)*$C136))</f>
        <v/>
      </c>
      <c r="E136" s="38" t="str">
        <f>IF($B136="","",SUM(VLOOKUP($B136,DADOS!$C$2:$I1014,6,0)*$C136))</f>
        <v/>
      </c>
      <c r="F136" s="39" t="str">
        <f>IF($E136="","",(VLOOKUP($B136,DADOS!$C$2:$I1014,7,0)))</f>
        <v/>
      </c>
      <c r="G136" s="40" t="str">
        <f t="shared" si="2"/>
        <v/>
      </c>
      <c r="H136" s="41"/>
      <c r="I136" s="42"/>
      <c r="J136" s="42"/>
      <c r="K136" s="42"/>
      <c r="L136" s="42"/>
      <c r="M136" s="42"/>
      <c r="N136" s="42"/>
      <c r="O136" s="42"/>
      <c r="P136" s="42"/>
      <c r="Q136" s="42"/>
      <c r="R136" s="42"/>
      <c r="S136" s="42"/>
      <c r="T136" s="42"/>
      <c r="U136" s="42"/>
      <c r="V136" s="42"/>
      <c r="W136" s="42"/>
      <c r="X136" s="42"/>
      <c r="Y136" s="42"/>
      <c r="Z136" s="42"/>
      <c r="AA136" s="42"/>
    </row>
    <row r="137">
      <c r="A137" s="36" t="str">
        <f>IF($B137="","",VLOOKUP($B137,DADOS!$C$2:$I1014,2,0))</f>
        <v/>
      </c>
      <c r="B137" s="37"/>
      <c r="C137" s="36"/>
      <c r="D137" s="38" t="str">
        <f>IF($B137="","",SUM(VLOOKUP($B137,DADOS!$C$2:$I1014,4,0)*$C137))</f>
        <v/>
      </c>
      <c r="E137" s="38" t="str">
        <f>IF($B137="","",SUM(VLOOKUP($B137,DADOS!$C$2:$I1014,6,0)*$C137))</f>
        <v/>
      </c>
      <c r="F137" s="39" t="str">
        <f>IF($E137="","",(VLOOKUP($B137,DADOS!$C$2:$I1014,7,0)))</f>
        <v/>
      </c>
      <c r="G137" s="40" t="str">
        <f t="shared" si="2"/>
        <v/>
      </c>
      <c r="H137" s="41"/>
      <c r="I137" s="42"/>
      <c r="J137" s="42"/>
      <c r="K137" s="42"/>
      <c r="L137" s="42"/>
      <c r="M137" s="42"/>
      <c r="N137" s="42"/>
      <c r="O137" s="42"/>
      <c r="P137" s="42"/>
      <c r="Q137" s="42"/>
      <c r="R137" s="42"/>
      <c r="S137" s="42"/>
      <c r="T137" s="42"/>
      <c r="U137" s="42"/>
      <c r="V137" s="42"/>
      <c r="W137" s="42"/>
      <c r="X137" s="42"/>
      <c r="Y137" s="42"/>
      <c r="Z137" s="42"/>
      <c r="AA137" s="42"/>
    </row>
    <row r="138">
      <c r="A138" s="36" t="str">
        <f>IF($B138="","",VLOOKUP($B138,DADOS!$C$2:$I1014,2,0))</f>
        <v/>
      </c>
      <c r="B138" s="37"/>
      <c r="C138" s="36"/>
      <c r="D138" s="38" t="str">
        <f>IF($B138="","",SUM(VLOOKUP($B138,DADOS!$C$2:$I1014,4,0)*$C138))</f>
        <v/>
      </c>
      <c r="E138" s="38" t="str">
        <f>IF($B138="","",SUM(VLOOKUP($B138,DADOS!$C$2:$I1014,6,0)*$C138))</f>
        <v/>
      </c>
      <c r="F138" s="39" t="str">
        <f>IF($E138="","",(VLOOKUP($B138,DADOS!$C$2:$I1014,7,0)))</f>
        <v/>
      </c>
      <c r="G138" s="40" t="str">
        <f t="shared" si="2"/>
        <v/>
      </c>
      <c r="H138" s="41"/>
      <c r="I138" s="42"/>
      <c r="J138" s="42"/>
      <c r="K138" s="42"/>
      <c r="L138" s="42"/>
      <c r="M138" s="42"/>
      <c r="N138" s="42"/>
      <c r="O138" s="42"/>
      <c r="P138" s="42"/>
      <c r="Q138" s="42"/>
      <c r="R138" s="42"/>
      <c r="S138" s="42"/>
      <c r="T138" s="42"/>
      <c r="U138" s="42"/>
      <c r="V138" s="42"/>
      <c r="W138" s="42"/>
      <c r="X138" s="42"/>
      <c r="Y138" s="42"/>
      <c r="Z138" s="42"/>
      <c r="AA138" s="42"/>
    </row>
    <row r="139">
      <c r="A139" s="36" t="str">
        <f>IF($B139="","",VLOOKUP($B139,DADOS!$C$2:$I1014,2,0))</f>
        <v/>
      </c>
      <c r="B139" s="37"/>
      <c r="C139" s="36"/>
      <c r="D139" s="38" t="str">
        <f>IF($B139="","",SUM(VLOOKUP($B139,DADOS!$C$2:$I1014,4,0)*$C139))</f>
        <v/>
      </c>
      <c r="E139" s="38" t="str">
        <f>IF($B139="","",SUM(VLOOKUP($B139,DADOS!$C$2:$I1014,6,0)*$C139))</f>
        <v/>
      </c>
      <c r="F139" s="39" t="str">
        <f>IF($E139="","",(VLOOKUP($B139,DADOS!$C$2:$I1014,7,0)))</f>
        <v/>
      </c>
      <c r="G139" s="40" t="str">
        <f t="shared" si="2"/>
        <v/>
      </c>
      <c r="H139" s="41"/>
      <c r="I139" s="42"/>
      <c r="J139" s="42"/>
      <c r="K139" s="42"/>
      <c r="L139" s="42"/>
      <c r="M139" s="42"/>
      <c r="N139" s="42"/>
      <c r="O139" s="42"/>
      <c r="P139" s="42"/>
      <c r="Q139" s="42"/>
      <c r="R139" s="42"/>
      <c r="S139" s="42"/>
      <c r="T139" s="42"/>
      <c r="U139" s="42"/>
      <c r="V139" s="42"/>
      <c r="W139" s="42"/>
      <c r="X139" s="42"/>
      <c r="Y139" s="42"/>
      <c r="Z139" s="42"/>
      <c r="AA139" s="42"/>
    </row>
    <row r="140">
      <c r="A140" s="36" t="str">
        <f>IF($B140="","",VLOOKUP($B140,DADOS!$C$2:$I1014,2,0))</f>
        <v/>
      </c>
      <c r="B140" s="37"/>
      <c r="C140" s="36"/>
      <c r="D140" s="38" t="str">
        <f>IF($B140="","",SUM(VLOOKUP($B140,DADOS!$C$2:$I1014,4,0)*$C140))</f>
        <v/>
      </c>
      <c r="E140" s="38" t="str">
        <f>IF($B140="","",SUM(VLOOKUP($B140,DADOS!$C$2:$I1014,6,0)*$C140))</f>
        <v/>
      </c>
      <c r="F140" s="39" t="str">
        <f>IF($E140="","",(VLOOKUP($B140,DADOS!$C$2:$I1014,7,0)))</f>
        <v/>
      </c>
      <c r="G140" s="40" t="str">
        <f t="shared" si="2"/>
        <v/>
      </c>
      <c r="H140" s="41"/>
      <c r="I140" s="42"/>
      <c r="J140" s="42"/>
      <c r="K140" s="42"/>
      <c r="L140" s="42"/>
      <c r="M140" s="42"/>
      <c r="N140" s="42"/>
      <c r="O140" s="42"/>
      <c r="P140" s="42"/>
      <c r="Q140" s="42"/>
      <c r="R140" s="42"/>
      <c r="S140" s="42"/>
      <c r="T140" s="42"/>
      <c r="U140" s="42"/>
      <c r="V140" s="42"/>
      <c r="W140" s="42"/>
      <c r="X140" s="42"/>
      <c r="Y140" s="42"/>
      <c r="Z140" s="42"/>
      <c r="AA140" s="42"/>
    </row>
    <row r="141">
      <c r="A141" s="36" t="str">
        <f>IF($B141="","",VLOOKUP($B141,DADOS!$C$2:$I1014,2,0))</f>
        <v/>
      </c>
      <c r="B141" s="37"/>
      <c r="C141" s="36"/>
      <c r="D141" s="38" t="str">
        <f>IF($B141="","",SUM(VLOOKUP($B141,DADOS!$C$2:$I1014,4,0)*$C141))</f>
        <v/>
      </c>
      <c r="E141" s="38" t="str">
        <f>IF($B141="","",SUM(VLOOKUP($B141,DADOS!$C$2:$I1014,6,0)*$C141))</f>
        <v/>
      </c>
      <c r="F141" s="39" t="str">
        <f>IF($E141="","",(VLOOKUP($B141,DADOS!$C$2:$I1014,7,0)))</f>
        <v/>
      </c>
      <c r="G141" s="40" t="str">
        <f t="shared" si="2"/>
        <v/>
      </c>
      <c r="H141" s="41"/>
      <c r="I141" s="42"/>
      <c r="J141" s="42"/>
      <c r="K141" s="42"/>
      <c r="L141" s="42"/>
      <c r="M141" s="42"/>
      <c r="N141" s="42"/>
      <c r="O141" s="42"/>
      <c r="P141" s="42"/>
      <c r="Q141" s="42"/>
      <c r="R141" s="42"/>
      <c r="S141" s="42"/>
      <c r="T141" s="42"/>
      <c r="U141" s="42"/>
      <c r="V141" s="42"/>
      <c r="W141" s="42"/>
      <c r="X141" s="42"/>
      <c r="Y141" s="42"/>
      <c r="Z141" s="42"/>
      <c r="AA141" s="42"/>
    </row>
    <row r="142">
      <c r="A142" s="36" t="str">
        <f>IF($B142="","",VLOOKUP($B142,DADOS!$C$2:$I1014,2,0))</f>
        <v/>
      </c>
      <c r="B142" s="37"/>
      <c r="C142" s="36"/>
      <c r="D142" s="38" t="str">
        <f>IF($B142="","",SUM(VLOOKUP($B142,DADOS!$C$2:$I1014,4,0)*$C142))</f>
        <v/>
      </c>
      <c r="E142" s="38" t="str">
        <f>IF($B142="","",SUM(VLOOKUP($B142,DADOS!$C$2:$I1014,6,0)*$C142))</f>
        <v/>
      </c>
      <c r="F142" s="39" t="str">
        <f>IF($E142="","",(VLOOKUP($B142,DADOS!$C$2:$I1014,7,0)))</f>
        <v/>
      </c>
      <c r="G142" s="40" t="str">
        <f t="shared" si="2"/>
        <v/>
      </c>
      <c r="H142" s="41"/>
      <c r="I142" s="42"/>
      <c r="J142" s="42"/>
      <c r="K142" s="42"/>
      <c r="L142" s="42"/>
      <c r="M142" s="42"/>
      <c r="N142" s="42"/>
      <c r="O142" s="42"/>
      <c r="P142" s="42"/>
      <c r="Q142" s="42"/>
      <c r="R142" s="42"/>
      <c r="S142" s="42"/>
      <c r="T142" s="42"/>
      <c r="U142" s="42"/>
      <c r="V142" s="42"/>
      <c r="W142" s="42"/>
      <c r="X142" s="42"/>
      <c r="Y142" s="42"/>
      <c r="Z142" s="42"/>
      <c r="AA142" s="42"/>
    </row>
    <row r="143">
      <c r="A143" s="36" t="str">
        <f>IF($B143="","",VLOOKUP($B143,DADOS!$C$2:$I1014,2,0))</f>
        <v/>
      </c>
      <c r="B143" s="37"/>
      <c r="C143" s="36"/>
      <c r="D143" s="38" t="str">
        <f>IF($B143="","",SUM(VLOOKUP($B143,DADOS!$C$2:$I1014,4,0)*$C143))</f>
        <v/>
      </c>
      <c r="E143" s="38" t="str">
        <f>IF($B143="","",SUM(VLOOKUP($B143,DADOS!$C$2:$I1014,6,0)*$C143))</f>
        <v/>
      </c>
      <c r="F143" s="39" t="str">
        <f>IF($E143="","",(VLOOKUP($B143,DADOS!$C$2:$I1014,7,0)))</f>
        <v/>
      </c>
      <c r="G143" s="40" t="str">
        <f t="shared" si="2"/>
        <v/>
      </c>
      <c r="H143" s="41"/>
      <c r="I143" s="42"/>
      <c r="J143" s="42"/>
      <c r="K143" s="42"/>
      <c r="L143" s="42"/>
      <c r="M143" s="42"/>
      <c r="N143" s="42"/>
      <c r="O143" s="42"/>
      <c r="P143" s="42"/>
      <c r="Q143" s="42"/>
      <c r="R143" s="42"/>
      <c r="S143" s="42"/>
      <c r="T143" s="42"/>
      <c r="U143" s="42"/>
      <c r="V143" s="42"/>
      <c r="W143" s="42"/>
      <c r="X143" s="42"/>
      <c r="Y143" s="42"/>
      <c r="Z143" s="42"/>
      <c r="AA143" s="42"/>
    </row>
    <row r="144">
      <c r="A144" s="36" t="str">
        <f>IF($B144="","",VLOOKUP($B144,DADOS!$C$2:$I1014,2,0))</f>
        <v/>
      </c>
      <c r="B144" s="37"/>
      <c r="C144" s="36"/>
      <c r="D144" s="38" t="str">
        <f>IF($B144="","",SUM(VLOOKUP($B144,DADOS!$C$2:$I1014,4,0)*$C144))</f>
        <v/>
      </c>
      <c r="E144" s="38" t="str">
        <f>IF($B144="","",SUM(VLOOKUP($B144,DADOS!$C$2:$I1014,6,0)*$C144))</f>
        <v/>
      </c>
      <c r="F144" s="39" t="str">
        <f>IF($E144="","",(VLOOKUP($B144,DADOS!$C$2:$I1014,7,0)))</f>
        <v/>
      </c>
      <c r="G144" s="40" t="str">
        <f t="shared" si="2"/>
        <v/>
      </c>
      <c r="H144" s="41"/>
      <c r="I144" s="42"/>
      <c r="J144" s="42"/>
      <c r="K144" s="42"/>
      <c r="L144" s="42"/>
      <c r="M144" s="42"/>
      <c r="N144" s="42"/>
      <c r="O144" s="42"/>
      <c r="P144" s="42"/>
      <c r="Q144" s="42"/>
      <c r="R144" s="42"/>
      <c r="S144" s="42"/>
      <c r="T144" s="42"/>
      <c r="U144" s="42"/>
      <c r="V144" s="42"/>
      <c r="W144" s="42"/>
      <c r="X144" s="42"/>
      <c r="Y144" s="42"/>
      <c r="Z144" s="42"/>
      <c r="AA144" s="42"/>
    </row>
    <row r="145">
      <c r="A145" s="36" t="str">
        <f>IF($B145="","",VLOOKUP($B145,DADOS!$C$2:$I1014,2,0))</f>
        <v/>
      </c>
      <c r="B145" s="37"/>
      <c r="C145" s="36"/>
      <c r="D145" s="38" t="str">
        <f>IF($B145="","",SUM(VLOOKUP($B145,DADOS!$C$2:$I1014,4,0)*$C145))</f>
        <v/>
      </c>
      <c r="E145" s="38" t="str">
        <f>IF($B145="","",SUM(VLOOKUP($B145,DADOS!$C$2:$I1014,6,0)*$C145))</f>
        <v/>
      </c>
      <c r="F145" s="39" t="str">
        <f>IF($E145="","",(VLOOKUP($B145,DADOS!$C$2:$I1014,7,0)))</f>
        <v/>
      </c>
      <c r="G145" s="40" t="str">
        <f t="shared" si="2"/>
        <v/>
      </c>
      <c r="H145" s="41"/>
      <c r="I145" s="42"/>
      <c r="J145" s="42"/>
      <c r="K145" s="42"/>
      <c r="L145" s="42"/>
      <c r="M145" s="42"/>
      <c r="N145" s="42"/>
      <c r="O145" s="42"/>
      <c r="P145" s="42"/>
      <c r="Q145" s="42"/>
      <c r="R145" s="42"/>
      <c r="S145" s="42"/>
      <c r="T145" s="42"/>
      <c r="U145" s="42"/>
      <c r="V145" s="42"/>
      <c r="W145" s="42"/>
      <c r="X145" s="42"/>
      <c r="Y145" s="42"/>
      <c r="Z145" s="42"/>
      <c r="AA145" s="42"/>
    </row>
    <row r="146">
      <c r="A146" s="36" t="str">
        <f>IF($B146="","",VLOOKUP($B146,DADOS!$C$2:$I1014,2,0))</f>
        <v/>
      </c>
      <c r="B146" s="37"/>
      <c r="C146" s="36"/>
      <c r="D146" s="38" t="str">
        <f>IF($B146="","",SUM(VLOOKUP($B146,DADOS!$C$2:$I1014,4,0)*$C146))</f>
        <v/>
      </c>
      <c r="E146" s="38" t="str">
        <f>IF($B146="","",SUM(VLOOKUP($B146,DADOS!$C$2:$I1014,6,0)*$C146))</f>
        <v/>
      </c>
      <c r="F146" s="39" t="str">
        <f>IF($E146="","",(VLOOKUP($B146,DADOS!$C$2:$I1014,7,0)))</f>
        <v/>
      </c>
      <c r="G146" s="40" t="str">
        <f t="shared" si="2"/>
        <v/>
      </c>
      <c r="H146" s="41"/>
      <c r="I146" s="42"/>
      <c r="J146" s="42"/>
      <c r="K146" s="42"/>
      <c r="L146" s="42"/>
      <c r="M146" s="42"/>
      <c r="N146" s="42"/>
      <c r="O146" s="42"/>
      <c r="P146" s="42"/>
      <c r="Q146" s="42"/>
      <c r="R146" s="42"/>
      <c r="S146" s="42"/>
      <c r="T146" s="42"/>
      <c r="U146" s="42"/>
      <c r="V146" s="42"/>
      <c r="W146" s="42"/>
      <c r="X146" s="42"/>
      <c r="Y146" s="42"/>
      <c r="Z146" s="42"/>
      <c r="AA146" s="42"/>
    </row>
    <row r="147">
      <c r="A147" s="36" t="str">
        <f>IF($B147="","",VLOOKUP($B147,DADOS!$C$2:$I1014,2,0))</f>
        <v/>
      </c>
      <c r="B147" s="37"/>
      <c r="C147" s="36"/>
      <c r="D147" s="38" t="str">
        <f>IF($B147="","",SUM(VLOOKUP($B147,DADOS!$C$2:$I1014,4,0)*$C147))</f>
        <v/>
      </c>
      <c r="E147" s="38" t="str">
        <f>IF($B147="","",SUM(VLOOKUP($B147,DADOS!$C$2:$I1014,6,0)*$C147))</f>
        <v/>
      </c>
      <c r="F147" s="39" t="str">
        <f>IF($E147="","",(VLOOKUP($B147,DADOS!$C$2:$I1014,7,0)))</f>
        <v/>
      </c>
      <c r="G147" s="40" t="str">
        <f t="shared" si="2"/>
        <v/>
      </c>
      <c r="H147" s="41"/>
      <c r="I147" s="42"/>
      <c r="J147" s="42"/>
      <c r="K147" s="42"/>
      <c r="L147" s="42"/>
      <c r="M147" s="42"/>
      <c r="N147" s="42"/>
      <c r="O147" s="42"/>
      <c r="P147" s="42"/>
      <c r="Q147" s="42"/>
      <c r="R147" s="42"/>
      <c r="S147" s="42"/>
      <c r="T147" s="42"/>
      <c r="U147" s="42"/>
      <c r="V147" s="42"/>
      <c r="W147" s="42"/>
      <c r="X147" s="42"/>
      <c r="Y147" s="42"/>
      <c r="Z147" s="42"/>
      <c r="AA147" s="42"/>
    </row>
    <row r="148">
      <c r="A148" s="36" t="str">
        <f>IF($B148="","",VLOOKUP($B148,DADOS!$C$2:$I1014,2,0))</f>
        <v/>
      </c>
      <c r="B148" s="37"/>
      <c r="C148" s="36"/>
      <c r="D148" s="38" t="str">
        <f>IF($B148="","",SUM(VLOOKUP($B148,DADOS!$C$2:$I1014,4,0)*$C148))</f>
        <v/>
      </c>
      <c r="E148" s="38" t="str">
        <f>IF($B148="","",SUM(VLOOKUP($B148,DADOS!$C$2:$I1014,6,0)*$C148))</f>
        <v/>
      </c>
      <c r="F148" s="39" t="str">
        <f>IF($E148="","",(VLOOKUP($B148,DADOS!$C$2:$I1014,7,0)))</f>
        <v/>
      </c>
      <c r="G148" s="40" t="str">
        <f t="shared" si="2"/>
        <v/>
      </c>
      <c r="H148" s="41"/>
      <c r="I148" s="42"/>
      <c r="J148" s="42"/>
      <c r="K148" s="42"/>
      <c r="L148" s="42"/>
      <c r="M148" s="42"/>
      <c r="N148" s="42"/>
      <c r="O148" s="42"/>
      <c r="P148" s="42"/>
      <c r="Q148" s="42"/>
      <c r="R148" s="42"/>
      <c r="S148" s="42"/>
      <c r="T148" s="42"/>
      <c r="U148" s="42"/>
      <c r="V148" s="42"/>
      <c r="W148" s="42"/>
      <c r="X148" s="42"/>
      <c r="Y148" s="42"/>
      <c r="Z148" s="42"/>
      <c r="AA148" s="42"/>
    </row>
    <row r="149">
      <c r="A149" s="36" t="str">
        <f>IF($B149="","",VLOOKUP($B149,DADOS!$C$2:$I1014,2,0))</f>
        <v/>
      </c>
      <c r="B149" s="37"/>
      <c r="C149" s="36"/>
      <c r="D149" s="38" t="str">
        <f>IF($B149="","",SUM(VLOOKUP($B149,DADOS!$C$2:$I1014,4,0)*$C149))</f>
        <v/>
      </c>
      <c r="E149" s="38" t="str">
        <f>IF($B149="","",SUM(VLOOKUP($B149,DADOS!$C$2:$I1014,6,0)*$C149))</f>
        <v/>
      </c>
      <c r="F149" s="39" t="str">
        <f>IF($E149="","",(VLOOKUP($B149,DADOS!$C$2:$I1014,7,0)))</f>
        <v/>
      </c>
      <c r="G149" s="40" t="str">
        <f t="shared" si="2"/>
        <v/>
      </c>
      <c r="H149" s="41"/>
      <c r="I149" s="42"/>
      <c r="J149" s="42"/>
      <c r="K149" s="42"/>
      <c r="L149" s="42"/>
      <c r="M149" s="42"/>
      <c r="N149" s="42"/>
      <c r="O149" s="42"/>
      <c r="P149" s="42"/>
      <c r="Q149" s="42"/>
      <c r="R149" s="42"/>
      <c r="S149" s="42"/>
      <c r="T149" s="42"/>
      <c r="U149" s="42"/>
      <c r="V149" s="42"/>
      <c r="W149" s="42"/>
      <c r="X149" s="42"/>
      <c r="Y149" s="42"/>
      <c r="Z149" s="42"/>
      <c r="AA149" s="42"/>
    </row>
    <row r="150">
      <c r="A150" s="36" t="str">
        <f>IF($B150="","",VLOOKUP($B150,DADOS!$C$2:$I1014,2,0))</f>
        <v/>
      </c>
      <c r="B150" s="37"/>
      <c r="C150" s="36"/>
      <c r="D150" s="38" t="str">
        <f>IF($B150="","",SUM(VLOOKUP($B150,DADOS!$C$2:$I1014,4,0)*$C150))</f>
        <v/>
      </c>
      <c r="E150" s="38" t="str">
        <f>IF($B150="","",SUM(VLOOKUP($B150,DADOS!$C$2:$I1014,6,0)*$C150))</f>
        <v/>
      </c>
      <c r="F150" s="39" t="str">
        <f>IF($E150="","",(VLOOKUP($B150,DADOS!$C$2:$I1014,7,0)))</f>
        <v/>
      </c>
      <c r="G150" s="40" t="str">
        <f t="shared" si="2"/>
        <v/>
      </c>
      <c r="H150" s="41"/>
      <c r="I150" s="42"/>
      <c r="J150" s="42"/>
      <c r="K150" s="42"/>
      <c r="L150" s="42"/>
      <c r="M150" s="42"/>
      <c r="N150" s="42"/>
      <c r="O150" s="42"/>
      <c r="P150" s="42"/>
      <c r="Q150" s="42"/>
      <c r="R150" s="42"/>
      <c r="S150" s="42"/>
      <c r="T150" s="42"/>
      <c r="U150" s="42"/>
      <c r="V150" s="42"/>
      <c r="W150" s="42"/>
      <c r="X150" s="42"/>
      <c r="Y150" s="42"/>
      <c r="Z150" s="42"/>
      <c r="AA150" s="42"/>
    </row>
    <row r="151">
      <c r="A151" s="36" t="str">
        <f>IF($B151="","",VLOOKUP($B151,DADOS!$C$2:$I1014,2,0))</f>
        <v/>
      </c>
      <c r="B151" s="37"/>
      <c r="C151" s="36"/>
      <c r="D151" s="38" t="str">
        <f>IF($B151="","",SUM(VLOOKUP($B151,DADOS!$C$2:$I1014,4,0)*$C151))</f>
        <v/>
      </c>
      <c r="E151" s="38" t="str">
        <f>IF($B151="","",SUM(VLOOKUP($B151,DADOS!$C$2:$I1014,6,0)*$C151))</f>
        <v/>
      </c>
      <c r="F151" s="39" t="str">
        <f>IF($E151="","",(VLOOKUP($B151,DADOS!$C$2:$I1014,7,0)))</f>
        <v/>
      </c>
      <c r="G151" s="40" t="str">
        <f t="shared" si="2"/>
        <v/>
      </c>
      <c r="H151" s="41"/>
      <c r="I151" s="42"/>
      <c r="J151" s="42"/>
      <c r="K151" s="42"/>
      <c r="L151" s="42"/>
      <c r="M151" s="42"/>
      <c r="N151" s="42"/>
      <c r="O151" s="42"/>
      <c r="P151" s="42"/>
      <c r="Q151" s="42"/>
      <c r="R151" s="42"/>
      <c r="S151" s="42"/>
      <c r="T151" s="42"/>
      <c r="U151" s="42"/>
      <c r="V151" s="42"/>
      <c r="W151" s="42"/>
      <c r="X151" s="42"/>
      <c r="Y151" s="42"/>
      <c r="Z151" s="42"/>
      <c r="AA151" s="42"/>
    </row>
    <row r="152">
      <c r="A152" s="36" t="str">
        <f>IF($B152="","",VLOOKUP($B152,DADOS!$C$2:$I1014,2,0))</f>
        <v/>
      </c>
      <c r="B152" s="37"/>
      <c r="C152" s="36"/>
      <c r="D152" s="38" t="str">
        <f>IF($B152="","",SUM(VLOOKUP($B152,DADOS!$C$2:$I1014,4,0)*$C152))</f>
        <v/>
      </c>
      <c r="E152" s="38" t="str">
        <f>IF($B152="","",SUM(VLOOKUP($B152,DADOS!$C$2:$I1014,6,0)*$C152))</f>
        <v/>
      </c>
      <c r="F152" s="39" t="str">
        <f>IF($E152="","",(VLOOKUP($B152,DADOS!$C$2:$I1014,7,0)))</f>
        <v/>
      </c>
      <c r="G152" s="40" t="str">
        <f t="shared" si="2"/>
        <v/>
      </c>
      <c r="H152" s="41"/>
      <c r="I152" s="42"/>
      <c r="J152" s="42"/>
      <c r="K152" s="42"/>
      <c r="L152" s="42"/>
      <c r="M152" s="42"/>
      <c r="N152" s="42"/>
      <c r="O152" s="42"/>
      <c r="P152" s="42"/>
      <c r="Q152" s="42"/>
      <c r="R152" s="42"/>
      <c r="S152" s="42"/>
      <c r="T152" s="42"/>
      <c r="U152" s="42"/>
      <c r="V152" s="42"/>
      <c r="W152" s="42"/>
      <c r="X152" s="42"/>
      <c r="Y152" s="42"/>
      <c r="Z152" s="42"/>
      <c r="AA152" s="42"/>
    </row>
    <row r="153">
      <c r="A153" s="36" t="str">
        <f>IF($B153="","",VLOOKUP($B153,DADOS!$C$2:$I1014,2,0))</f>
        <v/>
      </c>
      <c r="B153" s="37"/>
      <c r="C153" s="36"/>
      <c r="D153" s="38" t="str">
        <f>IF($B153="","",SUM(VLOOKUP($B153,DADOS!$C$2:$I1014,4,0)*$C153))</f>
        <v/>
      </c>
      <c r="E153" s="38" t="str">
        <f>IF($B153="","",SUM(VLOOKUP($B153,DADOS!$C$2:$I1014,6,0)*$C153))</f>
        <v/>
      </c>
      <c r="F153" s="39" t="str">
        <f>IF($E153="","",(VLOOKUP($B153,DADOS!$C$2:$I1014,7,0)))</f>
        <v/>
      </c>
      <c r="G153" s="40" t="str">
        <f t="shared" si="2"/>
        <v/>
      </c>
      <c r="H153" s="41"/>
      <c r="I153" s="42"/>
      <c r="J153" s="42"/>
      <c r="K153" s="42"/>
      <c r="L153" s="42"/>
      <c r="M153" s="42"/>
      <c r="N153" s="42"/>
      <c r="O153" s="42"/>
      <c r="P153" s="42"/>
      <c r="Q153" s="42"/>
      <c r="R153" s="42"/>
      <c r="S153" s="42"/>
      <c r="T153" s="42"/>
      <c r="U153" s="42"/>
      <c r="V153" s="42"/>
      <c r="W153" s="42"/>
      <c r="X153" s="42"/>
      <c r="Y153" s="42"/>
      <c r="Z153" s="42"/>
      <c r="AA153" s="42"/>
    </row>
    <row r="154">
      <c r="A154" s="36" t="str">
        <f>IF($B154="","",VLOOKUP($B154,DADOS!$C$2:$I1014,2,0))</f>
        <v/>
      </c>
      <c r="B154" s="37"/>
      <c r="C154" s="36"/>
      <c r="D154" s="38" t="str">
        <f>IF($B154="","",SUM(VLOOKUP($B154,DADOS!$C$2:$I1014,4,0)*$C154))</f>
        <v/>
      </c>
      <c r="E154" s="38" t="str">
        <f>IF($B154="","",SUM(VLOOKUP($B154,DADOS!$C$2:$I1014,6,0)*$C154))</f>
        <v/>
      </c>
      <c r="F154" s="39" t="str">
        <f>IF($E154="","",(VLOOKUP($B154,DADOS!$C$2:$I1014,7,0)))</f>
        <v/>
      </c>
      <c r="G154" s="40" t="str">
        <f t="shared" si="2"/>
        <v/>
      </c>
      <c r="H154" s="41"/>
      <c r="I154" s="42"/>
      <c r="J154" s="42"/>
      <c r="K154" s="42"/>
      <c r="L154" s="42"/>
      <c r="M154" s="42"/>
      <c r="N154" s="42"/>
      <c r="O154" s="42"/>
      <c r="P154" s="42"/>
      <c r="Q154" s="42"/>
      <c r="R154" s="42"/>
      <c r="S154" s="42"/>
      <c r="T154" s="42"/>
      <c r="U154" s="42"/>
      <c r="V154" s="42"/>
      <c r="W154" s="42"/>
      <c r="X154" s="42"/>
      <c r="Y154" s="42"/>
      <c r="Z154" s="42"/>
      <c r="AA154" s="42"/>
    </row>
    <row r="155">
      <c r="A155" s="36" t="str">
        <f>IF($B155="","",VLOOKUP($B155,DADOS!$C$2:$I1014,2,0))</f>
        <v/>
      </c>
      <c r="B155" s="37"/>
      <c r="C155" s="36"/>
      <c r="D155" s="38" t="str">
        <f>IF($B155="","",SUM(VLOOKUP($B155,DADOS!$C$2:$I1014,4,0)*$C155))</f>
        <v/>
      </c>
      <c r="E155" s="38" t="str">
        <f>IF($B155="","",SUM(VLOOKUP($B155,DADOS!$C$2:$I1014,6,0)*$C155))</f>
        <v/>
      </c>
      <c r="F155" s="39" t="str">
        <f>IF($E155="","",(VLOOKUP($B155,DADOS!$C$2:$I1014,7,0)))</f>
        <v/>
      </c>
      <c r="G155" s="40" t="str">
        <f t="shared" si="2"/>
        <v/>
      </c>
      <c r="H155" s="41"/>
      <c r="I155" s="42"/>
      <c r="J155" s="42"/>
      <c r="K155" s="42"/>
      <c r="L155" s="42"/>
      <c r="M155" s="42"/>
      <c r="N155" s="42"/>
      <c r="O155" s="42"/>
      <c r="P155" s="42"/>
      <c r="Q155" s="42"/>
      <c r="R155" s="42"/>
      <c r="S155" s="42"/>
      <c r="T155" s="42"/>
      <c r="U155" s="42"/>
      <c r="V155" s="42"/>
      <c r="W155" s="42"/>
      <c r="X155" s="42"/>
      <c r="Y155" s="42"/>
      <c r="Z155" s="42"/>
      <c r="AA155" s="42"/>
    </row>
    <row r="156">
      <c r="A156" s="36" t="str">
        <f>IF($B156="","",VLOOKUP($B156,DADOS!$C$2:$I1014,2,0))</f>
        <v/>
      </c>
      <c r="B156" s="37"/>
      <c r="C156" s="36"/>
      <c r="D156" s="38" t="str">
        <f>IF($B156="","",SUM(VLOOKUP($B156,DADOS!$C$2:$I1014,4,0)*$C156))</f>
        <v/>
      </c>
      <c r="E156" s="38" t="str">
        <f>IF($B156="","",SUM(VLOOKUP($B156,DADOS!$C$2:$I1014,6,0)*$C156))</f>
        <v/>
      </c>
      <c r="F156" s="39" t="str">
        <f>IF($E156="","",(VLOOKUP($B156,DADOS!$C$2:$I1014,7,0)))</f>
        <v/>
      </c>
      <c r="G156" s="40" t="str">
        <f t="shared" si="2"/>
        <v/>
      </c>
      <c r="H156" s="41"/>
      <c r="I156" s="42"/>
      <c r="J156" s="42"/>
      <c r="K156" s="42"/>
      <c r="L156" s="42"/>
      <c r="M156" s="42"/>
      <c r="N156" s="42"/>
      <c r="O156" s="42"/>
      <c r="P156" s="42"/>
      <c r="Q156" s="42"/>
      <c r="R156" s="42"/>
      <c r="S156" s="42"/>
      <c r="T156" s="42"/>
      <c r="U156" s="42"/>
      <c r="V156" s="42"/>
      <c r="W156" s="42"/>
      <c r="X156" s="42"/>
      <c r="Y156" s="42"/>
      <c r="Z156" s="42"/>
      <c r="AA156" s="42"/>
    </row>
    <row r="157">
      <c r="A157" s="36" t="str">
        <f>IF($B157="","",VLOOKUP($B157,DADOS!$C$2:$I1014,2,0))</f>
        <v/>
      </c>
      <c r="B157" s="37"/>
      <c r="C157" s="36"/>
      <c r="D157" s="38" t="str">
        <f>IF($B157="","",SUM(VLOOKUP($B157,DADOS!$C$2:$I1014,4,0)*$C157))</f>
        <v/>
      </c>
      <c r="E157" s="38" t="str">
        <f>IF($B157="","",SUM(VLOOKUP($B157,DADOS!$C$2:$I1014,6,0)*$C157))</f>
        <v/>
      </c>
      <c r="F157" s="39" t="str">
        <f>IF($E157="","",(VLOOKUP($B157,DADOS!$C$2:$I1014,7,0)))</f>
        <v/>
      </c>
      <c r="G157" s="40" t="str">
        <f t="shared" si="2"/>
        <v/>
      </c>
      <c r="H157" s="41"/>
      <c r="I157" s="42"/>
      <c r="J157" s="42"/>
      <c r="K157" s="42"/>
      <c r="L157" s="42"/>
      <c r="M157" s="42"/>
      <c r="N157" s="42"/>
      <c r="O157" s="42"/>
      <c r="P157" s="42"/>
      <c r="Q157" s="42"/>
      <c r="R157" s="42"/>
      <c r="S157" s="42"/>
      <c r="T157" s="42"/>
      <c r="U157" s="42"/>
      <c r="V157" s="42"/>
      <c r="W157" s="42"/>
      <c r="X157" s="42"/>
      <c r="Y157" s="42"/>
      <c r="Z157" s="42"/>
      <c r="AA157" s="42"/>
    </row>
    <row r="158">
      <c r="A158" s="36" t="str">
        <f>IF($B158="","",VLOOKUP($B158,DADOS!$C$2:$I1014,2,0))</f>
        <v/>
      </c>
      <c r="B158" s="37"/>
      <c r="C158" s="36"/>
      <c r="D158" s="38" t="str">
        <f>IF($B158="","",SUM(VLOOKUP($B158,DADOS!$C$2:$I1014,4,0)*$C158))</f>
        <v/>
      </c>
      <c r="E158" s="38" t="str">
        <f>IF($B158="","",SUM(VLOOKUP($B158,DADOS!$C$2:$I1014,6,0)*$C158))</f>
        <v/>
      </c>
      <c r="F158" s="39" t="str">
        <f>IF($E158="","",(VLOOKUP($B158,DADOS!$C$2:$I1014,7,0)))</f>
        <v/>
      </c>
      <c r="G158" s="40" t="str">
        <f t="shared" si="2"/>
        <v/>
      </c>
      <c r="H158" s="41"/>
      <c r="I158" s="42"/>
      <c r="J158" s="42"/>
      <c r="K158" s="42"/>
      <c r="L158" s="42"/>
      <c r="M158" s="42"/>
      <c r="N158" s="42"/>
      <c r="O158" s="42"/>
      <c r="P158" s="42"/>
      <c r="Q158" s="42"/>
      <c r="R158" s="42"/>
      <c r="S158" s="42"/>
      <c r="T158" s="42"/>
      <c r="U158" s="42"/>
      <c r="V158" s="42"/>
      <c r="W158" s="42"/>
      <c r="X158" s="42"/>
      <c r="Y158" s="42"/>
      <c r="Z158" s="42"/>
      <c r="AA158" s="42"/>
    </row>
    <row r="159">
      <c r="A159" s="36" t="str">
        <f>IF($B159="","",VLOOKUP($B159,DADOS!$C$2:$I1014,2,0))</f>
        <v/>
      </c>
      <c r="B159" s="37"/>
      <c r="C159" s="36"/>
      <c r="D159" s="38" t="str">
        <f>IF($B159="","",SUM(VLOOKUP($B159,DADOS!$C$2:$I1014,4,0)*$C159))</f>
        <v/>
      </c>
      <c r="E159" s="38" t="str">
        <f>IF($B159="","",SUM(VLOOKUP($B159,DADOS!$C$2:$I1014,6,0)*$C159))</f>
        <v/>
      </c>
      <c r="F159" s="39" t="str">
        <f>IF($E159="","",(VLOOKUP($B159,DADOS!$C$2:$I1014,7,0)))</f>
        <v/>
      </c>
      <c r="G159" s="40" t="str">
        <f t="shared" si="2"/>
        <v/>
      </c>
      <c r="H159" s="41"/>
      <c r="I159" s="42"/>
      <c r="J159" s="42"/>
      <c r="K159" s="42"/>
      <c r="L159" s="42"/>
      <c r="M159" s="42"/>
      <c r="N159" s="42"/>
      <c r="O159" s="42"/>
      <c r="P159" s="42"/>
      <c r="Q159" s="42"/>
      <c r="R159" s="42"/>
      <c r="S159" s="42"/>
      <c r="T159" s="42"/>
      <c r="U159" s="42"/>
      <c r="V159" s="42"/>
      <c r="W159" s="42"/>
      <c r="X159" s="42"/>
      <c r="Y159" s="42"/>
      <c r="Z159" s="42"/>
      <c r="AA159" s="42"/>
    </row>
    <row r="160">
      <c r="A160" s="36" t="str">
        <f>IF($B160="","",VLOOKUP($B160,DADOS!$C$2:$I1014,2,0))</f>
        <v/>
      </c>
      <c r="B160" s="37"/>
      <c r="C160" s="36"/>
      <c r="D160" s="38" t="str">
        <f>IF($B160="","",SUM(VLOOKUP($B160,DADOS!$C$2:$I1014,4,0)*$C160))</f>
        <v/>
      </c>
      <c r="E160" s="38" t="str">
        <f>IF($B160="","",SUM(VLOOKUP($B160,DADOS!$C$2:$I1014,6,0)*$C160))</f>
        <v/>
      </c>
      <c r="F160" s="39" t="str">
        <f>IF($E160="","",(VLOOKUP($B160,DADOS!$C$2:$I1014,7,0)))</f>
        <v/>
      </c>
      <c r="G160" s="40" t="str">
        <f t="shared" si="2"/>
        <v/>
      </c>
      <c r="H160" s="41"/>
      <c r="I160" s="42"/>
      <c r="J160" s="42"/>
      <c r="K160" s="42"/>
      <c r="L160" s="42"/>
      <c r="M160" s="42"/>
      <c r="N160" s="42"/>
      <c r="O160" s="42"/>
      <c r="P160" s="42"/>
      <c r="Q160" s="42"/>
      <c r="R160" s="42"/>
      <c r="S160" s="42"/>
      <c r="T160" s="42"/>
      <c r="U160" s="42"/>
      <c r="V160" s="42"/>
      <c r="W160" s="42"/>
      <c r="X160" s="42"/>
      <c r="Y160" s="42"/>
      <c r="Z160" s="42"/>
      <c r="AA160" s="42"/>
    </row>
    <row r="161">
      <c r="A161" s="36" t="str">
        <f>IF($B161="","",VLOOKUP($B161,DADOS!$C$2:$I1014,2,0))</f>
        <v/>
      </c>
      <c r="B161" s="37"/>
      <c r="C161" s="36"/>
      <c r="D161" s="38" t="str">
        <f>IF($B161="","",SUM(VLOOKUP($B161,DADOS!$C$2:$I1014,4,0)*$C161))</f>
        <v/>
      </c>
      <c r="E161" s="38" t="str">
        <f>IF($B161="","",SUM(VLOOKUP($B161,DADOS!$C$2:$I1014,6,0)*$C161))</f>
        <v/>
      </c>
      <c r="F161" s="39" t="str">
        <f>IF($E161="","",(VLOOKUP($B161,DADOS!$C$2:$I1014,7,0)))</f>
        <v/>
      </c>
      <c r="G161" s="40" t="str">
        <f t="shared" si="2"/>
        <v/>
      </c>
      <c r="H161" s="41"/>
      <c r="I161" s="42"/>
      <c r="J161" s="42"/>
      <c r="K161" s="42"/>
      <c r="L161" s="42"/>
      <c r="M161" s="42"/>
      <c r="N161" s="42"/>
      <c r="O161" s="42"/>
      <c r="P161" s="42"/>
      <c r="Q161" s="42"/>
      <c r="R161" s="42"/>
      <c r="S161" s="42"/>
      <c r="T161" s="42"/>
      <c r="U161" s="42"/>
      <c r="V161" s="42"/>
      <c r="W161" s="42"/>
      <c r="X161" s="42"/>
      <c r="Y161" s="42"/>
      <c r="Z161" s="42"/>
      <c r="AA161" s="42"/>
    </row>
    <row r="162">
      <c r="A162" s="36" t="str">
        <f>IF($B162="","",VLOOKUP($B162,DADOS!$C$2:$I1014,2,0))</f>
        <v/>
      </c>
      <c r="B162" s="37"/>
      <c r="C162" s="36"/>
      <c r="D162" s="38" t="str">
        <f>IF($B162="","",SUM(VLOOKUP($B162,DADOS!$C$2:$I1014,4,0)*$C162))</f>
        <v/>
      </c>
      <c r="E162" s="38" t="str">
        <f>IF($B162="","",SUM(VLOOKUP($B162,DADOS!$C$2:$I1014,6,0)*$C162))</f>
        <v/>
      </c>
      <c r="F162" s="39" t="str">
        <f>IF($E162="","",(VLOOKUP($B162,DADOS!$C$2:$I1014,7,0)))</f>
        <v/>
      </c>
      <c r="G162" s="40" t="str">
        <f t="shared" si="2"/>
        <v/>
      </c>
      <c r="H162" s="41"/>
      <c r="I162" s="42"/>
      <c r="J162" s="42"/>
      <c r="K162" s="42"/>
      <c r="L162" s="42"/>
      <c r="M162" s="42"/>
      <c r="N162" s="42"/>
      <c r="O162" s="42"/>
      <c r="P162" s="42"/>
      <c r="Q162" s="42"/>
      <c r="R162" s="42"/>
      <c r="S162" s="42"/>
      <c r="T162" s="42"/>
      <c r="U162" s="42"/>
      <c r="V162" s="42"/>
      <c r="W162" s="42"/>
      <c r="X162" s="42"/>
      <c r="Y162" s="42"/>
      <c r="Z162" s="42"/>
      <c r="AA162" s="42"/>
    </row>
    <row r="163">
      <c r="A163" s="36" t="str">
        <f>IF($B163="","",VLOOKUP($B163,DADOS!$C$2:$I1014,2,0))</f>
        <v/>
      </c>
      <c r="B163" s="37"/>
      <c r="C163" s="36"/>
      <c r="D163" s="38" t="str">
        <f>IF($B163="","",SUM(VLOOKUP($B163,DADOS!$C$2:$I1014,4,0)*$C163))</f>
        <v/>
      </c>
      <c r="E163" s="38" t="str">
        <f>IF($B163="","",SUM(VLOOKUP($B163,DADOS!$C$2:$I1014,6,0)*$C163))</f>
        <v/>
      </c>
      <c r="F163" s="39" t="str">
        <f>IF($E163="","",(VLOOKUP($B163,DADOS!$C$2:$I1014,7,0)))</f>
        <v/>
      </c>
      <c r="G163" s="40" t="str">
        <f t="shared" si="2"/>
        <v/>
      </c>
      <c r="H163" s="41"/>
      <c r="I163" s="42"/>
      <c r="J163" s="42"/>
      <c r="K163" s="42"/>
      <c r="L163" s="42"/>
      <c r="M163" s="42"/>
      <c r="N163" s="42"/>
      <c r="O163" s="42"/>
      <c r="P163" s="42"/>
      <c r="Q163" s="42"/>
      <c r="R163" s="42"/>
      <c r="S163" s="42"/>
      <c r="T163" s="42"/>
      <c r="U163" s="42"/>
      <c r="V163" s="42"/>
      <c r="W163" s="42"/>
      <c r="X163" s="42"/>
      <c r="Y163" s="42"/>
      <c r="Z163" s="42"/>
      <c r="AA163" s="42"/>
    </row>
    <row r="164">
      <c r="A164" s="36" t="str">
        <f>IF($B164="","",VLOOKUP($B164,DADOS!$C$2:$I1014,2,0))</f>
        <v/>
      </c>
      <c r="B164" s="37"/>
      <c r="C164" s="36"/>
      <c r="D164" s="38" t="str">
        <f>IF($B164="","",SUM(VLOOKUP($B164,DADOS!$C$2:$I1014,4,0)*$C164))</f>
        <v/>
      </c>
      <c r="E164" s="38" t="str">
        <f>IF($B164="","",SUM(VLOOKUP($B164,DADOS!$C$2:$I1014,6,0)*$C164))</f>
        <v/>
      </c>
      <c r="F164" s="39" t="str">
        <f>IF($E164="","",(VLOOKUP($B164,DADOS!$C$2:$I1014,7,0)))</f>
        <v/>
      </c>
      <c r="G164" s="40" t="str">
        <f t="shared" si="2"/>
        <v/>
      </c>
      <c r="H164" s="41"/>
      <c r="I164" s="42"/>
      <c r="J164" s="42"/>
      <c r="K164" s="42"/>
      <c r="L164" s="42"/>
      <c r="M164" s="42"/>
      <c r="N164" s="42"/>
      <c r="O164" s="42"/>
      <c r="P164" s="42"/>
      <c r="Q164" s="42"/>
      <c r="R164" s="42"/>
      <c r="S164" s="42"/>
      <c r="T164" s="42"/>
      <c r="U164" s="42"/>
      <c r="V164" s="42"/>
      <c r="W164" s="42"/>
      <c r="X164" s="42"/>
      <c r="Y164" s="42"/>
      <c r="Z164" s="42"/>
      <c r="AA164" s="42"/>
    </row>
    <row r="165">
      <c r="A165" s="36" t="str">
        <f>IF($B165="","",VLOOKUP($B165,DADOS!$C$2:$I1014,2,0))</f>
        <v/>
      </c>
      <c r="B165" s="37"/>
      <c r="C165" s="36"/>
      <c r="D165" s="38" t="str">
        <f>IF($B165="","",SUM(VLOOKUP($B165,DADOS!$C$2:$I1014,4,0)*$C165))</f>
        <v/>
      </c>
      <c r="E165" s="38" t="str">
        <f>IF($B165="","",SUM(VLOOKUP($B165,DADOS!$C$2:$I1014,6,0)*$C165))</f>
        <v/>
      </c>
      <c r="F165" s="39" t="str">
        <f>IF($E165="","",(VLOOKUP($B165,DADOS!$C$2:$I1014,7,0)))</f>
        <v/>
      </c>
      <c r="G165" s="40" t="str">
        <f t="shared" si="2"/>
        <v/>
      </c>
      <c r="H165" s="41"/>
      <c r="I165" s="42"/>
      <c r="J165" s="42"/>
      <c r="K165" s="42"/>
      <c r="L165" s="42"/>
      <c r="M165" s="42"/>
      <c r="N165" s="42"/>
      <c r="O165" s="42"/>
      <c r="P165" s="42"/>
      <c r="Q165" s="42"/>
      <c r="R165" s="42"/>
      <c r="S165" s="42"/>
      <c r="T165" s="42"/>
      <c r="U165" s="42"/>
      <c r="V165" s="42"/>
      <c r="W165" s="42"/>
      <c r="X165" s="42"/>
      <c r="Y165" s="42"/>
      <c r="Z165" s="42"/>
      <c r="AA165" s="42"/>
    </row>
    <row r="166">
      <c r="A166" s="36" t="str">
        <f>IF($B166="","",VLOOKUP($B166,DADOS!$C$2:$I1014,2,0))</f>
        <v/>
      </c>
      <c r="B166" s="37"/>
      <c r="C166" s="36"/>
      <c r="D166" s="38" t="str">
        <f>IF($B166="","",SUM(VLOOKUP($B166,DADOS!$C$2:$I1014,4,0)*$C166))</f>
        <v/>
      </c>
      <c r="E166" s="38" t="str">
        <f>IF($B166="","",SUM(VLOOKUP($B166,DADOS!$C$2:$I1014,6,0)*$C166))</f>
        <v/>
      </c>
      <c r="F166" s="39" t="str">
        <f>IF($E166="","",(VLOOKUP($B166,DADOS!$C$2:$I1014,7,0)))</f>
        <v/>
      </c>
      <c r="G166" s="40" t="str">
        <f t="shared" si="2"/>
        <v/>
      </c>
      <c r="H166" s="41"/>
      <c r="I166" s="42"/>
      <c r="J166" s="42"/>
      <c r="K166" s="42"/>
      <c r="L166" s="42"/>
      <c r="M166" s="42"/>
      <c r="N166" s="42"/>
      <c r="O166" s="42"/>
      <c r="P166" s="42"/>
      <c r="Q166" s="42"/>
      <c r="R166" s="42"/>
      <c r="S166" s="42"/>
      <c r="T166" s="42"/>
      <c r="U166" s="42"/>
      <c r="V166" s="42"/>
      <c r="W166" s="42"/>
      <c r="X166" s="42"/>
      <c r="Y166" s="42"/>
      <c r="Z166" s="42"/>
      <c r="AA166" s="42"/>
    </row>
    <row r="167">
      <c r="A167" s="36" t="str">
        <f>IF($B167="","",VLOOKUP($B167,DADOS!$C$2:$I1014,2,0))</f>
        <v/>
      </c>
      <c r="B167" s="37"/>
      <c r="C167" s="36"/>
      <c r="D167" s="38" t="str">
        <f>IF($B167="","",SUM(VLOOKUP($B167,DADOS!$C$2:$I1014,4,0)*$C167))</f>
        <v/>
      </c>
      <c r="E167" s="38" t="str">
        <f>IF($B167="","",SUM(VLOOKUP($B167,DADOS!$C$2:$I1014,6,0)*$C167))</f>
        <v/>
      </c>
      <c r="F167" s="39" t="str">
        <f>IF($E167="","",(VLOOKUP($B167,DADOS!$C$2:$I1014,7,0)))</f>
        <v/>
      </c>
      <c r="G167" s="40" t="str">
        <f t="shared" si="2"/>
        <v/>
      </c>
      <c r="H167" s="41"/>
      <c r="I167" s="42"/>
      <c r="J167" s="42"/>
      <c r="K167" s="42"/>
      <c r="L167" s="42"/>
      <c r="M167" s="42"/>
      <c r="N167" s="42"/>
      <c r="O167" s="42"/>
      <c r="P167" s="42"/>
      <c r="Q167" s="42"/>
      <c r="R167" s="42"/>
      <c r="S167" s="42"/>
      <c r="T167" s="42"/>
      <c r="U167" s="42"/>
      <c r="V167" s="42"/>
      <c r="W167" s="42"/>
      <c r="X167" s="42"/>
      <c r="Y167" s="42"/>
      <c r="Z167" s="42"/>
      <c r="AA167" s="42"/>
    </row>
    <row r="168">
      <c r="A168" s="36" t="str">
        <f>IF($B168="","",VLOOKUP($B168,DADOS!$C$2:$I1014,2,0))</f>
        <v/>
      </c>
      <c r="B168" s="37"/>
      <c r="C168" s="36"/>
      <c r="D168" s="38" t="str">
        <f>IF($B168="","",SUM(VLOOKUP($B168,DADOS!$C$2:$I1014,4,0)*$C168))</f>
        <v/>
      </c>
      <c r="E168" s="38" t="str">
        <f>IF($B168="","",SUM(VLOOKUP($B168,DADOS!$C$2:$I1014,6,0)*$C168))</f>
        <v/>
      </c>
      <c r="F168" s="39" t="str">
        <f>IF($E168="","",(VLOOKUP($B168,DADOS!$C$2:$I1014,7,0)))</f>
        <v/>
      </c>
      <c r="G168" s="40" t="str">
        <f t="shared" si="2"/>
        <v/>
      </c>
      <c r="H168" s="41"/>
      <c r="I168" s="42"/>
      <c r="J168" s="42"/>
      <c r="K168" s="42"/>
      <c r="L168" s="42"/>
      <c r="M168" s="42"/>
      <c r="N168" s="42"/>
      <c r="O168" s="42"/>
      <c r="P168" s="42"/>
      <c r="Q168" s="42"/>
      <c r="R168" s="42"/>
      <c r="S168" s="42"/>
      <c r="T168" s="42"/>
      <c r="U168" s="42"/>
      <c r="V168" s="42"/>
      <c r="W168" s="42"/>
      <c r="X168" s="42"/>
      <c r="Y168" s="42"/>
      <c r="Z168" s="42"/>
      <c r="AA168" s="42"/>
    </row>
    <row r="169">
      <c r="A169" s="36" t="str">
        <f>IF($B169="","",VLOOKUP($B169,DADOS!$C$2:$I1014,2,0))</f>
        <v/>
      </c>
      <c r="B169" s="37"/>
      <c r="C169" s="36"/>
      <c r="D169" s="38" t="str">
        <f>IF($B169="","",SUM(VLOOKUP($B169,DADOS!$C$2:$I1014,4,0)*$C169))</f>
        <v/>
      </c>
      <c r="E169" s="38" t="str">
        <f>IF($B169="","",SUM(VLOOKUP($B169,DADOS!$C$2:$I1014,6,0)*$C169))</f>
        <v/>
      </c>
      <c r="F169" s="39" t="str">
        <f>IF($E169="","",(VLOOKUP($B169,DADOS!$C$2:$I1014,7,0)))</f>
        <v/>
      </c>
      <c r="G169" s="40" t="str">
        <f t="shared" si="2"/>
        <v/>
      </c>
      <c r="H169" s="41"/>
      <c r="I169" s="42"/>
      <c r="J169" s="42"/>
      <c r="K169" s="42"/>
      <c r="L169" s="42"/>
      <c r="M169" s="42"/>
      <c r="N169" s="42"/>
      <c r="O169" s="42"/>
      <c r="P169" s="42"/>
      <c r="Q169" s="42"/>
      <c r="R169" s="42"/>
      <c r="S169" s="42"/>
      <c r="T169" s="42"/>
      <c r="U169" s="42"/>
      <c r="V169" s="42"/>
      <c r="W169" s="42"/>
      <c r="X169" s="42"/>
      <c r="Y169" s="42"/>
      <c r="Z169" s="42"/>
      <c r="AA169" s="42"/>
    </row>
    <row r="170">
      <c r="A170" s="36" t="str">
        <f>IF($B170="","",VLOOKUP($B170,DADOS!$C$2:$I1014,2,0))</f>
        <v/>
      </c>
      <c r="B170" s="37"/>
      <c r="C170" s="36"/>
      <c r="D170" s="38" t="str">
        <f>IF($B170="","",SUM(VLOOKUP($B170,DADOS!$C$2:$I1014,4,0)*$C170))</f>
        <v/>
      </c>
      <c r="E170" s="38" t="str">
        <f>IF($B170="","",SUM(VLOOKUP($B170,DADOS!$C$2:$I1014,6,0)*$C170))</f>
        <v/>
      </c>
      <c r="F170" s="39" t="str">
        <f>IF($E170="","",(VLOOKUP($B170,DADOS!$C$2:$I1014,7,0)))</f>
        <v/>
      </c>
      <c r="G170" s="40" t="str">
        <f t="shared" si="2"/>
        <v/>
      </c>
      <c r="H170" s="41"/>
      <c r="I170" s="42"/>
      <c r="J170" s="42"/>
      <c r="K170" s="42"/>
      <c r="L170" s="42"/>
      <c r="M170" s="42"/>
      <c r="N170" s="42"/>
      <c r="O170" s="42"/>
      <c r="P170" s="42"/>
      <c r="Q170" s="42"/>
      <c r="R170" s="42"/>
      <c r="S170" s="42"/>
      <c r="T170" s="42"/>
      <c r="U170" s="42"/>
      <c r="V170" s="42"/>
      <c r="W170" s="42"/>
      <c r="X170" s="42"/>
      <c r="Y170" s="42"/>
      <c r="Z170" s="42"/>
      <c r="AA170" s="42"/>
    </row>
    <row r="171">
      <c r="A171" s="36" t="str">
        <f>IF($B171="","",VLOOKUP($B171,DADOS!$C$2:$I1014,2,0))</f>
        <v/>
      </c>
      <c r="B171" s="37"/>
      <c r="C171" s="36"/>
      <c r="D171" s="38" t="str">
        <f>IF($B171="","",SUM(VLOOKUP($B171,DADOS!$C$2:$I1014,4,0)*$C171))</f>
        <v/>
      </c>
      <c r="E171" s="38" t="str">
        <f>IF($B171="","",SUM(VLOOKUP($B171,DADOS!$C$2:$I1014,6,0)*$C171))</f>
        <v/>
      </c>
      <c r="F171" s="39" t="str">
        <f>IF($E171="","",(VLOOKUP($B171,DADOS!$C$2:$I1014,7,0)))</f>
        <v/>
      </c>
      <c r="G171" s="40" t="str">
        <f t="shared" si="2"/>
        <v/>
      </c>
      <c r="H171" s="41"/>
      <c r="I171" s="42"/>
      <c r="J171" s="42"/>
      <c r="K171" s="42"/>
      <c r="L171" s="42"/>
      <c r="M171" s="42"/>
      <c r="N171" s="42"/>
      <c r="O171" s="42"/>
      <c r="P171" s="42"/>
      <c r="Q171" s="42"/>
      <c r="R171" s="42"/>
      <c r="S171" s="42"/>
      <c r="T171" s="42"/>
      <c r="U171" s="42"/>
      <c r="V171" s="42"/>
      <c r="W171" s="42"/>
      <c r="X171" s="42"/>
      <c r="Y171" s="42"/>
      <c r="Z171" s="42"/>
      <c r="AA171" s="42"/>
    </row>
    <row r="172">
      <c r="A172" s="36" t="str">
        <f>IF($B172="","",VLOOKUP($B172,DADOS!$C$2:$I1014,2,0))</f>
        <v/>
      </c>
      <c r="B172" s="37"/>
      <c r="C172" s="36"/>
      <c r="D172" s="38" t="str">
        <f>IF($B172="","",SUM(VLOOKUP($B172,DADOS!$C$2:$I1014,4,0)*$C172))</f>
        <v/>
      </c>
      <c r="E172" s="38" t="str">
        <f>IF($B172="","",SUM(VLOOKUP($B172,DADOS!$C$2:$I1014,6,0)*$C172))</f>
        <v/>
      </c>
      <c r="F172" s="39" t="str">
        <f>IF($E172="","",(VLOOKUP($B172,DADOS!$C$2:$I1014,7,0)))</f>
        <v/>
      </c>
      <c r="G172" s="40" t="str">
        <f t="shared" si="2"/>
        <v/>
      </c>
      <c r="H172" s="41"/>
      <c r="I172" s="42"/>
      <c r="J172" s="42"/>
      <c r="K172" s="42"/>
      <c r="L172" s="42"/>
      <c r="M172" s="42"/>
      <c r="N172" s="42"/>
      <c r="O172" s="42"/>
      <c r="P172" s="42"/>
      <c r="Q172" s="42"/>
      <c r="R172" s="42"/>
      <c r="S172" s="42"/>
      <c r="T172" s="42"/>
      <c r="U172" s="42"/>
      <c r="V172" s="42"/>
      <c r="W172" s="42"/>
      <c r="X172" s="42"/>
      <c r="Y172" s="42"/>
      <c r="Z172" s="42"/>
      <c r="AA172" s="42"/>
    </row>
    <row r="173">
      <c r="A173" s="36" t="str">
        <f>IF($B173="","",VLOOKUP($B173,DADOS!$C$2:$I1014,2,0))</f>
        <v/>
      </c>
      <c r="B173" s="37"/>
      <c r="C173" s="36"/>
      <c r="D173" s="38" t="str">
        <f>IF($B173="","",SUM(VLOOKUP($B173,DADOS!$C$2:$I1014,4,0)*$C173))</f>
        <v/>
      </c>
      <c r="E173" s="38" t="str">
        <f>IF($B173="","",SUM(VLOOKUP($B173,DADOS!$C$2:$I1014,6,0)*$C173))</f>
        <v/>
      </c>
      <c r="F173" s="39" t="str">
        <f>IF($E173="","",(VLOOKUP($B173,DADOS!$C$2:$I1014,7,0)))</f>
        <v/>
      </c>
      <c r="G173" s="40" t="str">
        <f t="shared" si="2"/>
        <v/>
      </c>
      <c r="H173" s="41"/>
      <c r="I173" s="42"/>
      <c r="J173" s="42"/>
      <c r="K173" s="42"/>
      <c r="L173" s="42"/>
      <c r="M173" s="42"/>
      <c r="N173" s="42"/>
      <c r="O173" s="42"/>
      <c r="P173" s="42"/>
      <c r="Q173" s="42"/>
      <c r="R173" s="42"/>
      <c r="S173" s="42"/>
      <c r="T173" s="42"/>
      <c r="U173" s="42"/>
      <c r="V173" s="42"/>
      <c r="W173" s="42"/>
      <c r="X173" s="42"/>
      <c r="Y173" s="42"/>
      <c r="Z173" s="42"/>
      <c r="AA173" s="42"/>
    </row>
    <row r="174">
      <c r="A174" s="36" t="str">
        <f>IF($B174="","",VLOOKUP($B174,DADOS!$C$2:$I1014,2,0))</f>
        <v/>
      </c>
      <c r="B174" s="37"/>
      <c r="C174" s="36"/>
      <c r="D174" s="38" t="str">
        <f>IF($B174="","",SUM(VLOOKUP($B174,DADOS!$C$2:$I1014,4,0)*$C174))</f>
        <v/>
      </c>
      <c r="E174" s="38" t="str">
        <f>IF($B174="","",SUM(VLOOKUP($B174,DADOS!$C$2:$I1014,6,0)*$C174))</f>
        <v/>
      </c>
      <c r="F174" s="39" t="str">
        <f>IF($E174="","",(VLOOKUP($B174,DADOS!$C$2:$I1014,7,0)))</f>
        <v/>
      </c>
      <c r="G174" s="40" t="str">
        <f t="shared" si="2"/>
        <v/>
      </c>
      <c r="H174" s="41"/>
      <c r="I174" s="42"/>
      <c r="J174" s="42"/>
      <c r="K174" s="42"/>
      <c r="L174" s="42"/>
      <c r="M174" s="42"/>
      <c r="N174" s="42"/>
      <c r="O174" s="42"/>
      <c r="P174" s="42"/>
      <c r="Q174" s="42"/>
      <c r="R174" s="42"/>
      <c r="S174" s="42"/>
      <c r="T174" s="42"/>
      <c r="U174" s="42"/>
      <c r="V174" s="42"/>
      <c r="W174" s="42"/>
      <c r="X174" s="42"/>
      <c r="Y174" s="42"/>
      <c r="Z174" s="42"/>
      <c r="AA174" s="42"/>
    </row>
    <row r="175">
      <c r="A175" s="36" t="str">
        <f>IF($B175="","",VLOOKUP($B175,DADOS!$C$2:$I1014,2,0))</f>
        <v/>
      </c>
      <c r="B175" s="37"/>
      <c r="C175" s="36"/>
      <c r="D175" s="38" t="str">
        <f>IF($B175="","",SUM(VLOOKUP($B175,DADOS!$C$2:$I1014,4,0)*$C175))</f>
        <v/>
      </c>
      <c r="E175" s="38" t="str">
        <f>IF($B175="","",SUM(VLOOKUP($B175,DADOS!$C$2:$I1014,6,0)*$C175))</f>
        <v/>
      </c>
      <c r="F175" s="39" t="str">
        <f>IF($E175="","",(VLOOKUP($B175,DADOS!$C$2:$I1014,7,0)))</f>
        <v/>
      </c>
      <c r="G175" s="40" t="str">
        <f t="shared" si="2"/>
        <v/>
      </c>
      <c r="H175" s="41"/>
      <c r="I175" s="42"/>
      <c r="J175" s="42"/>
      <c r="K175" s="42"/>
      <c r="L175" s="42"/>
      <c r="M175" s="42"/>
      <c r="N175" s="42"/>
      <c r="O175" s="42"/>
      <c r="P175" s="42"/>
      <c r="Q175" s="42"/>
      <c r="R175" s="42"/>
      <c r="S175" s="42"/>
      <c r="T175" s="42"/>
      <c r="U175" s="42"/>
      <c r="V175" s="42"/>
      <c r="W175" s="42"/>
      <c r="X175" s="42"/>
      <c r="Y175" s="42"/>
      <c r="Z175" s="42"/>
      <c r="AA175" s="42"/>
    </row>
    <row r="176">
      <c r="A176" s="36" t="str">
        <f>IF($B176="","",VLOOKUP($B176,DADOS!$C$2:$I1014,2,0))</f>
        <v/>
      </c>
      <c r="B176" s="37"/>
      <c r="C176" s="36"/>
      <c r="D176" s="38" t="str">
        <f>IF($B176="","",SUM(VLOOKUP($B176,DADOS!$C$2:$I1014,4,0)*$C176))</f>
        <v/>
      </c>
      <c r="E176" s="38" t="str">
        <f>IF($B176="","",SUM(VLOOKUP($B176,DADOS!$C$2:$I1014,6,0)*$C176))</f>
        <v/>
      </c>
      <c r="F176" s="39" t="str">
        <f>IF($E176="","",(VLOOKUP($B176,DADOS!$C$2:$I1014,7,0)))</f>
        <v/>
      </c>
      <c r="G176" s="40" t="str">
        <f t="shared" si="2"/>
        <v/>
      </c>
      <c r="H176" s="41"/>
      <c r="I176" s="42"/>
      <c r="J176" s="42"/>
      <c r="K176" s="42"/>
      <c r="L176" s="42"/>
      <c r="M176" s="42"/>
      <c r="N176" s="42"/>
      <c r="O176" s="42"/>
      <c r="P176" s="42"/>
      <c r="Q176" s="42"/>
      <c r="R176" s="42"/>
      <c r="S176" s="42"/>
      <c r="T176" s="42"/>
      <c r="U176" s="42"/>
      <c r="V176" s="42"/>
      <c r="W176" s="42"/>
      <c r="X176" s="42"/>
      <c r="Y176" s="42"/>
      <c r="Z176" s="42"/>
      <c r="AA176" s="42"/>
    </row>
    <row r="177">
      <c r="A177" s="36" t="str">
        <f>IF($B177="","",VLOOKUP($B177,DADOS!$C$2:$I1014,2,0))</f>
        <v/>
      </c>
      <c r="B177" s="37"/>
      <c r="C177" s="36"/>
      <c r="D177" s="38" t="str">
        <f>IF($B177="","",SUM(VLOOKUP($B177,DADOS!$C$2:$I1014,4,0)*$C177))</f>
        <v/>
      </c>
      <c r="E177" s="38" t="str">
        <f>IF($B177="","",SUM(VLOOKUP($B177,DADOS!$C$2:$I1014,6,0)*$C177))</f>
        <v/>
      </c>
      <c r="F177" s="39" t="str">
        <f>IF($E177="","",(VLOOKUP($B177,DADOS!$C$2:$I1014,7,0)))</f>
        <v/>
      </c>
      <c r="G177" s="40" t="str">
        <f t="shared" si="2"/>
        <v/>
      </c>
      <c r="H177" s="41"/>
      <c r="I177" s="42"/>
      <c r="J177" s="42"/>
      <c r="K177" s="42"/>
      <c r="L177" s="42"/>
      <c r="M177" s="42"/>
      <c r="N177" s="42"/>
      <c r="O177" s="42"/>
      <c r="P177" s="42"/>
      <c r="Q177" s="42"/>
      <c r="R177" s="42"/>
      <c r="S177" s="42"/>
      <c r="T177" s="42"/>
      <c r="U177" s="42"/>
      <c r="V177" s="42"/>
      <c r="W177" s="42"/>
      <c r="X177" s="42"/>
      <c r="Y177" s="42"/>
      <c r="Z177" s="42"/>
      <c r="AA177" s="42"/>
    </row>
    <row r="178">
      <c r="A178" s="36" t="str">
        <f>IF($B178="","",VLOOKUP($B178,DADOS!$C$2:$I1014,2,0))</f>
        <v/>
      </c>
      <c r="B178" s="37"/>
      <c r="C178" s="36"/>
      <c r="D178" s="38" t="str">
        <f>IF($B178="","",SUM(VLOOKUP($B178,DADOS!$C$2:$I1014,4,0)*$C178))</f>
        <v/>
      </c>
      <c r="E178" s="38" t="str">
        <f>IF($B178="","",SUM(VLOOKUP($B178,DADOS!$C$2:$I1014,6,0)*$C178))</f>
        <v/>
      </c>
      <c r="F178" s="39" t="str">
        <f>IF($E178="","",(VLOOKUP($B178,DADOS!$C$2:$I1014,7,0)))</f>
        <v/>
      </c>
      <c r="G178" s="40" t="str">
        <f t="shared" si="2"/>
        <v/>
      </c>
      <c r="H178" s="41"/>
      <c r="I178" s="42"/>
      <c r="J178" s="42"/>
      <c r="K178" s="42"/>
      <c r="L178" s="42"/>
      <c r="M178" s="42"/>
      <c r="N178" s="42"/>
      <c r="O178" s="42"/>
      <c r="P178" s="42"/>
      <c r="Q178" s="42"/>
      <c r="R178" s="42"/>
      <c r="S178" s="42"/>
      <c r="T178" s="42"/>
      <c r="U178" s="42"/>
      <c r="V178" s="42"/>
      <c r="W178" s="42"/>
      <c r="X178" s="42"/>
      <c r="Y178" s="42"/>
      <c r="Z178" s="42"/>
      <c r="AA178" s="42"/>
    </row>
    <row r="179">
      <c r="A179" s="36" t="str">
        <f>IF($B179="","",VLOOKUP($B179,DADOS!$C$2:$I1014,2,0))</f>
        <v/>
      </c>
      <c r="B179" s="37"/>
      <c r="C179" s="36"/>
      <c r="D179" s="38" t="str">
        <f>IF($B179="","",SUM(VLOOKUP($B179,DADOS!$C$2:$I1014,4,0)*$C179))</f>
        <v/>
      </c>
      <c r="E179" s="38" t="str">
        <f>IF($B179="","",SUM(VLOOKUP($B179,DADOS!$C$2:$I1014,6,0)*$C179))</f>
        <v/>
      </c>
      <c r="F179" s="39" t="str">
        <f>IF($E179="","",(VLOOKUP($B179,DADOS!$C$2:$I1014,7,0)))</f>
        <v/>
      </c>
      <c r="G179" s="40" t="str">
        <f t="shared" si="2"/>
        <v/>
      </c>
      <c r="H179" s="41"/>
      <c r="I179" s="42"/>
      <c r="J179" s="42"/>
      <c r="K179" s="42"/>
      <c r="L179" s="42"/>
      <c r="M179" s="42"/>
      <c r="N179" s="42"/>
      <c r="O179" s="42"/>
      <c r="P179" s="42"/>
      <c r="Q179" s="42"/>
      <c r="R179" s="42"/>
      <c r="S179" s="42"/>
      <c r="T179" s="42"/>
      <c r="U179" s="42"/>
      <c r="V179" s="42"/>
      <c r="W179" s="42"/>
      <c r="X179" s="42"/>
      <c r="Y179" s="42"/>
      <c r="Z179" s="42"/>
      <c r="AA179" s="42"/>
    </row>
    <row r="180">
      <c r="A180" s="36" t="str">
        <f>IF($B180="","",VLOOKUP($B180,DADOS!$C$2:$I1014,2,0))</f>
        <v/>
      </c>
      <c r="B180" s="37"/>
      <c r="C180" s="36"/>
      <c r="D180" s="38" t="str">
        <f>IF($B180="","",SUM(VLOOKUP($B180,DADOS!$C$2:$I1014,4,0)*$C180))</f>
        <v/>
      </c>
      <c r="E180" s="38" t="str">
        <f>IF($B180="","",SUM(VLOOKUP($B180,DADOS!$C$2:$I1014,6,0)*$C180))</f>
        <v/>
      </c>
      <c r="F180" s="39" t="str">
        <f>IF($E180="","",(VLOOKUP($B180,DADOS!$C$2:$I1014,7,0)))</f>
        <v/>
      </c>
      <c r="G180" s="40" t="str">
        <f t="shared" si="2"/>
        <v/>
      </c>
      <c r="H180" s="41"/>
      <c r="I180" s="42"/>
      <c r="J180" s="42"/>
      <c r="K180" s="42"/>
      <c r="L180" s="42"/>
      <c r="M180" s="42"/>
      <c r="N180" s="42"/>
      <c r="O180" s="42"/>
      <c r="P180" s="42"/>
      <c r="Q180" s="42"/>
      <c r="R180" s="42"/>
      <c r="S180" s="42"/>
      <c r="T180" s="42"/>
      <c r="U180" s="42"/>
      <c r="V180" s="42"/>
      <c r="W180" s="42"/>
      <c r="X180" s="42"/>
      <c r="Y180" s="42"/>
      <c r="Z180" s="42"/>
      <c r="AA180" s="42"/>
    </row>
    <row r="181">
      <c r="A181" s="36" t="str">
        <f>IF($B181="","",VLOOKUP($B181,DADOS!$C$2:$I1014,2,0))</f>
        <v/>
      </c>
      <c r="B181" s="37"/>
      <c r="C181" s="36"/>
      <c r="D181" s="38" t="str">
        <f>IF($B181="","",SUM(VLOOKUP($B181,DADOS!$C$2:$I1014,4,0)*$C181))</f>
        <v/>
      </c>
      <c r="E181" s="38" t="str">
        <f>IF($B181="","",SUM(VLOOKUP($B181,DADOS!$C$2:$I1014,6,0)*$C181))</f>
        <v/>
      </c>
      <c r="F181" s="39" t="str">
        <f>IF($E181="","",(VLOOKUP($B181,DADOS!$C$2:$I1014,7,0)))</f>
        <v/>
      </c>
      <c r="G181" s="40" t="str">
        <f t="shared" si="2"/>
        <v/>
      </c>
      <c r="H181" s="41"/>
      <c r="I181" s="42"/>
      <c r="J181" s="42"/>
      <c r="K181" s="42"/>
      <c r="L181" s="42"/>
      <c r="M181" s="42"/>
      <c r="N181" s="42"/>
      <c r="O181" s="42"/>
      <c r="P181" s="42"/>
      <c r="Q181" s="42"/>
      <c r="R181" s="42"/>
      <c r="S181" s="42"/>
      <c r="T181" s="42"/>
      <c r="U181" s="42"/>
      <c r="V181" s="42"/>
      <c r="W181" s="42"/>
      <c r="X181" s="42"/>
      <c r="Y181" s="42"/>
      <c r="Z181" s="42"/>
      <c r="AA181" s="42"/>
    </row>
    <row r="182">
      <c r="A182" s="36" t="str">
        <f>IF($B182="","",VLOOKUP($B182,DADOS!$C$2:$I1014,2,0))</f>
        <v/>
      </c>
      <c r="B182" s="37"/>
      <c r="C182" s="36"/>
      <c r="D182" s="38" t="str">
        <f>IF($B182="","",SUM(VLOOKUP($B182,DADOS!$C$2:$I1014,4,0)*$C182))</f>
        <v/>
      </c>
      <c r="E182" s="38" t="str">
        <f>IF($B182="","",SUM(VLOOKUP($B182,DADOS!$C$2:$I1014,6,0)*$C182))</f>
        <v/>
      </c>
      <c r="F182" s="39" t="str">
        <f>IF($E182="","",(VLOOKUP($B182,DADOS!$C$2:$I1014,7,0)))</f>
        <v/>
      </c>
      <c r="G182" s="40" t="str">
        <f t="shared" si="2"/>
        <v/>
      </c>
      <c r="H182" s="41"/>
      <c r="I182" s="42"/>
      <c r="J182" s="42"/>
      <c r="K182" s="42"/>
      <c r="L182" s="42"/>
      <c r="M182" s="42"/>
      <c r="N182" s="42"/>
      <c r="O182" s="42"/>
      <c r="P182" s="42"/>
      <c r="Q182" s="42"/>
      <c r="R182" s="42"/>
      <c r="S182" s="42"/>
      <c r="T182" s="42"/>
      <c r="U182" s="42"/>
      <c r="V182" s="42"/>
      <c r="W182" s="42"/>
      <c r="X182" s="42"/>
      <c r="Y182" s="42"/>
      <c r="Z182" s="42"/>
      <c r="AA182" s="42"/>
    </row>
    <row r="183">
      <c r="A183" s="36" t="str">
        <f>IF($B183="","",VLOOKUP($B183,DADOS!$C$2:$I1014,2,0))</f>
        <v/>
      </c>
      <c r="B183" s="37"/>
      <c r="C183" s="36"/>
      <c r="D183" s="38" t="str">
        <f>IF($B183="","",SUM(VLOOKUP($B183,DADOS!$C$2:$I1014,4,0)*$C183))</f>
        <v/>
      </c>
      <c r="E183" s="38" t="str">
        <f>IF($B183="","",SUM(VLOOKUP($B183,DADOS!$C$2:$I1014,6,0)*$C183))</f>
        <v/>
      </c>
      <c r="F183" s="39" t="str">
        <f>IF($E183="","",(VLOOKUP($B183,DADOS!$C$2:$I1014,7,0)))</f>
        <v/>
      </c>
      <c r="G183" s="40" t="str">
        <f t="shared" si="2"/>
        <v/>
      </c>
      <c r="H183" s="41"/>
      <c r="I183" s="42"/>
      <c r="J183" s="42"/>
      <c r="K183" s="42"/>
      <c r="L183" s="42"/>
      <c r="M183" s="42"/>
      <c r="N183" s="42"/>
      <c r="O183" s="42"/>
      <c r="P183" s="42"/>
      <c r="Q183" s="42"/>
      <c r="R183" s="42"/>
      <c r="S183" s="42"/>
      <c r="T183" s="42"/>
      <c r="U183" s="42"/>
      <c r="V183" s="42"/>
      <c r="W183" s="42"/>
      <c r="X183" s="42"/>
      <c r="Y183" s="42"/>
      <c r="Z183" s="42"/>
      <c r="AA183" s="42"/>
    </row>
    <row r="184">
      <c r="A184" s="36" t="str">
        <f>IF($B184="","",VLOOKUP($B184,DADOS!$C$2:$I1014,2,0))</f>
        <v/>
      </c>
      <c r="B184" s="37"/>
      <c r="C184" s="36"/>
      <c r="D184" s="38" t="str">
        <f>IF($B184="","",SUM(VLOOKUP($B184,DADOS!$C$2:$I1014,4,0)*$C184))</f>
        <v/>
      </c>
      <c r="E184" s="38" t="str">
        <f>IF($B184="","",SUM(VLOOKUP($B184,DADOS!$C$2:$I1014,6,0)*$C184))</f>
        <v/>
      </c>
      <c r="F184" s="39" t="str">
        <f>IF($E184="","",(VLOOKUP($B184,DADOS!$C$2:$I1014,7,0)))</f>
        <v/>
      </c>
      <c r="G184" s="40" t="str">
        <f t="shared" si="2"/>
        <v/>
      </c>
      <c r="H184" s="41"/>
      <c r="I184" s="42"/>
      <c r="J184" s="42"/>
      <c r="K184" s="42"/>
      <c r="L184" s="42"/>
      <c r="M184" s="42"/>
      <c r="N184" s="42"/>
      <c r="O184" s="42"/>
      <c r="P184" s="42"/>
      <c r="Q184" s="42"/>
      <c r="R184" s="42"/>
      <c r="S184" s="42"/>
      <c r="T184" s="42"/>
      <c r="U184" s="42"/>
      <c r="V184" s="42"/>
      <c r="W184" s="42"/>
      <c r="X184" s="42"/>
      <c r="Y184" s="42"/>
      <c r="Z184" s="42"/>
      <c r="AA184" s="42"/>
    </row>
    <row r="185">
      <c r="A185" s="36" t="str">
        <f>IF($B185="","",VLOOKUP($B185,DADOS!$C$2:$I1014,2,0))</f>
        <v/>
      </c>
      <c r="B185" s="37"/>
      <c r="C185" s="36"/>
      <c r="D185" s="38" t="str">
        <f>IF($B185="","",SUM(VLOOKUP($B185,DADOS!$C$2:$I1014,4,0)*$C185))</f>
        <v/>
      </c>
      <c r="E185" s="38" t="str">
        <f>IF($B185="","",SUM(VLOOKUP($B185,DADOS!$C$2:$I1014,6,0)*$C185))</f>
        <v/>
      </c>
      <c r="F185" s="39" t="str">
        <f>IF($E185="","",(VLOOKUP($B185,DADOS!$C$2:$I1014,7,0)))</f>
        <v/>
      </c>
      <c r="G185" s="40" t="str">
        <f t="shared" si="2"/>
        <v/>
      </c>
      <c r="H185" s="41"/>
      <c r="I185" s="42"/>
      <c r="J185" s="42"/>
      <c r="K185" s="42"/>
      <c r="L185" s="42"/>
      <c r="M185" s="42"/>
      <c r="N185" s="42"/>
      <c r="O185" s="42"/>
      <c r="P185" s="42"/>
      <c r="Q185" s="42"/>
      <c r="R185" s="42"/>
      <c r="S185" s="42"/>
      <c r="T185" s="42"/>
      <c r="U185" s="42"/>
      <c r="V185" s="42"/>
      <c r="W185" s="42"/>
      <c r="X185" s="42"/>
      <c r="Y185" s="42"/>
      <c r="Z185" s="42"/>
      <c r="AA185" s="42"/>
    </row>
    <row r="186">
      <c r="A186" s="36" t="str">
        <f>IF($B186="","",VLOOKUP($B186,DADOS!$C$2:$I1014,2,0))</f>
        <v/>
      </c>
      <c r="B186" s="37"/>
      <c r="C186" s="36"/>
      <c r="D186" s="38" t="str">
        <f>IF($B186="","",SUM(VLOOKUP($B186,DADOS!$C$2:$I1014,4,0)*$C186))</f>
        <v/>
      </c>
      <c r="E186" s="38" t="str">
        <f>IF($B186="","",SUM(VLOOKUP($B186,DADOS!$C$2:$I1014,6,0)*$C186))</f>
        <v/>
      </c>
      <c r="F186" s="39" t="str">
        <f>IF($E186="","",(VLOOKUP($B186,DADOS!$C$2:$I1014,7,0)))</f>
        <v/>
      </c>
      <c r="G186" s="40" t="str">
        <f t="shared" si="2"/>
        <v/>
      </c>
      <c r="H186" s="41"/>
      <c r="I186" s="42"/>
      <c r="J186" s="42"/>
      <c r="K186" s="42"/>
      <c r="L186" s="42"/>
      <c r="M186" s="42"/>
      <c r="N186" s="42"/>
      <c r="O186" s="42"/>
      <c r="P186" s="42"/>
      <c r="Q186" s="42"/>
      <c r="R186" s="42"/>
      <c r="S186" s="42"/>
      <c r="T186" s="42"/>
      <c r="U186" s="42"/>
      <c r="V186" s="42"/>
      <c r="W186" s="42"/>
      <c r="X186" s="42"/>
      <c r="Y186" s="42"/>
      <c r="Z186" s="42"/>
      <c r="AA186" s="42"/>
    </row>
    <row r="187">
      <c r="A187" s="36" t="str">
        <f>IF($B187="","",VLOOKUP($B187,DADOS!$C$2:$I1014,2,0))</f>
        <v/>
      </c>
      <c r="B187" s="37"/>
      <c r="C187" s="36"/>
      <c r="D187" s="38" t="str">
        <f>IF($B187="","",SUM(VLOOKUP($B187,DADOS!$C$2:$I1014,4,0)*$C187))</f>
        <v/>
      </c>
      <c r="E187" s="38" t="str">
        <f>IF($B187="","",SUM(VLOOKUP($B187,DADOS!$C$2:$I1014,6,0)*$C187))</f>
        <v/>
      </c>
      <c r="F187" s="39" t="str">
        <f>IF($E187="","",(VLOOKUP($B187,DADOS!$C$2:$I1014,7,0)))</f>
        <v/>
      </c>
      <c r="G187" s="40" t="str">
        <f t="shared" si="2"/>
        <v/>
      </c>
      <c r="H187" s="41"/>
      <c r="I187" s="42"/>
      <c r="J187" s="42"/>
      <c r="K187" s="42"/>
      <c r="L187" s="42"/>
      <c r="M187" s="42"/>
      <c r="N187" s="42"/>
      <c r="O187" s="42"/>
      <c r="P187" s="42"/>
      <c r="Q187" s="42"/>
      <c r="R187" s="42"/>
      <c r="S187" s="42"/>
      <c r="T187" s="42"/>
      <c r="U187" s="42"/>
      <c r="V187" s="42"/>
      <c r="W187" s="42"/>
      <c r="X187" s="42"/>
      <c r="Y187" s="42"/>
      <c r="Z187" s="42"/>
      <c r="AA187" s="42"/>
    </row>
    <row r="188">
      <c r="A188" s="36" t="str">
        <f>IF($B188="","",VLOOKUP($B188,DADOS!$C$2:$I1014,2,0))</f>
        <v/>
      </c>
      <c r="B188" s="37"/>
      <c r="C188" s="36"/>
      <c r="D188" s="38" t="str">
        <f>IF($B188="","",SUM(VLOOKUP($B188,DADOS!$C$2:$I1014,4,0)*$C188))</f>
        <v/>
      </c>
      <c r="E188" s="38" t="str">
        <f>IF($B188="","",SUM(VLOOKUP($B188,DADOS!$C$2:$I1014,6,0)*$C188))</f>
        <v/>
      </c>
      <c r="F188" s="39" t="str">
        <f>IF($E188="","",(VLOOKUP($B188,DADOS!$C$2:$I1014,7,0)))</f>
        <v/>
      </c>
      <c r="G188" s="40" t="str">
        <f t="shared" si="2"/>
        <v/>
      </c>
      <c r="H188" s="41"/>
      <c r="I188" s="42"/>
      <c r="J188" s="42"/>
      <c r="K188" s="42"/>
      <c r="L188" s="42"/>
      <c r="M188" s="42"/>
      <c r="N188" s="42"/>
      <c r="O188" s="42"/>
      <c r="P188" s="42"/>
      <c r="Q188" s="42"/>
      <c r="R188" s="42"/>
      <c r="S188" s="42"/>
      <c r="T188" s="42"/>
      <c r="U188" s="42"/>
      <c r="V188" s="42"/>
      <c r="W188" s="42"/>
      <c r="X188" s="42"/>
      <c r="Y188" s="42"/>
      <c r="Z188" s="42"/>
      <c r="AA188" s="42"/>
    </row>
    <row r="189">
      <c r="A189" s="36" t="str">
        <f>IF($B189="","",VLOOKUP($B189,DADOS!$C$2:$I1014,2,0))</f>
        <v/>
      </c>
      <c r="B189" s="37"/>
      <c r="C189" s="36"/>
      <c r="D189" s="38" t="str">
        <f>IF($B189="","",SUM(VLOOKUP($B189,DADOS!$C$2:$I1014,4,0)*$C189))</f>
        <v/>
      </c>
      <c r="E189" s="38" t="str">
        <f>IF($B189="","",SUM(VLOOKUP($B189,DADOS!$C$2:$I1014,6,0)*$C189))</f>
        <v/>
      </c>
      <c r="F189" s="39" t="str">
        <f>IF($E189="","",(VLOOKUP($B189,DADOS!$C$2:$I1014,7,0)))</f>
        <v/>
      </c>
      <c r="G189" s="40" t="str">
        <f t="shared" si="2"/>
        <v/>
      </c>
      <c r="H189" s="41"/>
      <c r="I189" s="42"/>
      <c r="J189" s="42"/>
      <c r="K189" s="42"/>
      <c r="L189" s="42"/>
      <c r="M189" s="42"/>
      <c r="N189" s="42"/>
      <c r="O189" s="42"/>
      <c r="P189" s="42"/>
      <c r="Q189" s="42"/>
      <c r="R189" s="42"/>
      <c r="S189" s="42"/>
      <c r="T189" s="42"/>
      <c r="U189" s="42"/>
      <c r="V189" s="42"/>
      <c r="W189" s="42"/>
      <c r="X189" s="42"/>
      <c r="Y189" s="42"/>
      <c r="Z189" s="42"/>
      <c r="AA189" s="42"/>
    </row>
    <row r="190">
      <c r="A190" s="36" t="str">
        <f>IF($B190="","",VLOOKUP($B190,DADOS!$C$2:$I1014,2,0))</f>
        <v/>
      </c>
      <c r="B190" s="37"/>
      <c r="C190" s="36"/>
      <c r="D190" s="38" t="str">
        <f>IF($B190="","",SUM(VLOOKUP($B190,DADOS!$C$2:$I1014,4,0)*$C190))</f>
        <v/>
      </c>
      <c r="E190" s="38" t="str">
        <f>IF($B190="","",SUM(VLOOKUP($B190,DADOS!$C$2:$I1014,6,0)*$C190))</f>
        <v/>
      </c>
      <c r="F190" s="39" t="str">
        <f>IF($E190="","",(VLOOKUP($B190,DADOS!$C$2:$I1014,7,0)))</f>
        <v/>
      </c>
      <c r="G190" s="40" t="str">
        <f t="shared" si="2"/>
        <v/>
      </c>
      <c r="H190" s="41"/>
      <c r="I190" s="42"/>
      <c r="J190" s="42"/>
      <c r="K190" s="42"/>
      <c r="L190" s="42"/>
      <c r="M190" s="42"/>
      <c r="N190" s="42"/>
      <c r="O190" s="42"/>
      <c r="P190" s="42"/>
      <c r="Q190" s="42"/>
      <c r="R190" s="42"/>
      <c r="S190" s="42"/>
      <c r="T190" s="42"/>
      <c r="U190" s="42"/>
      <c r="V190" s="42"/>
      <c r="W190" s="42"/>
      <c r="X190" s="42"/>
      <c r="Y190" s="42"/>
      <c r="Z190" s="42"/>
      <c r="AA190" s="42"/>
    </row>
    <row r="191">
      <c r="A191" s="36" t="str">
        <f>IF($B191="","",VLOOKUP($B191,DADOS!$C$2:$I1014,2,0))</f>
        <v/>
      </c>
      <c r="B191" s="37"/>
      <c r="C191" s="36"/>
      <c r="D191" s="38" t="str">
        <f>IF($B191="","",SUM(VLOOKUP($B191,DADOS!$C$2:$I1014,4,0)*$C191))</f>
        <v/>
      </c>
      <c r="E191" s="38" t="str">
        <f>IF($B191="","",SUM(VLOOKUP($B191,DADOS!$C$2:$I1014,6,0)*$C191))</f>
        <v/>
      </c>
      <c r="F191" s="39" t="str">
        <f>IF($E191="","",(VLOOKUP($B191,DADOS!$C$2:$I1014,7,0)))</f>
        <v/>
      </c>
      <c r="G191" s="40" t="str">
        <f t="shared" si="2"/>
        <v/>
      </c>
      <c r="H191" s="41"/>
      <c r="I191" s="42"/>
      <c r="J191" s="42"/>
      <c r="K191" s="42"/>
      <c r="L191" s="42"/>
      <c r="M191" s="42"/>
      <c r="N191" s="42"/>
      <c r="O191" s="42"/>
      <c r="P191" s="42"/>
      <c r="Q191" s="42"/>
      <c r="R191" s="42"/>
      <c r="S191" s="42"/>
      <c r="T191" s="42"/>
      <c r="U191" s="42"/>
      <c r="V191" s="42"/>
      <c r="W191" s="42"/>
      <c r="X191" s="42"/>
      <c r="Y191" s="42"/>
      <c r="Z191" s="42"/>
      <c r="AA191" s="42"/>
    </row>
    <row r="192">
      <c r="A192" s="36" t="str">
        <f>IF($B192="","",VLOOKUP($B192,DADOS!$C$2:$I1014,2,0))</f>
        <v/>
      </c>
      <c r="B192" s="37"/>
      <c r="C192" s="36"/>
      <c r="D192" s="38" t="str">
        <f>IF($B192="","",SUM(VLOOKUP($B192,DADOS!$C$2:$I1014,4,0)*$C192))</f>
        <v/>
      </c>
      <c r="E192" s="38" t="str">
        <f>IF($B192="","",SUM(VLOOKUP($B192,DADOS!$C$2:$I1014,6,0)*$C192))</f>
        <v/>
      </c>
      <c r="F192" s="39" t="str">
        <f>IF($E192="","",(VLOOKUP($B192,DADOS!$C$2:$I1014,7,0)))</f>
        <v/>
      </c>
      <c r="G192" s="40" t="str">
        <f t="shared" si="2"/>
        <v/>
      </c>
      <c r="H192" s="41"/>
      <c r="I192" s="42"/>
      <c r="J192" s="42"/>
      <c r="K192" s="42"/>
      <c r="L192" s="42"/>
      <c r="M192" s="42"/>
      <c r="N192" s="42"/>
      <c r="O192" s="42"/>
      <c r="P192" s="42"/>
      <c r="Q192" s="42"/>
      <c r="R192" s="42"/>
      <c r="S192" s="42"/>
      <c r="T192" s="42"/>
      <c r="U192" s="42"/>
      <c r="V192" s="42"/>
      <c r="W192" s="42"/>
      <c r="X192" s="42"/>
      <c r="Y192" s="42"/>
      <c r="Z192" s="42"/>
      <c r="AA192" s="42"/>
    </row>
    <row r="193">
      <c r="A193" s="36" t="str">
        <f>IF($B193="","",VLOOKUP($B193,DADOS!$C$2:$I1014,2,0))</f>
        <v/>
      </c>
      <c r="B193" s="37"/>
      <c r="C193" s="36"/>
      <c r="D193" s="38" t="str">
        <f>IF($B193="","",SUM(VLOOKUP($B193,DADOS!$C$2:$I1014,4,0)*$C193))</f>
        <v/>
      </c>
      <c r="E193" s="38" t="str">
        <f>IF($B193="","",SUM(VLOOKUP($B193,DADOS!$C$2:$I1014,6,0)*$C193))</f>
        <v/>
      </c>
      <c r="F193" s="39" t="str">
        <f>IF($E193="","",(VLOOKUP($B193,DADOS!$C$2:$I1014,7,0)))</f>
        <v/>
      </c>
      <c r="G193" s="40" t="str">
        <f t="shared" si="2"/>
        <v/>
      </c>
      <c r="H193" s="41"/>
      <c r="I193" s="42"/>
      <c r="J193" s="42"/>
      <c r="K193" s="42"/>
      <c r="L193" s="42"/>
      <c r="M193" s="42"/>
      <c r="N193" s="42"/>
      <c r="O193" s="42"/>
      <c r="P193" s="42"/>
      <c r="Q193" s="42"/>
      <c r="R193" s="42"/>
      <c r="S193" s="42"/>
      <c r="T193" s="42"/>
      <c r="U193" s="42"/>
      <c r="V193" s="42"/>
      <c r="W193" s="42"/>
      <c r="X193" s="42"/>
      <c r="Y193" s="42"/>
      <c r="Z193" s="42"/>
      <c r="AA193" s="42"/>
    </row>
    <row r="194">
      <c r="A194" s="36" t="str">
        <f>IF($B194="","",VLOOKUP($B194,DADOS!$C$2:$I1014,2,0))</f>
        <v/>
      </c>
      <c r="B194" s="37"/>
      <c r="C194" s="36"/>
      <c r="D194" s="38" t="str">
        <f>IF($B194="","",SUM(VLOOKUP($B194,DADOS!$C$2:$I1014,4,0)*$C194))</f>
        <v/>
      </c>
      <c r="E194" s="38" t="str">
        <f>IF($B194="","",SUM(VLOOKUP($B194,DADOS!$C$2:$I1014,6,0)*$C194))</f>
        <v/>
      </c>
      <c r="F194" s="39" t="str">
        <f>IF($E194="","",(VLOOKUP($B194,DADOS!$C$2:$I1014,7,0)))</f>
        <v/>
      </c>
      <c r="G194" s="40" t="str">
        <f t="shared" si="2"/>
        <v/>
      </c>
      <c r="H194" s="41"/>
      <c r="I194" s="42"/>
      <c r="J194" s="42"/>
      <c r="K194" s="42"/>
      <c r="L194" s="42"/>
      <c r="M194" s="42"/>
      <c r="N194" s="42"/>
      <c r="O194" s="42"/>
      <c r="P194" s="42"/>
      <c r="Q194" s="42"/>
      <c r="R194" s="42"/>
      <c r="S194" s="42"/>
      <c r="T194" s="42"/>
      <c r="U194" s="42"/>
      <c r="V194" s="42"/>
      <c r="W194" s="42"/>
      <c r="X194" s="42"/>
      <c r="Y194" s="42"/>
      <c r="Z194" s="42"/>
      <c r="AA194" s="42"/>
    </row>
    <row r="195">
      <c r="A195" s="36" t="str">
        <f>IF($B195="","",VLOOKUP($B195,DADOS!$C$2:$I1014,2,0))</f>
        <v/>
      </c>
      <c r="B195" s="37"/>
      <c r="C195" s="36"/>
      <c r="D195" s="38" t="str">
        <f>IF($B195="","",SUM(VLOOKUP($B195,DADOS!$C$2:$I1014,4,0)*$C195))</f>
        <v/>
      </c>
      <c r="E195" s="38" t="str">
        <f>IF($B195="","",SUM(VLOOKUP($B195,DADOS!$C$2:$I1014,6,0)*$C195))</f>
        <v/>
      </c>
      <c r="F195" s="39" t="str">
        <f>IF($E195="","",(VLOOKUP($B195,DADOS!$C$2:$I1014,7,0)))</f>
        <v/>
      </c>
      <c r="G195" s="40" t="str">
        <f t="shared" si="2"/>
        <v/>
      </c>
      <c r="H195" s="41"/>
      <c r="I195" s="42"/>
      <c r="J195" s="42"/>
      <c r="K195" s="42"/>
      <c r="L195" s="42"/>
      <c r="M195" s="42"/>
      <c r="N195" s="42"/>
      <c r="O195" s="42"/>
      <c r="P195" s="42"/>
      <c r="Q195" s="42"/>
      <c r="R195" s="42"/>
      <c r="S195" s="42"/>
      <c r="T195" s="42"/>
      <c r="U195" s="42"/>
      <c r="V195" s="42"/>
      <c r="W195" s="42"/>
      <c r="X195" s="42"/>
      <c r="Y195" s="42"/>
      <c r="Z195" s="42"/>
      <c r="AA195" s="42"/>
    </row>
    <row r="196">
      <c r="A196" s="36" t="str">
        <f>IF($B196="","",VLOOKUP($B196,DADOS!$C$2:$I1014,2,0))</f>
        <v/>
      </c>
      <c r="B196" s="37"/>
      <c r="C196" s="36"/>
      <c r="D196" s="38" t="str">
        <f>IF($B196="","",SUM(VLOOKUP($B196,DADOS!$C$2:$I1014,4,0)*$C196))</f>
        <v/>
      </c>
      <c r="E196" s="38" t="str">
        <f>IF($B196="","",SUM(VLOOKUP($B196,DADOS!$C$2:$I1014,6,0)*$C196))</f>
        <v/>
      </c>
      <c r="F196" s="39" t="str">
        <f>IF($E196="","",(VLOOKUP($B196,DADOS!$C$2:$I1014,7,0)))</f>
        <v/>
      </c>
      <c r="G196" s="40" t="str">
        <f t="shared" si="2"/>
        <v/>
      </c>
      <c r="H196" s="41"/>
      <c r="I196" s="42"/>
      <c r="J196" s="42"/>
      <c r="K196" s="42"/>
      <c r="L196" s="42"/>
      <c r="M196" s="42"/>
      <c r="N196" s="42"/>
      <c r="O196" s="42"/>
      <c r="P196" s="42"/>
      <c r="Q196" s="42"/>
      <c r="R196" s="42"/>
      <c r="S196" s="42"/>
      <c r="T196" s="42"/>
      <c r="U196" s="42"/>
      <c r="V196" s="42"/>
      <c r="W196" s="42"/>
      <c r="X196" s="42"/>
      <c r="Y196" s="42"/>
      <c r="Z196" s="42"/>
      <c r="AA196" s="42"/>
    </row>
    <row r="197">
      <c r="A197" s="36" t="str">
        <f>IF($B197="","",VLOOKUP($B197,DADOS!$C$2:$I1014,2,0))</f>
        <v/>
      </c>
      <c r="B197" s="37"/>
      <c r="C197" s="36"/>
      <c r="D197" s="38" t="str">
        <f>IF($B197="","",SUM(VLOOKUP($B197,DADOS!$C$2:$I1014,4,0)*$C197))</f>
        <v/>
      </c>
      <c r="E197" s="38" t="str">
        <f>IF($B197="","",SUM(VLOOKUP($B197,DADOS!$C$2:$I1014,6,0)*$C197))</f>
        <v/>
      </c>
      <c r="F197" s="39" t="str">
        <f>IF($E197="","",(VLOOKUP($B197,DADOS!$C$2:$I1014,7,0)))</f>
        <v/>
      </c>
      <c r="G197" s="40" t="str">
        <f t="shared" si="2"/>
        <v/>
      </c>
      <c r="H197" s="41"/>
      <c r="I197" s="42"/>
      <c r="J197" s="42"/>
      <c r="K197" s="42"/>
      <c r="L197" s="42"/>
      <c r="M197" s="42"/>
      <c r="N197" s="42"/>
      <c r="O197" s="42"/>
      <c r="P197" s="42"/>
      <c r="Q197" s="42"/>
      <c r="R197" s="42"/>
      <c r="S197" s="42"/>
      <c r="T197" s="42"/>
      <c r="U197" s="42"/>
      <c r="V197" s="42"/>
      <c r="W197" s="42"/>
      <c r="X197" s="42"/>
      <c r="Y197" s="42"/>
      <c r="Z197" s="42"/>
      <c r="AA197" s="42"/>
    </row>
    <row r="198">
      <c r="A198" s="36" t="str">
        <f>IF($B198="","",VLOOKUP($B198,DADOS!$C$2:$I1014,2,0))</f>
        <v/>
      </c>
      <c r="B198" s="37"/>
      <c r="C198" s="36"/>
      <c r="D198" s="38" t="str">
        <f>IF($B198="","",SUM(VLOOKUP($B198,DADOS!$C$2:$I1014,4,0)*$C198))</f>
        <v/>
      </c>
      <c r="E198" s="38" t="str">
        <f>IF($B198="","",SUM(VLOOKUP($B198,DADOS!$C$2:$I1014,6,0)*$C198))</f>
        <v/>
      </c>
      <c r="F198" s="39" t="str">
        <f>IF($E198="","",(VLOOKUP($B198,DADOS!$C$2:$I1014,7,0)))</f>
        <v/>
      </c>
      <c r="G198" s="40" t="str">
        <f t="shared" si="2"/>
        <v/>
      </c>
      <c r="H198" s="41"/>
      <c r="I198" s="42"/>
      <c r="J198" s="42"/>
      <c r="K198" s="42"/>
      <c r="L198" s="42"/>
      <c r="M198" s="42"/>
      <c r="N198" s="42"/>
      <c r="O198" s="42"/>
      <c r="P198" s="42"/>
      <c r="Q198" s="42"/>
      <c r="R198" s="42"/>
      <c r="S198" s="42"/>
      <c r="T198" s="42"/>
      <c r="U198" s="42"/>
      <c r="V198" s="42"/>
      <c r="W198" s="42"/>
      <c r="X198" s="42"/>
      <c r="Y198" s="42"/>
      <c r="Z198" s="42"/>
      <c r="AA198" s="42"/>
    </row>
    <row r="199">
      <c r="A199" s="36" t="str">
        <f>IF($B199="","",VLOOKUP($B199,DADOS!$C$2:$I1014,2,0))</f>
        <v/>
      </c>
      <c r="B199" s="37"/>
      <c r="C199" s="36"/>
      <c r="D199" s="38" t="str">
        <f>IF($B199="","",SUM(VLOOKUP($B199,DADOS!$C$2:$I1014,4,0)*$C199))</f>
        <v/>
      </c>
      <c r="E199" s="38" t="str">
        <f>IF($B199="","",SUM(VLOOKUP($B199,DADOS!$C$2:$I1014,6,0)*$C199))</f>
        <v/>
      </c>
      <c r="F199" s="39" t="str">
        <f>IF($E199="","",(VLOOKUP($B199,DADOS!$C$2:$I1014,7,0)))</f>
        <v/>
      </c>
      <c r="G199" s="40" t="str">
        <f t="shared" si="2"/>
        <v/>
      </c>
      <c r="H199" s="41"/>
      <c r="I199" s="42"/>
      <c r="J199" s="42"/>
      <c r="K199" s="42"/>
      <c r="L199" s="42"/>
      <c r="M199" s="42"/>
      <c r="N199" s="42"/>
      <c r="O199" s="42"/>
      <c r="P199" s="42"/>
      <c r="Q199" s="42"/>
      <c r="R199" s="42"/>
      <c r="S199" s="42"/>
      <c r="T199" s="42"/>
      <c r="U199" s="42"/>
      <c r="V199" s="42"/>
      <c r="W199" s="42"/>
      <c r="X199" s="42"/>
      <c r="Y199" s="42"/>
      <c r="Z199" s="42"/>
      <c r="AA199" s="42"/>
    </row>
    <row r="200">
      <c r="A200" s="36" t="str">
        <f>IF($B200="","",VLOOKUP($B200,DADOS!$C$2:$I1014,2,0))</f>
        <v/>
      </c>
      <c r="B200" s="37"/>
      <c r="C200" s="36"/>
      <c r="D200" s="38" t="str">
        <f>IF($B200="","",SUM(VLOOKUP($B200,DADOS!$C$2:$I1014,4,0)*$C200))</f>
        <v/>
      </c>
      <c r="E200" s="38" t="str">
        <f>IF($B200="","",SUM(VLOOKUP($B200,DADOS!$C$2:$I1014,6,0)*$C200))</f>
        <v/>
      </c>
      <c r="F200" s="39" t="str">
        <f>IF($E200="","",(VLOOKUP($B200,DADOS!$C$2:$I1014,7,0)))</f>
        <v/>
      </c>
      <c r="G200" s="40" t="str">
        <f t="shared" si="2"/>
        <v/>
      </c>
      <c r="H200" s="41"/>
      <c r="I200" s="42"/>
      <c r="J200" s="42"/>
      <c r="K200" s="42"/>
      <c r="L200" s="42"/>
      <c r="M200" s="42"/>
      <c r="N200" s="42"/>
      <c r="O200" s="42"/>
      <c r="P200" s="42"/>
      <c r="Q200" s="42"/>
      <c r="R200" s="42"/>
      <c r="S200" s="42"/>
      <c r="T200" s="42"/>
      <c r="U200" s="42"/>
      <c r="V200" s="42"/>
      <c r="W200" s="42"/>
      <c r="X200" s="42"/>
      <c r="Y200" s="42"/>
      <c r="Z200" s="42"/>
      <c r="AA200" s="42"/>
    </row>
    <row r="201">
      <c r="A201" s="36" t="str">
        <f>IF($B201="","",VLOOKUP($B201,DADOS!$C$2:$I1014,2,0))</f>
        <v/>
      </c>
      <c r="B201" s="37"/>
      <c r="C201" s="36"/>
      <c r="D201" s="38" t="str">
        <f>IF($B201="","",SUM(VLOOKUP($B201,DADOS!$C$2:$I1014,4,0)*$C201))</f>
        <v/>
      </c>
      <c r="E201" s="38" t="str">
        <f>IF($B201="","",SUM(VLOOKUP($B201,DADOS!$C$2:$I1014,6,0)*$C201))</f>
        <v/>
      </c>
      <c r="F201" s="39" t="str">
        <f>IF($E201="","",(VLOOKUP($B201,DADOS!$C$2:$I1014,7,0)))</f>
        <v/>
      </c>
      <c r="G201" s="40" t="str">
        <f t="shared" si="2"/>
        <v/>
      </c>
      <c r="H201" s="41"/>
      <c r="I201" s="42"/>
      <c r="J201" s="42"/>
      <c r="K201" s="42"/>
      <c r="L201" s="42"/>
      <c r="M201" s="42"/>
      <c r="N201" s="42"/>
      <c r="O201" s="42"/>
      <c r="P201" s="42"/>
      <c r="Q201" s="42"/>
      <c r="R201" s="42"/>
      <c r="S201" s="42"/>
      <c r="T201" s="42"/>
      <c r="U201" s="42"/>
      <c r="V201" s="42"/>
      <c r="W201" s="42"/>
      <c r="X201" s="42"/>
      <c r="Y201" s="42"/>
      <c r="Z201" s="42"/>
      <c r="AA201" s="42"/>
    </row>
    <row r="202">
      <c r="A202" s="36" t="str">
        <f>IF($B202="","",VLOOKUP($B202,DADOS!$C$2:$I1014,2,0))</f>
        <v/>
      </c>
      <c r="B202" s="37"/>
      <c r="C202" s="36"/>
      <c r="D202" s="38" t="str">
        <f>IF($B202="","",SUM(VLOOKUP($B202,DADOS!$C$2:$I1014,4,0)*$C202))</f>
        <v/>
      </c>
      <c r="E202" s="38" t="str">
        <f>IF($B202="","",SUM(VLOOKUP($B202,DADOS!$C$2:$I1014,6,0)*$C202))</f>
        <v/>
      </c>
      <c r="F202" s="39" t="str">
        <f>IF($E202="","",(VLOOKUP($B202,DADOS!$C$2:$I1014,7,0)))</f>
        <v/>
      </c>
      <c r="G202" s="40" t="str">
        <f t="shared" si="2"/>
        <v/>
      </c>
      <c r="H202" s="41"/>
      <c r="I202" s="42"/>
      <c r="J202" s="42"/>
      <c r="K202" s="42"/>
      <c r="L202" s="42"/>
      <c r="M202" s="42"/>
      <c r="N202" s="42"/>
      <c r="O202" s="42"/>
      <c r="P202" s="42"/>
      <c r="Q202" s="42"/>
      <c r="R202" s="42"/>
      <c r="S202" s="42"/>
      <c r="T202" s="42"/>
      <c r="U202" s="42"/>
      <c r="V202" s="42"/>
      <c r="W202" s="42"/>
      <c r="X202" s="42"/>
      <c r="Y202" s="42"/>
      <c r="Z202" s="42"/>
      <c r="AA202" s="42"/>
    </row>
    <row r="203">
      <c r="A203" s="36" t="str">
        <f>IF($B203="","",VLOOKUP($B203,DADOS!$C$2:$I1014,2,0))</f>
        <v/>
      </c>
      <c r="B203" s="37"/>
      <c r="C203" s="36"/>
      <c r="D203" s="38" t="str">
        <f>IF($B203="","",SUM(VLOOKUP($B203,DADOS!$C$2:$I1014,4,0)*$C203))</f>
        <v/>
      </c>
      <c r="E203" s="38" t="str">
        <f>IF($B203="","",SUM(VLOOKUP($B203,DADOS!$C$2:$I1014,6,0)*$C203))</f>
        <v/>
      </c>
      <c r="F203" s="39" t="str">
        <f>IF($E203="","",(VLOOKUP($B203,DADOS!$C$2:$I1014,7,0)))</f>
        <v/>
      </c>
      <c r="G203" s="40" t="str">
        <f t="shared" si="2"/>
        <v/>
      </c>
      <c r="H203" s="41"/>
      <c r="I203" s="42"/>
      <c r="J203" s="42"/>
      <c r="K203" s="42"/>
      <c r="L203" s="42"/>
      <c r="M203" s="42"/>
      <c r="N203" s="42"/>
      <c r="O203" s="42"/>
      <c r="P203" s="42"/>
      <c r="Q203" s="42"/>
      <c r="R203" s="42"/>
      <c r="S203" s="42"/>
      <c r="T203" s="42"/>
      <c r="U203" s="42"/>
      <c r="V203" s="42"/>
      <c r="W203" s="42"/>
      <c r="X203" s="42"/>
      <c r="Y203" s="42"/>
      <c r="Z203" s="42"/>
      <c r="AA203" s="42"/>
    </row>
    <row r="204">
      <c r="A204" s="36" t="str">
        <f>IF($B204="","",VLOOKUP($B204,DADOS!$C$2:$I1014,2,0))</f>
        <v/>
      </c>
      <c r="B204" s="37"/>
      <c r="C204" s="36"/>
      <c r="D204" s="38" t="str">
        <f>IF($B204="","",SUM(VLOOKUP($B204,DADOS!$C$2:$I1014,4,0)*$C204))</f>
        <v/>
      </c>
      <c r="E204" s="38" t="str">
        <f>IF($B204="","",SUM(VLOOKUP($B204,DADOS!$C$2:$I1014,6,0)*$C204))</f>
        <v/>
      </c>
      <c r="F204" s="39" t="str">
        <f>IF($E204="","",(VLOOKUP($B204,DADOS!$C$2:$I1014,7,0)))</f>
        <v/>
      </c>
      <c r="G204" s="40" t="str">
        <f t="shared" si="2"/>
        <v/>
      </c>
      <c r="H204" s="41"/>
      <c r="I204" s="42"/>
      <c r="J204" s="42"/>
      <c r="K204" s="42"/>
      <c r="L204" s="42"/>
      <c r="M204" s="42"/>
      <c r="N204" s="42"/>
      <c r="O204" s="42"/>
      <c r="P204" s="42"/>
      <c r="Q204" s="42"/>
      <c r="R204" s="42"/>
      <c r="S204" s="42"/>
      <c r="T204" s="42"/>
      <c r="U204" s="42"/>
      <c r="V204" s="42"/>
      <c r="W204" s="42"/>
      <c r="X204" s="42"/>
      <c r="Y204" s="42"/>
      <c r="Z204" s="42"/>
      <c r="AA204" s="42"/>
    </row>
    <row r="205">
      <c r="A205" s="36" t="str">
        <f>IF($B205="","",VLOOKUP($B205,DADOS!$C$2:$I1014,2,0))</f>
        <v/>
      </c>
      <c r="B205" s="37"/>
      <c r="C205" s="36"/>
      <c r="D205" s="38" t="str">
        <f>IF($B205="","",SUM(VLOOKUP($B205,DADOS!$C$2:$I1014,4,0)*$C205))</f>
        <v/>
      </c>
      <c r="E205" s="38" t="str">
        <f>IF($B205="","",SUM(VLOOKUP($B205,DADOS!$C$2:$I1014,6,0)*$C205))</f>
        <v/>
      </c>
      <c r="F205" s="39" t="str">
        <f>IF($E205="","",(VLOOKUP($B205,DADOS!$C$2:$I1014,7,0)))</f>
        <v/>
      </c>
      <c r="G205" s="40" t="str">
        <f t="shared" si="2"/>
        <v/>
      </c>
      <c r="H205" s="41"/>
      <c r="I205" s="42"/>
      <c r="J205" s="42"/>
      <c r="K205" s="42"/>
      <c r="L205" s="42"/>
      <c r="M205" s="42"/>
      <c r="N205" s="42"/>
      <c r="O205" s="42"/>
      <c r="P205" s="42"/>
      <c r="Q205" s="42"/>
      <c r="R205" s="42"/>
      <c r="S205" s="42"/>
      <c r="T205" s="42"/>
      <c r="U205" s="42"/>
      <c r="V205" s="42"/>
      <c r="W205" s="42"/>
      <c r="X205" s="42"/>
      <c r="Y205" s="42"/>
      <c r="Z205" s="42"/>
      <c r="AA205" s="42"/>
    </row>
    <row r="206">
      <c r="A206" s="36" t="str">
        <f>IF($B206="","",VLOOKUP($B206,DADOS!$C$2:$I1014,2,0))</f>
        <v/>
      </c>
      <c r="B206" s="37"/>
      <c r="C206" s="36"/>
      <c r="D206" s="38" t="str">
        <f>IF($B206="","",SUM(VLOOKUP($B206,DADOS!$C$2:$I1014,4,0)*$C206))</f>
        <v/>
      </c>
      <c r="E206" s="38" t="str">
        <f>IF($B206="","",SUM(VLOOKUP($B206,DADOS!$C$2:$I1014,6,0)*$C206))</f>
        <v/>
      </c>
      <c r="F206" s="39" t="str">
        <f>IF($E206="","",(VLOOKUP($B206,DADOS!$C$2:$I1014,7,0)))</f>
        <v/>
      </c>
      <c r="G206" s="40" t="str">
        <f t="shared" si="2"/>
        <v/>
      </c>
      <c r="H206" s="41"/>
      <c r="I206" s="42"/>
      <c r="J206" s="42"/>
      <c r="K206" s="42"/>
      <c r="L206" s="42"/>
      <c r="M206" s="42"/>
      <c r="N206" s="42"/>
      <c r="O206" s="42"/>
      <c r="P206" s="42"/>
      <c r="Q206" s="42"/>
      <c r="R206" s="42"/>
      <c r="S206" s="42"/>
      <c r="T206" s="42"/>
      <c r="U206" s="42"/>
      <c r="V206" s="42"/>
      <c r="W206" s="42"/>
      <c r="X206" s="42"/>
      <c r="Y206" s="42"/>
      <c r="Z206" s="42"/>
      <c r="AA206" s="42"/>
    </row>
    <row r="207">
      <c r="A207" s="36" t="str">
        <f>IF($B207="","",VLOOKUP($B207,DADOS!$C$2:$I1014,2,0))</f>
        <v/>
      </c>
      <c r="B207" s="37"/>
      <c r="C207" s="36"/>
      <c r="D207" s="38" t="str">
        <f>IF($B207="","",SUM(VLOOKUP($B207,DADOS!$C$2:$I1014,4,0)*$C207))</f>
        <v/>
      </c>
      <c r="E207" s="38" t="str">
        <f>IF($B207="","",SUM(VLOOKUP($B207,DADOS!$C$2:$I1014,6,0)*$C207))</f>
        <v/>
      </c>
      <c r="F207" s="39" t="str">
        <f>IF($E207="","",(VLOOKUP($B207,DADOS!$C$2:$I1014,7,0)))</f>
        <v/>
      </c>
      <c r="G207" s="40" t="str">
        <f t="shared" si="2"/>
        <v/>
      </c>
      <c r="H207" s="41"/>
      <c r="I207" s="42"/>
      <c r="J207" s="42"/>
      <c r="K207" s="42"/>
      <c r="L207" s="42"/>
      <c r="M207" s="42"/>
      <c r="N207" s="42"/>
      <c r="O207" s="42"/>
      <c r="P207" s="42"/>
      <c r="Q207" s="42"/>
      <c r="R207" s="42"/>
      <c r="S207" s="42"/>
      <c r="T207" s="42"/>
      <c r="U207" s="42"/>
      <c r="V207" s="42"/>
      <c r="W207" s="42"/>
      <c r="X207" s="42"/>
      <c r="Y207" s="42"/>
      <c r="Z207" s="42"/>
      <c r="AA207" s="42"/>
    </row>
    <row r="208">
      <c r="A208" s="36" t="str">
        <f>IF($B208="","",VLOOKUP($B208,DADOS!$C$2:$I1014,2,0))</f>
        <v/>
      </c>
      <c r="B208" s="37"/>
      <c r="C208" s="36"/>
      <c r="D208" s="38" t="str">
        <f>IF($B208="","",SUM(VLOOKUP($B208,DADOS!$C$2:$I1014,4,0)*$C208))</f>
        <v/>
      </c>
      <c r="E208" s="38" t="str">
        <f>IF($B208="","",SUM(VLOOKUP($B208,DADOS!$C$2:$I1014,6,0)*$C208))</f>
        <v/>
      </c>
      <c r="F208" s="39" t="str">
        <f>IF($E208="","",(VLOOKUP($B208,DADOS!$C$2:$I1014,7,0)))</f>
        <v/>
      </c>
      <c r="G208" s="40" t="str">
        <f t="shared" si="2"/>
        <v/>
      </c>
      <c r="H208" s="41"/>
      <c r="I208" s="42"/>
      <c r="J208" s="42"/>
      <c r="K208" s="42"/>
      <c r="L208" s="42"/>
      <c r="M208" s="42"/>
      <c r="N208" s="42"/>
      <c r="O208" s="42"/>
      <c r="P208" s="42"/>
      <c r="Q208" s="42"/>
      <c r="R208" s="42"/>
      <c r="S208" s="42"/>
      <c r="T208" s="42"/>
      <c r="U208" s="42"/>
      <c r="V208" s="42"/>
      <c r="W208" s="42"/>
      <c r="X208" s="42"/>
      <c r="Y208" s="42"/>
      <c r="Z208" s="42"/>
      <c r="AA208" s="42"/>
    </row>
    <row r="209">
      <c r="A209" s="36" t="str">
        <f>IF($B209="","",VLOOKUP($B209,DADOS!$C$2:$I1014,2,0))</f>
        <v/>
      </c>
      <c r="B209" s="37"/>
      <c r="C209" s="36"/>
      <c r="D209" s="38" t="str">
        <f>IF($B209="","",SUM(VLOOKUP($B209,DADOS!$C$2:$I1014,4,0)*$C209))</f>
        <v/>
      </c>
      <c r="E209" s="38" t="str">
        <f>IF($B209="","",SUM(VLOOKUP($B209,DADOS!$C$2:$I1014,6,0)*$C209))</f>
        <v/>
      </c>
      <c r="F209" s="39" t="str">
        <f>IF($E209="","",(VLOOKUP($B209,DADOS!$C$2:$I1014,7,0)))</f>
        <v/>
      </c>
      <c r="G209" s="40" t="str">
        <f t="shared" si="2"/>
        <v/>
      </c>
      <c r="H209" s="41"/>
      <c r="I209" s="42"/>
      <c r="J209" s="42"/>
      <c r="K209" s="42"/>
      <c r="L209" s="42"/>
      <c r="M209" s="42"/>
      <c r="N209" s="42"/>
      <c r="O209" s="42"/>
      <c r="P209" s="42"/>
      <c r="Q209" s="42"/>
      <c r="R209" s="42"/>
      <c r="S209" s="42"/>
      <c r="T209" s="42"/>
      <c r="U209" s="42"/>
      <c r="V209" s="42"/>
      <c r="W209" s="42"/>
      <c r="X209" s="42"/>
      <c r="Y209" s="42"/>
      <c r="Z209" s="42"/>
      <c r="AA209" s="42"/>
    </row>
    <row r="210">
      <c r="A210" s="36" t="str">
        <f>IF($B210="","",VLOOKUP($B210,DADOS!$C$2:$I1014,2,0))</f>
        <v/>
      </c>
      <c r="B210" s="37"/>
      <c r="C210" s="36"/>
      <c r="D210" s="38" t="str">
        <f>IF($B210="","",SUM(VLOOKUP($B210,DADOS!$C$2:$I1014,4,0)*$C210))</f>
        <v/>
      </c>
      <c r="E210" s="38" t="str">
        <f>IF($B210="","",SUM(VLOOKUP($B210,DADOS!$C$2:$I1014,6,0)*$C210))</f>
        <v/>
      </c>
      <c r="F210" s="39" t="str">
        <f>IF($E210="","",(VLOOKUP($B210,DADOS!$C$2:$I1014,7,0)))</f>
        <v/>
      </c>
      <c r="G210" s="40" t="str">
        <f t="shared" si="2"/>
        <v/>
      </c>
      <c r="H210" s="41"/>
      <c r="I210" s="42"/>
      <c r="J210" s="42"/>
      <c r="K210" s="42"/>
      <c r="L210" s="42"/>
      <c r="M210" s="42"/>
      <c r="N210" s="42"/>
      <c r="O210" s="42"/>
      <c r="P210" s="42"/>
      <c r="Q210" s="42"/>
      <c r="R210" s="42"/>
      <c r="S210" s="42"/>
      <c r="T210" s="42"/>
      <c r="U210" s="42"/>
      <c r="V210" s="42"/>
      <c r="W210" s="42"/>
      <c r="X210" s="42"/>
      <c r="Y210" s="42"/>
      <c r="Z210" s="42"/>
      <c r="AA210" s="42"/>
    </row>
    <row r="211">
      <c r="A211" s="36" t="str">
        <f>IF($B211="","",VLOOKUP($B211,DADOS!$C$2:$I1014,2,0))</f>
        <v/>
      </c>
      <c r="B211" s="37"/>
      <c r="C211" s="36"/>
      <c r="D211" s="38" t="str">
        <f>IF($B211="","",SUM(VLOOKUP($B211,DADOS!$C$2:$I1014,4,0)*$C211))</f>
        <v/>
      </c>
      <c r="E211" s="38" t="str">
        <f>IF($B211="","",SUM(VLOOKUP($B211,DADOS!$C$2:$I1014,6,0)*$C211))</f>
        <v/>
      </c>
      <c r="F211" s="39" t="str">
        <f>IF($E211="","",(VLOOKUP($B211,DADOS!$C$2:$I1014,7,0)))</f>
        <v/>
      </c>
      <c r="G211" s="40" t="str">
        <f t="shared" si="2"/>
        <v/>
      </c>
      <c r="H211" s="41"/>
      <c r="I211" s="42"/>
      <c r="J211" s="42"/>
      <c r="K211" s="42"/>
      <c r="L211" s="42"/>
      <c r="M211" s="42"/>
      <c r="N211" s="42"/>
      <c r="O211" s="42"/>
      <c r="P211" s="42"/>
      <c r="Q211" s="42"/>
      <c r="R211" s="42"/>
      <c r="S211" s="42"/>
      <c r="T211" s="42"/>
      <c r="U211" s="42"/>
      <c r="V211" s="42"/>
      <c r="W211" s="42"/>
      <c r="X211" s="42"/>
      <c r="Y211" s="42"/>
      <c r="Z211" s="42"/>
      <c r="AA211" s="42"/>
    </row>
    <row r="212">
      <c r="A212" s="36" t="str">
        <f>IF($B212="","",VLOOKUP($B212,DADOS!$C$2:$I1014,2,0))</f>
        <v/>
      </c>
      <c r="B212" s="37"/>
      <c r="C212" s="36"/>
      <c r="D212" s="38" t="str">
        <f>IF($B212="","",SUM(VLOOKUP($B212,DADOS!$C$2:$I1014,4,0)*$C212))</f>
        <v/>
      </c>
      <c r="E212" s="38" t="str">
        <f>IF($B212="","",SUM(VLOOKUP($B212,DADOS!$C$2:$I1014,6,0)*$C212))</f>
        <v/>
      </c>
      <c r="F212" s="39" t="str">
        <f>IF($E212="","",(VLOOKUP($B212,DADOS!$C$2:$I1014,7,0)))</f>
        <v/>
      </c>
      <c r="G212" s="40" t="str">
        <f t="shared" si="2"/>
        <v/>
      </c>
      <c r="H212" s="41"/>
      <c r="I212" s="42"/>
      <c r="J212" s="42"/>
      <c r="K212" s="42"/>
      <c r="L212" s="42"/>
      <c r="M212" s="42"/>
      <c r="N212" s="42"/>
      <c r="O212" s="42"/>
      <c r="P212" s="42"/>
      <c r="Q212" s="42"/>
      <c r="R212" s="42"/>
      <c r="S212" s="42"/>
      <c r="T212" s="42"/>
      <c r="U212" s="42"/>
      <c r="V212" s="42"/>
      <c r="W212" s="42"/>
      <c r="X212" s="42"/>
      <c r="Y212" s="42"/>
      <c r="Z212" s="42"/>
      <c r="AA212" s="42"/>
    </row>
    <row r="213">
      <c r="A213" s="36" t="str">
        <f>IF($B213="","",VLOOKUP($B213,DADOS!$C$2:$I1014,2,0))</f>
        <v/>
      </c>
      <c r="B213" s="37"/>
      <c r="C213" s="36"/>
      <c r="D213" s="38" t="str">
        <f>IF($B213="","",SUM(VLOOKUP($B213,DADOS!$C$2:$I1014,4,0)*$C213))</f>
        <v/>
      </c>
      <c r="E213" s="38" t="str">
        <f>IF($B213="","",SUM(VLOOKUP($B213,DADOS!$C$2:$I1014,6,0)*$C213))</f>
        <v/>
      </c>
      <c r="F213" s="39" t="str">
        <f>IF($E213="","",(VLOOKUP($B213,DADOS!$C$2:$I1014,7,0)))</f>
        <v/>
      </c>
      <c r="G213" s="40" t="str">
        <f t="shared" si="2"/>
        <v/>
      </c>
      <c r="H213" s="41"/>
      <c r="I213" s="42"/>
      <c r="J213" s="42"/>
      <c r="K213" s="42"/>
      <c r="L213" s="42"/>
      <c r="M213" s="42"/>
      <c r="N213" s="42"/>
      <c r="O213" s="42"/>
      <c r="P213" s="42"/>
      <c r="Q213" s="42"/>
      <c r="R213" s="42"/>
      <c r="S213" s="42"/>
      <c r="T213" s="42"/>
      <c r="U213" s="42"/>
      <c r="V213" s="42"/>
      <c r="W213" s="42"/>
      <c r="X213" s="42"/>
      <c r="Y213" s="42"/>
      <c r="Z213" s="42"/>
      <c r="AA213" s="42"/>
    </row>
    <row r="214">
      <c r="A214" s="36" t="str">
        <f>IF($B214="","",VLOOKUP($B214,DADOS!$C$2:$I1014,2,0))</f>
        <v/>
      </c>
      <c r="B214" s="37"/>
      <c r="C214" s="36"/>
      <c r="D214" s="38" t="str">
        <f>IF($B214="","",SUM(VLOOKUP($B214,DADOS!$C$2:$I1014,4,0)*$C214))</f>
        <v/>
      </c>
      <c r="E214" s="38" t="str">
        <f>IF($B214="","",SUM(VLOOKUP($B214,DADOS!$C$2:$I1014,6,0)*$C214))</f>
        <v/>
      </c>
      <c r="F214" s="39" t="str">
        <f>IF($E214="","",(VLOOKUP($B214,DADOS!$C$2:$I1014,7,0)))</f>
        <v/>
      </c>
      <c r="G214" s="40" t="str">
        <f t="shared" si="2"/>
        <v/>
      </c>
      <c r="H214" s="41"/>
      <c r="I214" s="42"/>
      <c r="J214" s="42"/>
      <c r="K214" s="42"/>
      <c r="L214" s="42"/>
      <c r="M214" s="42"/>
      <c r="N214" s="42"/>
      <c r="O214" s="42"/>
      <c r="P214" s="42"/>
      <c r="Q214" s="42"/>
      <c r="R214" s="42"/>
      <c r="S214" s="42"/>
      <c r="T214" s="42"/>
      <c r="U214" s="42"/>
      <c r="V214" s="42"/>
      <c r="W214" s="42"/>
      <c r="X214" s="42"/>
      <c r="Y214" s="42"/>
      <c r="Z214" s="42"/>
      <c r="AA214" s="42"/>
    </row>
    <row r="215">
      <c r="A215" s="36" t="str">
        <f>IF($B215="","",VLOOKUP($B215,DADOS!$C$2:$I1014,2,0))</f>
        <v/>
      </c>
      <c r="B215" s="37"/>
      <c r="C215" s="36"/>
      <c r="D215" s="38" t="str">
        <f>IF($B215="","",SUM(VLOOKUP($B215,DADOS!$C$2:$I1014,4,0)*$C215))</f>
        <v/>
      </c>
      <c r="E215" s="38" t="str">
        <f>IF($B215="","",SUM(VLOOKUP($B215,DADOS!$C$2:$I1014,6,0)*$C215))</f>
        <v/>
      </c>
      <c r="F215" s="39" t="str">
        <f>IF($E215="","",(VLOOKUP($B215,DADOS!$C$2:$I1014,7,0)))</f>
        <v/>
      </c>
      <c r="G215" s="40" t="str">
        <f t="shared" si="2"/>
        <v/>
      </c>
      <c r="H215" s="41"/>
      <c r="I215" s="42"/>
      <c r="J215" s="42"/>
      <c r="K215" s="42"/>
      <c r="L215" s="42"/>
      <c r="M215" s="42"/>
      <c r="N215" s="42"/>
      <c r="O215" s="42"/>
      <c r="P215" s="42"/>
      <c r="Q215" s="42"/>
      <c r="R215" s="42"/>
      <c r="S215" s="42"/>
      <c r="T215" s="42"/>
      <c r="U215" s="42"/>
      <c r="V215" s="42"/>
      <c r="W215" s="42"/>
      <c r="X215" s="42"/>
      <c r="Y215" s="42"/>
      <c r="Z215" s="42"/>
      <c r="AA215" s="42"/>
    </row>
    <row r="216">
      <c r="A216" s="36" t="str">
        <f>IF($B216="","",VLOOKUP($B216,DADOS!$C$2:$I1014,2,0))</f>
        <v/>
      </c>
      <c r="B216" s="37"/>
      <c r="C216" s="36"/>
      <c r="D216" s="38" t="str">
        <f>IF($B216="","",SUM(VLOOKUP($B216,DADOS!$C$2:$I1014,4,0)*$C216))</f>
        <v/>
      </c>
      <c r="E216" s="38" t="str">
        <f>IF($B216="","",SUM(VLOOKUP($B216,DADOS!$C$2:$I1014,6,0)*$C216))</f>
        <v/>
      </c>
      <c r="F216" s="39" t="str">
        <f>IF($E216="","",(VLOOKUP($B216,DADOS!$C$2:$I1014,7,0)))</f>
        <v/>
      </c>
      <c r="G216" s="40" t="str">
        <f t="shared" si="2"/>
        <v/>
      </c>
      <c r="H216" s="41"/>
      <c r="I216" s="42"/>
      <c r="J216" s="42"/>
      <c r="K216" s="42"/>
      <c r="L216" s="42"/>
      <c r="M216" s="42"/>
      <c r="N216" s="42"/>
      <c r="O216" s="42"/>
      <c r="P216" s="42"/>
      <c r="Q216" s="42"/>
      <c r="R216" s="42"/>
      <c r="S216" s="42"/>
      <c r="T216" s="42"/>
      <c r="U216" s="42"/>
      <c r="V216" s="42"/>
      <c r="W216" s="42"/>
      <c r="X216" s="42"/>
      <c r="Y216" s="42"/>
      <c r="Z216" s="42"/>
      <c r="AA216" s="42"/>
    </row>
    <row r="217">
      <c r="A217" s="36" t="str">
        <f>IF($B217="","",VLOOKUP($B217,DADOS!$C$2:$I1014,2,0))</f>
        <v/>
      </c>
      <c r="B217" s="37"/>
      <c r="C217" s="36"/>
      <c r="D217" s="38" t="str">
        <f>IF($B217="","",SUM(VLOOKUP($B217,DADOS!$C$2:$I1014,4,0)*$C217))</f>
        <v/>
      </c>
      <c r="E217" s="38" t="str">
        <f>IF($B217="","",SUM(VLOOKUP($B217,DADOS!$C$2:$I1014,6,0)*$C217))</f>
        <v/>
      </c>
      <c r="F217" s="39" t="str">
        <f>IF($E217="","",(VLOOKUP($B217,DADOS!$C$2:$I1014,7,0)))</f>
        <v/>
      </c>
      <c r="G217" s="40" t="str">
        <f t="shared" si="2"/>
        <v/>
      </c>
      <c r="H217" s="41"/>
      <c r="I217" s="42"/>
      <c r="J217" s="42"/>
      <c r="K217" s="42"/>
      <c r="L217" s="42"/>
      <c r="M217" s="42"/>
      <c r="N217" s="42"/>
      <c r="O217" s="42"/>
      <c r="P217" s="42"/>
      <c r="Q217" s="42"/>
      <c r="R217" s="42"/>
      <c r="S217" s="42"/>
      <c r="T217" s="42"/>
      <c r="U217" s="42"/>
      <c r="V217" s="42"/>
      <c r="W217" s="42"/>
      <c r="X217" s="42"/>
      <c r="Y217" s="42"/>
      <c r="Z217" s="42"/>
      <c r="AA217" s="42"/>
    </row>
    <row r="218">
      <c r="A218" s="36" t="str">
        <f>IF($B218="","",VLOOKUP($B218,DADOS!$C$2:$I1014,2,0))</f>
        <v/>
      </c>
      <c r="B218" s="37"/>
      <c r="C218" s="36"/>
      <c r="D218" s="38" t="str">
        <f>IF($B218="","",SUM(VLOOKUP($B218,DADOS!$C$2:$I1014,4,0)*$C218))</f>
        <v/>
      </c>
      <c r="E218" s="38" t="str">
        <f>IF($B218="","",SUM(VLOOKUP($B218,DADOS!$C$2:$I1014,6,0)*$C218))</f>
        <v/>
      </c>
      <c r="F218" s="39" t="str">
        <f>IF($E218="","",(VLOOKUP($B218,DADOS!$C$2:$I1014,7,0)))</f>
        <v/>
      </c>
      <c r="G218" s="40" t="str">
        <f t="shared" si="2"/>
        <v/>
      </c>
      <c r="H218" s="41"/>
      <c r="I218" s="42"/>
      <c r="J218" s="42"/>
      <c r="K218" s="42"/>
      <c r="L218" s="42"/>
      <c r="M218" s="42"/>
      <c r="N218" s="42"/>
      <c r="O218" s="42"/>
      <c r="P218" s="42"/>
      <c r="Q218" s="42"/>
      <c r="R218" s="42"/>
      <c r="S218" s="42"/>
      <c r="T218" s="42"/>
      <c r="U218" s="42"/>
      <c r="V218" s="42"/>
      <c r="W218" s="42"/>
      <c r="X218" s="42"/>
      <c r="Y218" s="42"/>
      <c r="Z218" s="42"/>
      <c r="AA218" s="42"/>
    </row>
    <row r="219">
      <c r="A219" s="36" t="str">
        <f>IF($B219="","",VLOOKUP($B219,DADOS!$C$2:$I1014,2,0))</f>
        <v/>
      </c>
      <c r="B219" s="37"/>
      <c r="C219" s="36"/>
      <c r="D219" s="38" t="str">
        <f>IF($B219="","",SUM(VLOOKUP($B219,DADOS!$C$2:$I1014,4,0)*$C219))</f>
        <v/>
      </c>
      <c r="E219" s="38" t="str">
        <f>IF($B219="","",SUM(VLOOKUP($B219,DADOS!$C$2:$I1014,6,0)*$C219))</f>
        <v/>
      </c>
      <c r="F219" s="39" t="str">
        <f>IF($E219="","",(VLOOKUP($B219,DADOS!$C$2:$I1014,7,0)))</f>
        <v/>
      </c>
      <c r="G219" s="40" t="str">
        <f t="shared" si="2"/>
        <v/>
      </c>
      <c r="H219" s="41"/>
      <c r="I219" s="42"/>
      <c r="J219" s="42"/>
      <c r="K219" s="42"/>
      <c r="L219" s="42"/>
      <c r="M219" s="42"/>
      <c r="N219" s="42"/>
      <c r="O219" s="42"/>
      <c r="P219" s="42"/>
      <c r="Q219" s="42"/>
      <c r="R219" s="42"/>
      <c r="S219" s="42"/>
      <c r="T219" s="42"/>
      <c r="U219" s="42"/>
      <c r="V219" s="42"/>
      <c r="W219" s="42"/>
      <c r="X219" s="42"/>
      <c r="Y219" s="42"/>
      <c r="Z219" s="42"/>
      <c r="AA219" s="42"/>
    </row>
    <row r="220">
      <c r="A220" s="36" t="str">
        <f>IF($B220="","",VLOOKUP($B220,DADOS!$C$2:$I1014,2,0))</f>
        <v/>
      </c>
      <c r="B220" s="37"/>
      <c r="C220" s="36"/>
      <c r="D220" s="38" t="str">
        <f>IF($B220="","",SUM(VLOOKUP($B220,DADOS!$C$2:$I1014,4,0)*$C220))</f>
        <v/>
      </c>
      <c r="E220" s="38" t="str">
        <f>IF($B220="","",SUM(VLOOKUP($B220,DADOS!$C$2:$I1014,6,0)*$C220))</f>
        <v/>
      </c>
      <c r="F220" s="39" t="str">
        <f>IF($E220="","",(VLOOKUP($B220,DADOS!$C$2:$I1014,7,0)))</f>
        <v/>
      </c>
      <c r="G220" s="40" t="str">
        <f t="shared" si="2"/>
        <v/>
      </c>
      <c r="H220" s="41"/>
      <c r="I220" s="42"/>
      <c r="J220" s="42"/>
      <c r="K220" s="42"/>
      <c r="L220" s="42"/>
      <c r="M220" s="42"/>
      <c r="N220" s="42"/>
      <c r="O220" s="42"/>
      <c r="P220" s="42"/>
      <c r="Q220" s="42"/>
      <c r="R220" s="42"/>
      <c r="S220" s="42"/>
      <c r="T220" s="42"/>
      <c r="U220" s="42"/>
      <c r="V220" s="42"/>
      <c r="W220" s="42"/>
      <c r="X220" s="42"/>
      <c r="Y220" s="42"/>
      <c r="Z220" s="42"/>
      <c r="AA220" s="42"/>
    </row>
    <row r="221">
      <c r="A221" s="36" t="str">
        <f>IF($B221="","",VLOOKUP($B221,DADOS!$C$2:$I1014,2,0))</f>
        <v/>
      </c>
      <c r="B221" s="37"/>
      <c r="C221" s="36"/>
      <c r="D221" s="38" t="str">
        <f>IF($B221="","",SUM(VLOOKUP($B221,DADOS!$C$2:$I1014,4,0)*$C221))</f>
        <v/>
      </c>
      <c r="E221" s="38" t="str">
        <f>IF($B221="","",SUM(VLOOKUP($B221,DADOS!$C$2:$I1014,6,0)*$C221))</f>
        <v/>
      </c>
      <c r="F221" s="39" t="str">
        <f>IF($E221="","",(VLOOKUP($B221,DADOS!$C$2:$I1014,7,0)))</f>
        <v/>
      </c>
      <c r="G221" s="40" t="str">
        <f t="shared" si="2"/>
        <v/>
      </c>
      <c r="H221" s="41"/>
      <c r="I221" s="42"/>
      <c r="J221" s="42"/>
      <c r="K221" s="42"/>
      <c r="L221" s="42"/>
      <c r="M221" s="42"/>
      <c r="N221" s="42"/>
      <c r="O221" s="42"/>
      <c r="P221" s="42"/>
      <c r="Q221" s="42"/>
      <c r="R221" s="42"/>
      <c r="S221" s="42"/>
      <c r="T221" s="42"/>
      <c r="U221" s="42"/>
      <c r="V221" s="42"/>
      <c r="W221" s="42"/>
      <c r="X221" s="42"/>
      <c r="Y221" s="42"/>
      <c r="Z221" s="42"/>
      <c r="AA221" s="42"/>
    </row>
    <row r="222">
      <c r="A222" s="36" t="str">
        <f>IF($B222="","",VLOOKUP($B222,DADOS!$C$2:$I1014,2,0))</f>
        <v/>
      </c>
      <c r="B222" s="37"/>
      <c r="C222" s="36"/>
      <c r="D222" s="38" t="str">
        <f>IF($B222="","",SUM(VLOOKUP($B222,DADOS!$C$2:$I1014,4,0)*$C222))</f>
        <v/>
      </c>
      <c r="E222" s="38" t="str">
        <f>IF($B222="","",SUM(VLOOKUP($B222,DADOS!$C$2:$I1014,6,0)*$C222))</f>
        <v/>
      </c>
      <c r="F222" s="39" t="str">
        <f>IF($E222="","",(VLOOKUP($B222,DADOS!$C$2:$I1014,7,0)))</f>
        <v/>
      </c>
      <c r="G222" s="40" t="str">
        <f t="shared" si="2"/>
        <v/>
      </c>
      <c r="H222" s="41"/>
      <c r="I222" s="42"/>
      <c r="J222" s="42"/>
      <c r="K222" s="42"/>
      <c r="L222" s="42"/>
      <c r="M222" s="42"/>
      <c r="N222" s="42"/>
      <c r="O222" s="42"/>
      <c r="P222" s="42"/>
      <c r="Q222" s="42"/>
      <c r="R222" s="42"/>
      <c r="S222" s="42"/>
      <c r="T222" s="42"/>
      <c r="U222" s="42"/>
      <c r="V222" s="42"/>
      <c r="W222" s="42"/>
      <c r="X222" s="42"/>
      <c r="Y222" s="42"/>
      <c r="Z222" s="42"/>
      <c r="AA222" s="42"/>
    </row>
    <row r="223">
      <c r="A223" s="36" t="str">
        <f>IF($B223="","",VLOOKUP($B223,DADOS!$C$2:$I1014,2,0))</f>
        <v/>
      </c>
      <c r="B223" s="37"/>
      <c r="C223" s="36"/>
      <c r="D223" s="38" t="str">
        <f>IF($B223="","",SUM(VLOOKUP($B223,DADOS!$C$2:$I1014,4,0)*$C223))</f>
        <v/>
      </c>
      <c r="E223" s="38" t="str">
        <f>IF($B223="","",SUM(VLOOKUP($B223,DADOS!$C$2:$I1014,6,0)*$C223))</f>
        <v/>
      </c>
      <c r="F223" s="39" t="str">
        <f>IF($E223="","",(VLOOKUP($B223,DADOS!$C$2:$I1014,7,0)))</f>
        <v/>
      </c>
      <c r="G223" s="40" t="str">
        <f t="shared" si="2"/>
        <v/>
      </c>
      <c r="H223" s="41"/>
      <c r="I223" s="42"/>
      <c r="J223" s="42"/>
      <c r="K223" s="42"/>
      <c r="L223" s="42"/>
      <c r="M223" s="42"/>
      <c r="N223" s="42"/>
      <c r="O223" s="42"/>
      <c r="P223" s="42"/>
      <c r="Q223" s="42"/>
      <c r="R223" s="42"/>
      <c r="S223" s="42"/>
      <c r="T223" s="42"/>
      <c r="U223" s="42"/>
      <c r="V223" s="42"/>
      <c r="W223" s="42"/>
      <c r="X223" s="42"/>
      <c r="Y223" s="42"/>
      <c r="Z223" s="42"/>
      <c r="AA223" s="42"/>
    </row>
    <row r="224">
      <c r="A224" s="36" t="str">
        <f>IF($B224="","",VLOOKUP($B224,DADOS!$C$2:$I1014,2,0))</f>
        <v/>
      </c>
      <c r="B224" s="37"/>
      <c r="C224" s="36"/>
      <c r="D224" s="38" t="str">
        <f>IF($B224="","",SUM(VLOOKUP($B224,DADOS!$C$2:$I1014,4,0)*$C224))</f>
        <v/>
      </c>
      <c r="E224" s="38" t="str">
        <f>IF($B224="","",SUM(VLOOKUP($B224,DADOS!$C$2:$I1014,6,0)*$C224))</f>
        <v/>
      </c>
      <c r="F224" s="39" t="str">
        <f>IF($E224="","",(VLOOKUP($B224,DADOS!$C$2:$I1014,7,0)))</f>
        <v/>
      </c>
      <c r="G224" s="40" t="str">
        <f t="shared" si="2"/>
        <v/>
      </c>
      <c r="H224" s="41"/>
      <c r="I224" s="42"/>
      <c r="J224" s="42"/>
      <c r="K224" s="42"/>
      <c r="L224" s="42"/>
      <c r="M224" s="42"/>
      <c r="N224" s="42"/>
      <c r="O224" s="42"/>
      <c r="P224" s="42"/>
      <c r="Q224" s="42"/>
      <c r="R224" s="42"/>
      <c r="S224" s="42"/>
      <c r="T224" s="42"/>
      <c r="U224" s="42"/>
      <c r="V224" s="42"/>
      <c r="W224" s="42"/>
      <c r="X224" s="42"/>
      <c r="Y224" s="42"/>
      <c r="Z224" s="42"/>
      <c r="AA224" s="42"/>
    </row>
    <row r="225">
      <c r="A225" s="36" t="str">
        <f>IF($B225="","",VLOOKUP($B225,DADOS!$C$2:$I1014,2,0))</f>
        <v/>
      </c>
      <c r="B225" s="37"/>
      <c r="C225" s="36"/>
      <c r="D225" s="38" t="str">
        <f>IF($B225="","",SUM(VLOOKUP($B225,DADOS!$C$2:$I1014,4,0)*$C225))</f>
        <v/>
      </c>
      <c r="E225" s="38" t="str">
        <f>IF($B225="","",SUM(VLOOKUP($B225,DADOS!$C$2:$I1014,6,0)*$C225))</f>
        <v/>
      </c>
      <c r="F225" s="39" t="str">
        <f>IF($E225="","",(VLOOKUP($B225,DADOS!$C$2:$I1014,7,0)))</f>
        <v/>
      </c>
      <c r="G225" s="40" t="str">
        <f t="shared" si="2"/>
        <v/>
      </c>
      <c r="H225" s="41"/>
      <c r="I225" s="42"/>
      <c r="J225" s="42"/>
      <c r="K225" s="42"/>
      <c r="L225" s="42"/>
      <c r="M225" s="42"/>
      <c r="N225" s="42"/>
      <c r="O225" s="42"/>
      <c r="P225" s="42"/>
      <c r="Q225" s="42"/>
      <c r="R225" s="42"/>
      <c r="S225" s="42"/>
      <c r="T225" s="42"/>
      <c r="U225" s="42"/>
      <c r="V225" s="42"/>
      <c r="W225" s="42"/>
      <c r="X225" s="42"/>
      <c r="Y225" s="42"/>
      <c r="Z225" s="42"/>
      <c r="AA225" s="42"/>
    </row>
    <row r="226">
      <c r="A226" s="36" t="str">
        <f>IF($B226="","",VLOOKUP($B226,DADOS!$C$2:$I1014,2,0))</f>
        <v/>
      </c>
      <c r="B226" s="37"/>
      <c r="C226" s="36"/>
      <c r="D226" s="38" t="str">
        <f>IF($B226="","",SUM(VLOOKUP($B226,DADOS!$C$2:$I1014,4,0)*$C226))</f>
        <v/>
      </c>
      <c r="E226" s="38" t="str">
        <f>IF($B226="","",SUM(VLOOKUP($B226,DADOS!$C$2:$I1014,6,0)*$C226))</f>
        <v/>
      </c>
      <c r="F226" s="39" t="str">
        <f>IF($E226="","",(VLOOKUP($B226,DADOS!$C$2:$I1014,7,0)))</f>
        <v/>
      </c>
      <c r="G226" s="40" t="str">
        <f t="shared" si="2"/>
        <v/>
      </c>
      <c r="H226" s="41"/>
      <c r="I226" s="42"/>
      <c r="J226" s="42"/>
      <c r="K226" s="42"/>
      <c r="L226" s="42"/>
      <c r="M226" s="42"/>
      <c r="N226" s="42"/>
      <c r="O226" s="42"/>
      <c r="P226" s="42"/>
      <c r="Q226" s="42"/>
      <c r="R226" s="42"/>
      <c r="S226" s="42"/>
      <c r="T226" s="42"/>
      <c r="U226" s="42"/>
      <c r="V226" s="42"/>
      <c r="W226" s="42"/>
      <c r="X226" s="42"/>
      <c r="Y226" s="42"/>
      <c r="Z226" s="42"/>
      <c r="AA226" s="42"/>
    </row>
    <row r="227">
      <c r="A227" s="36" t="str">
        <f>IF($B227="","",VLOOKUP($B227,DADOS!$C$2:$I1014,2,0))</f>
        <v/>
      </c>
      <c r="B227" s="37"/>
      <c r="C227" s="36"/>
      <c r="D227" s="38" t="str">
        <f>IF($B227="","",SUM(VLOOKUP($B227,DADOS!$C$2:$I1014,4,0)*$C227))</f>
        <v/>
      </c>
      <c r="E227" s="38" t="str">
        <f>IF($B227="","",SUM(VLOOKUP($B227,DADOS!$C$2:$I1014,6,0)*$C227))</f>
        <v/>
      </c>
      <c r="F227" s="39" t="str">
        <f>IF($E227="","",(VLOOKUP($B227,DADOS!$C$2:$I1014,7,0)))</f>
        <v/>
      </c>
      <c r="G227" s="40" t="str">
        <f t="shared" si="2"/>
        <v/>
      </c>
      <c r="H227" s="41"/>
      <c r="I227" s="42"/>
      <c r="J227" s="42"/>
      <c r="K227" s="42"/>
      <c r="L227" s="42"/>
      <c r="M227" s="42"/>
      <c r="N227" s="42"/>
      <c r="O227" s="42"/>
      <c r="P227" s="42"/>
      <c r="Q227" s="42"/>
      <c r="R227" s="42"/>
      <c r="S227" s="42"/>
      <c r="T227" s="42"/>
      <c r="U227" s="42"/>
      <c r="V227" s="42"/>
      <c r="W227" s="42"/>
      <c r="X227" s="42"/>
      <c r="Y227" s="42"/>
      <c r="Z227" s="42"/>
      <c r="AA227" s="42"/>
    </row>
    <row r="228">
      <c r="A228" s="36" t="str">
        <f>IF($B228="","",VLOOKUP($B228,DADOS!$C$2:$I1014,2,0))</f>
        <v/>
      </c>
      <c r="B228" s="37"/>
      <c r="C228" s="36"/>
      <c r="D228" s="38" t="str">
        <f>IF($B228="","",SUM(VLOOKUP($B228,DADOS!$C$2:$I1014,4,0)*$C228))</f>
        <v/>
      </c>
      <c r="E228" s="38" t="str">
        <f>IF($B228="","",SUM(VLOOKUP($B228,DADOS!$C$2:$I1014,6,0)*$C228))</f>
        <v/>
      </c>
      <c r="F228" s="39" t="str">
        <f>IF($E228="","",(VLOOKUP($B228,DADOS!$C$2:$I1014,7,0)))</f>
        <v/>
      </c>
      <c r="G228" s="40" t="str">
        <f t="shared" si="2"/>
        <v/>
      </c>
      <c r="H228" s="41"/>
      <c r="I228" s="42"/>
      <c r="J228" s="42"/>
      <c r="K228" s="42"/>
      <c r="L228" s="42"/>
      <c r="M228" s="42"/>
      <c r="N228" s="42"/>
      <c r="O228" s="42"/>
      <c r="P228" s="42"/>
      <c r="Q228" s="42"/>
      <c r="R228" s="42"/>
      <c r="S228" s="42"/>
      <c r="T228" s="42"/>
      <c r="U228" s="42"/>
      <c r="V228" s="42"/>
      <c r="W228" s="42"/>
      <c r="X228" s="42"/>
      <c r="Y228" s="42"/>
      <c r="Z228" s="42"/>
      <c r="AA228" s="42"/>
    </row>
    <row r="229">
      <c r="A229" s="36" t="str">
        <f>IF($B229="","",VLOOKUP($B229,DADOS!$C$2:$I1014,2,0))</f>
        <v/>
      </c>
      <c r="B229" s="37"/>
      <c r="C229" s="36"/>
      <c r="D229" s="38" t="str">
        <f>IF($B229="","",SUM(VLOOKUP($B229,DADOS!$C$2:$I1014,4,0)*$C229))</f>
        <v/>
      </c>
      <c r="E229" s="38" t="str">
        <f>IF($B229="","",SUM(VLOOKUP($B229,DADOS!$C$2:$I1014,6,0)*$C229))</f>
        <v/>
      </c>
      <c r="F229" s="39" t="str">
        <f>IF($E229="","",(VLOOKUP($B229,DADOS!$C$2:$I1014,7,0)))</f>
        <v/>
      </c>
      <c r="G229" s="40" t="str">
        <f t="shared" si="2"/>
        <v/>
      </c>
      <c r="H229" s="41"/>
      <c r="I229" s="42"/>
      <c r="J229" s="42"/>
      <c r="K229" s="42"/>
      <c r="L229" s="42"/>
      <c r="M229" s="42"/>
      <c r="N229" s="42"/>
      <c r="O229" s="42"/>
      <c r="P229" s="42"/>
      <c r="Q229" s="42"/>
      <c r="R229" s="42"/>
      <c r="S229" s="42"/>
      <c r="T229" s="42"/>
      <c r="U229" s="42"/>
      <c r="V229" s="42"/>
      <c r="W229" s="42"/>
      <c r="X229" s="42"/>
      <c r="Y229" s="42"/>
      <c r="Z229" s="42"/>
      <c r="AA229" s="42"/>
    </row>
    <row r="230">
      <c r="A230" s="36" t="str">
        <f>IF($B230="","",VLOOKUP($B230,DADOS!$C$2:$I1014,2,0))</f>
        <v/>
      </c>
      <c r="B230" s="37"/>
      <c r="C230" s="36"/>
      <c r="D230" s="38" t="str">
        <f>IF($B230="","",SUM(VLOOKUP($B230,DADOS!$C$2:$I1014,4,0)*$C230))</f>
        <v/>
      </c>
      <c r="E230" s="38" t="str">
        <f>IF($B230="","",SUM(VLOOKUP($B230,DADOS!$C$2:$I1014,6,0)*$C230))</f>
        <v/>
      </c>
      <c r="F230" s="39" t="str">
        <f>IF($E230="","",(VLOOKUP($B230,DADOS!$C$2:$I1014,7,0)))</f>
        <v/>
      </c>
      <c r="G230" s="40" t="str">
        <f t="shared" si="2"/>
        <v/>
      </c>
      <c r="H230" s="41"/>
      <c r="I230" s="42"/>
      <c r="J230" s="42"/>
      <c r="K230" s="42"/>
      <c r="L230" s="42"/>
      <c r="M230" s="42"/>
      <c r="N230" s="42"/>
      <c r="O230" s="42"/>
      <c r="P230" s="42"/>
      <c r="Q230" s="42"/>
      <c r="R230" s="42"/>
      <c r="S230" s="42"/>
      <c r="T230" s="42"/>
      <c r="U230" s="42"/>
      <c r="V230" s="42"/>
      <c r="W230" s="42"/>
      <c r="X230" s="42"/>
      <c r="Y230" s="42"/>
      <c r="Z230" s="42"/>
      <c r="AA230" s="42"/>
    </row>
    <row r="231">
      <c r="A231" s="36" t="str">
        <f>IF($B231="","",VLOOKUP($B231,DADOS!$C$2:$I1014,2,0))</f>
        <v/>
      </c>
      <c r="B231" s="37"/>
      <c r="C231" s="36"/>
      <c r="D231" s="38" t="str">
        <f>IF($B231="","",SUM(VLOOKUP($B231,DADOS!$C$2:$I1014,4,0)*$C231))</f>
        <v/>
      </c>
      <c r="E231" s="38" t="str">
        <f>IF($B231="","",SUM(VLOOKUP($B231,DADOS!$C$2:$I1014,6,0)*$C231))</f>
        <v/>
      </c>
      <c r="F231" s="39" t="str">
        <f>IF($E231="","",(VLOOKUP($B231,DADOS!$C$2:$I1014,7,0)))</f>
        <v/>
      </c>
      <c r="G231" s="40" t="str">
        <f t="shared" si="2"/>
        <v/>
      </c>
      <c r="H231" s="41"/>
      <c r="I231" s="42"/>
      <c r="J231" s="42"/>
      <c r="K231" s="42"/>
      <c r="L231" s="42"/>
      <c r="M231" s="42"/>
      <c r="N231" s="42"/>
      <c r="O231" s="42"/>
      <c r="P231" s="42"/>
      <c r="Q231" s="42"/>
      <c r="R231" s="42"/>
      <c r="S231" s="42"/>
      <c r="T231" s="42"/>
      <c r="U231" s="42"/>
      <c r="V231" s="42"/>
      <c r="W231" s="42"/>
      <c r="X231" s="42"/>
      <c r="Y231" s="42"/>
      <c r="Z231" s="42"/>
      <c r="AA231" s="42"/>
    </row>
    <row r="232">
      <c r="A232" s="36" t="str">
        <f>IF($B232="","",VLOOKUP($B232,DADOS!$C$2:$I1014,2,0))</f>
        <v/>
      </c>
      <c r="B232" s="37"/>
      <c r="C232" s="36"/>
      <c r="D232" s="38" t="str">
        <f>IF($B232="","",SUM(VLOOKUP($B232,DADOS!$C$2:$I1014,4,0)*$C232))</f>
        <v/>
      </c>
      <c r="E232" s="38" t="str">
        <f>IF($B232="","",SUM(VLOOKUP($B232,DADOS!$C$2:$I1014,6,0)*$C232))</f>
        <v/>
      </c>
      <c r="F232" s="39" t="str">
        <f>IF($E232="","",(VLOOKUP($B232,DADOS!$C$2:$I1014,7,0)))</f>
        <v/>
      </c>
      <c r="G232" s="40" t="str">
        <f t="shared" si="2"/>
        <v/>
      </c>
      <c r="H232" s="41"/>
      <c r="I232" s="42"/>
      <c r="J232" s="42"/>
      <c r="K232" s="42"/>
      <c r="L232" s="42"/>
      <c r="M232" s="42"/>
      <c r="N232" s="42"/>
      <c r="O232" s="42"/>
      <c r="P232" s="42"/>
      <c r="Q232" s="42"/>
      <c r="R232" s="42"/>
      <c r="S232" s="42"/>
      <c r="T232" s="42"/>
      <c r="U232" s="42"/>
      <c r="V232" s="42"/>
      <c r="W232" s="42"/>
      <c r="X232" s="42"/>
      <c r="Y232" s="42"/>
      <c r="Z232" s="42"/>
      <c r="AA232" s="42"/>
    </row>
    <row r="233">
      <c r="A233" s="36" t="str">
        <f>IF($B233="","",VLOOKUP($B233,DADOS!$C$2:$I1014,2,0))</f>
        <v/>
      </c>
      <c r="B233" s="37"/>
      <c r="C233" s="36"/>
      <c r="D233" s="38" t="str">
        <f>IF($B233="","",SUM(VLOOKUP($B233,DADOS!$C$2:$I1014,4,0)*$C233))</f>
        <v/>
      </c>
      <c r="E233" s="38" t="str">
        <f>IF($B233="","",SUM(VLOOKUP($B233,DADOS!$C$2:$I1014,6,0)*$C233))</f>
        <v/>
      </c>
      <c r="F233" s="39" t="str">
        <f>IF($E233="","",(VLOOKUP($B233,DADOS!$C$2:$I1014,7,0)))</f>
        <v/>
      </c>
      <c r="G233" s="40" t="str">
        <f t="shared" si="2"/>
        <v/>
      </c>
      <c r="H233" s="41"/>
      <c r="I233" s="42"/>
      <c r="J233" s="42"/>
      <c r="K233" s="42"/>
      <c r="L233" s="42"/>
      <c r="M233" s="42"/>
      <c r="N233" s="42"/>
      <c r="O233" s="42"/>
      <c r="P233" s="42"/>
      <c r="Q233" s="42"/>
      <c r="R233" s="42"/>
      <c r="S233" s="42"/>
      <c r="T233" s="42"/>
      <c r="U233" s="42"/>
      <c r="V233" s="42"/>
      <c r="W233" s="42"/>
      <c r="X233" s="42"/>
      <c r="Y233" s="42"/>
      <c r="Z233" s="42"/>
      <c r="AA233" s="42"/>
    </row>
    <row r="234">
      <c r="A234" s="36" t="str">
        <f>IF($B234="","",VLOOKUP($B234,DADOS!$C$2:$I1014,2,0))</f>
        <v/>
      </c>
      <c r="B234" s="37"/>
      <c r="C234" s="36"/>
      <c r="D234" s="38" t="str">
        <f>IF($B234="","",SUM(VLOOKUP($B234,DADOS!$C$2:$I1014,4,0)*$C234))</f>
        <v/>
      </c>
      <c r="E234" s="38" t="str">
        <f>IF($B234="","",SUM(VLOOKUP($B234,DADOS!$C$2:$I1014,6,0)*$C234))</f>
        <v/>
      </c>
      <c r="F234" s="39" t="str">
        <f>IF($E234="","",(VLOOKUP($B234,DADOS!$C$2:$I1014,7,0)))</f>
        <v/>
      </c>
      <c r="G234" s="40" t="str">
        <f t="shared" si="2"/>
        <v/>
      </c>
      <c r="H234" s="41"/>
      <c r="I234" s="42"/>
      <c r="J234" s="42"/>
      <c r="K234" s="42"/>
      <c r="L234" s="42"/>
      <c r="M234" s="42"/>
      <c r="N234" s="42"/>
      <c r="O234" s="42"/>
      <c r="P234" s="42"/>
      <c r="Q234" s="42"/>
      <c r="R234" s="42"/>
      <c r="S234" s="42"/>
      <c r="T234" s="42"/>
      <c r="U234" s="42"/>
      <c r="V234" s="42"/>
      <c r="W234" s="42"/>
      <c r="X234" s="42"/>
      <c r="Y234" s="42"/>
      <c r="Z234" s="42"/>
      <c r="AA234" s="42"/>
    </row>
    <row r="235">
      <c r="A235" s="36" t="str">
        <f>IF($B235="","",VLOOKUP($B235,DADOS!$C$2:$I1014,2,0))</f>
        <v/>
      </c>
      <c r="B235" s="37"/>
      <c r="C235" s="36"/>
      <c r="D235" s="38" t="str">
        <f>IF($B235="","",SUM(VLOOKUP($B235,DADOS!$C$2:$I1014,4,0)*$C235))</f>
        <v/>
      </c>
      <c r="E235" s="38" t="str">
        <f>IF($B235="","",SUM(VLOOKUP($B235,DADOS!$C$2:$I1014,6,0)*$C235))</f>
        <v/>
      </c>
      <c r="F235" s="39" t="str">
        <f>IF($E235="","",(VLOOKUP($B235,DADOS!$C$2:$I1014,7,0)))</f>
        <v/>
      </c>
      <c r="G235" s="40" t="str">
        <f t="shared" si="2"/>
        <v/>
      </c>
      <c r="H235" s="41"/>
      <c r="I235" s="42"/>
      <c r="J235" s="42"/>
      <c r="K235" s="42"/>
      <c r="L235" s="42"/>
      <c r="M235" s="42"/>
      <c r="N235" s="42"/>
      <c r="O235" s="42"/>
      <c r="P235" s="42"/>
      <c r="Q235" s="42"/>
      <c r="R235" s="42"/>
      <c r="S235" s="42"/>
      <c r="T235" s="42"/>
      <c r="U235" s="42"/>
      <c r="V235" s="42"/>
      <c r="W235" s="42"/>
      <c r="X235" s="42"/>
      <c r="Y235" s="42"/>
      <c r="Z235" s="42"/>
      <c r="AA235" s="42"/>
    </row>
    <row r="236">
      <c r="A236" s="36" t="str">
        <f>IF($B236="","",VLOOKUP($B236,DADOS!$C$2:$I1014,2,0))</f>
        <v/>
      </c>
      <c r="B236" s="37"/>
      <c r="C236" s="36"/>
      <c r="D236" s="38" t="str">
        <f>IF($B236="","",SUM(VLOOKUP($B236,DADOS!$C$2:$I1014,4,0)*$C236))</f>
        <v/>
      </c>
      <c r="E236" s="38" t="str">
        <f>IF($B236="","",SUM(VLOOKUP($B236,DADOS!$C$2:$I1014,6,0)*$C236))</f>
        <v/>
      </c>
      <c r="F236" s="39" t="str">
        <f>IF($E236="","",(VLOOKUP($B236,DADOS!$C$2:$I1014,7,0)))</f>
        <v/>
      </c>
      <c r="G236" s="40" t="str">
        <f t="shared" si="2"/>
        <v/>
      </c>
      <c r="H236" s="41"/>
      <c r="I236" s="42"/>
      <c r="J236" s="42"/>
      <c r="K236" s="42"/>
      <c r="L236" s="42"/>
      <c r="M236" s="42"/>
      <c r="N236" s="42"/>
      <c r="O236" s="42"/>
      <c r="P236" s="42"/>
      <c r="Q236" s="42"/>
      <c r="R236" s="42"/>
      <c r="S236" s="42"/>
      <c r="T236" s="42"/>
      <c r="U236" s="42"/>
      <c r="V236" s="42"/>
      <c r="W236" s="42"/>
      <c r="X236" s="42"/>
      <c r="Y236" s="42"/>
      <c r="Z236" s="42"/>
      <c r="AA236" s="42"/>
    </row>
    <row r="237">
      <c r="A237" s="36" t="str">
        <f>IF($B237="","",VLOOKUP($B237,DADOS!$C$2:$I1014,2,0))</f>
        <v/>
      </c>
      <c r="B237" s="37"/>
      <c r="C237" s="36"/>
      <c r="D237" s="38" t="str">
        <f>IF($B237="","",SUM(VLOOKUP($B237,DADOS!$C$2:$I1014,4,0)*$C237))</f>
        <v/>
      </c>
      <c r="E237" s="38" t="str">
        <f>IF($B237="","",SUM(VLOOKUP($B237,DADOS!$C$2:$I1014,6,0)*$C237))</f>
        <v/>
      </c>
      <c r="F237" s="39" t="str">
        <f>IF($E237="","",(VLOOKUP($B237,DADOS!$C$2:$I1014,7,0)))</f>
        <v/>
      </c>
      <c r="G237" s="40" t="str">
        <f t="shared" si="2"/>
        <v/>
      </c>
      <c r="H237" s="41"/>
      <c r="I237" s="42"/>
      <c r="J237" s="42"/>
      <c r="K237" s="42"/>
      <c r="L237" s="42"/>
      <c r="M237" s="42"/>
      <c r="N237" s="42"/>
      <c r="O237" s="42"/>
      <c r="P237" s="42"/>
      <c r="Q237" s="42"/>
      <c r="R237" s="42"/>
      <c r="S237" s="42"/>
      <c r="T237" s="42"/>
      <c r="U237" s="42"/>
      <c r="V237" s="42"/>
      <c r="W237" s="42"/>
      <c r="X237" s="42"/>
      <c r="Y237" s="42"/>
      <c r="Z237" s="42"/>
      <c r="AA237" s="42"/>
    </row>
    <row r="238">
      <c r="A238" s="36" t="str">
        <f>IF($B238="","",VLOOKUP($B238,DADOS!$C$2:$I1014,2,0))</f>
        <v/>
      </c>
      <c r="B238" s="37"/>
      <c r="C238" s="36"/>
      <c r="D238" s="38" t="str">
        <f>IF($B238="","",SUM(VLOOKUP($B238,DADOS!$C$2:$I1014,4,0)*$C238))</f>
        <v/>
      </c>
      <c r="E238" s="38" t="str">
        <f>IF($B238="","",SUM(VLOOKUP($B238,DADOS!$C$2:$I1014,6,0)*$C238))</f>
        <v/>
      </c>
      <c r="F238" s="39" t="str">
        <f>IF($E238="","",(VLOOKUP($B238,DADOS!$C$2:$I1014,7,0)))</f>
        <v/>
      </c>
      <c r="G238" s="40" t="str">
        <f t="shared" si="2"/>
        <v/>
      </c>
      <c r="H238" s="41"/>
      <c r="I238" s="42"/>
      <c r="J238" s="42"/>
      <c r="K238" s="42"/>
      <c r="L238" s="42"/>
      <c r="M238" s="42"/>
      <c r="N238" s="42"/>
      <c r="O238" s="42"/>
      <c r="P238" s="42"/>
      <c r="Q238" s="42"/>
      <c r="R238" s="42"/>
      <c r="S238" s="42"/>
      <c r="T238" s="42"/>
      <c r="U238" s="42"/>
      <c r="V238" s="42"/>
      <c r="W238" s="42"/>
      <c r="X238" s="42"/>
      <c r="Y238" s="42"/>
      <c r="Z238" s="42"/>
      <c r="AA238" s="42"/>
    </row>
    <row r="239">
      <c r="A239" s="36" t="str">
        <f>IF($B239="","",VLOOKUP($B239,DADOS!$C$2:$I1014,2,0))</f>
        <v/>
      </c>
      <c r="B239" s="37"/>
      <c r="C239" s="36"/>
      <c r="D239" s="38" t="str">
        <f>IF($B239="","",SUM(VLOOKUP($B239,DADOS!$C$2:$I1014,4,0)*$C239))</f>
        <v/>
      </c>
      <c r="E239" s="38" t="str">
        <f>IF($B239="","",SUM(VLOOKUP($B239,DADOS!$C$2:$I1014,6,0)*$C239))</f>
        <v/>
      </c>
      <c r="F239" s="39" t="str">
        <f>IF($E239="","",(VLOOKUP($B239,DADOS!$C$2:$I1014,7,0)))</f>
        <v/>
      </c>
      <c r="G239" s="40" t="str">
        <f t="shared" si="2"/>
        <v/>
      </c>
      <c r="H239" s="41"/>
      <c r="I239" s="42"/>
      <c r="J239" s="42"/>
      <c r="K239" s="42"/>
      <c r="L239" s="42"/>
      <c r="M239" s="42"/>
      <c r="N239" s="42"/>
      <c r="O239" s="42"/>
      <c r="P239" s="42"/>
      <c r="Q239" s="42"/>
      <c r="R239" s="42"/>
      <c r="S239" s="42"/>
      <c r="T239" s="42"/>
      <c r="U239" s="42"/>
      <c r="V239" s="42"/>
      <c r="W239" s="42"/>
      <c r="X239" s="42"/>
      <c r="Y239" s="42"/>
      <c r="Z239" s="42"/>
      <c r="AA239" s="42"/>
    </row>
    <row r="240">
      <c r="A240" s="36" t="str">
        <f>IF($B240="","",VLOOKUP($B240,DADOS!$C$2:$I1014,2,0))</f>
        <v/>
      </c>
      <c r="B240" s="37"/>
      <c r="C240" s="36"/>
      <c r="D240" s="38" t="str">
        <f>IF($B240="","",SUM(VLOOKUP($B240,DADOS!$C$2:$I1014,4,0)*$C240))</f>
        <v/>
      </c>
      <c r="E240" s="38" t="str">
        <f>IF($B240="","",SUM(VLOOKUP($B240,DADOS!$C$2:$I1014,6,0)*$C240))</f>
        <v/>
      </c>
      <c r="F240" s="39" t="str">
        <f>IF($E240="","",(VLOOKUP($B240,DADOS!$C$2:$I1014,7,0)))</f>
        <v/>
      </c>
      <c r="G240" s="40" t="str">
        <f t="shared" si="2"/>
        <v/>
      </c>
      <c r="H240" s="41"/>
      <c r="I240" s="42"/>
      <c r="J240" s="42"/>
      <c r="K240" s="42"/>
      <c r="L240" s="42"/>
      <c r="M240" s="42"/>
      <c r="N240" s="42"/>
      <c r="O240" s="42"/>
      <c r="P240" s="42"/>
      <c r="Q240" s="42"/>
      <c r="R240" s="42"/>
      <c r="S240" s="42"/>
      <c r="T240" s="42"/>
      <c r="U240" s="42"/>
      <c r="V240" s="42"/>
      <c r="W240" s="42"/>
      <c r="X240" s="42"/>
      <c r="Y240" s="42"/>
      <c r="Z240" s="42"/>
      <c r="AA240" s="42"/>
    </row>
    <row r="241">
      <c r="A241" s="36" t="str">
        <f>IF($B241="","",VLOOKUP($B241,DADOS!$C$2:$I1014,2,0))</f>
        <v/>
      </c>
      <c r="B241" s="37"/>
      <c r="C241" s="36"/>
      <c r="D241" s="38" t="str">
        <f>IF($B241="","",SUM(VLOOKUP($B241,DADOS!$C$2:$I1014,4,0)*$C241))</f>
        <v/>
      </c>
      <c r="E241" s="38" t="str">
        <f>IF($B241="","",SUM(VLOOKUP($B241,DADOS!$C$2:$I1014,6,0)*$C241))</f>
        <v/>
      </c>
      <c r="F241" s="39" t="str">
        <f>IF($E241="","",(VLOOKUP($B241,DADOS!$C$2:$I1014,7,0)))</f>
        <v/>
      </c>
      <c r="G241" s="40" t="str">
        <f t="shared" si="2"/>
        <v/>
      </c>
      <c r="H241" s="41"/>
      <c r="I241" s="42"/>
      <c r="J241" s="42"/>
      <c r="K241" s="42"/>
      <c r="L241" s="42"/>
      <c r="M241" s="42"/>
      <c r="N241" s="42"/>
      <c r="O241" s="42"/>
      <c r="P241" s="42"/>
      <c r="Q241" s="42"/>
      <c r="R241" s="42"/>
      <c r="S241" s="42"/>
      <c r="T241" s="42"/>
      <c r="U241" s="42"/>
      <c r="V241" s="42"/>
      <c r="W241" s="42"/>
      <c r="X241" s="42"/>
      <c r="Y241" s="42"/>
      <c r="Z241" s="42"/>
      <c r="AA241" s="42"/>
    </row>
    <row r="242">
      <c r="A242" s="36" t="str">
        <f>IF($B242="","",VLOOKUP($B242,DADOS!$C$2:$I1014,2,0))</f>
        <v/>
      </c>
      <c r="B242" s="37"/>
      <c r="C242" s="36"/>
      <c r="D242" s="38" t="str">
        <f>IF($B242="","",SUM(VLOOKUP($B242,DADOS!$C$2:$I1014,4,0)*$C242))</f>
        <v/>
      </c>
      <c r="E242" s="38" t="str">
        <f>IF($B242="","",SUM(VLOOKUP($B242,DADOS!$C$2:$I1014,6,0)*$C242))</f>
        <v/>
      </c>
      <c r="F242" s="39" t="str">
        <f>IF($E242="","",(VLOOKUP($B242,DADOS!$C$2:$I1014,7,0)))</f>
        <v/>
      </c>
      <c r="G242" s="40" t="str">
        <f t="shared" si="2"/>
        <v/>
      </c>
      <c r="H242" s="41"/>
      <c r="I242" s="42"/>
      <c r="J242" s="42"/>
      <c r="K242" s="42"/>
      <c r="L242" s="42"/>
      <c r="M242" s="42"/>
      <c r="N242" s="42"/>
      <c r="O242" s="42"/>
      <c r="P242" s="42"/>
      <c r="Q242" s="42"/>
      <c r="R242" s="42"/>
      <c r="S242" s="42"/>
      <c r="T242" s="42"/>
      <c r="U242" s="42"/>
      <c r="V242" s="42"/>
      <c r="W242" s="42"/>
      <c r="X242" s="42"/>
      <c r="Y242" s="42"/>
      <c r="Z242" s="42"/>
      <c r="AA242" s="42"/>
    </row>
    <row r="243">
      <c r="A243" s="36" t="str">
        <f>IF($B243="","",VLOOKUP($B243,DADOS!$C$2:$I1014,2,0))</f>
        <v/>
      </c>
      <c r="B243" s="37"/>
      <c r="C243" s="36"/>
      <c r="D243" s="38" t="str">
        <f>IF($B243="","",SUM(VLOOKUP($B243,DADOS!$C$2:$I1014,4,0)*$C243))</f>
        <v/>
      </c>
      <c r="E243" s="38" t="str">
        <f>IF($B243="","",SUM(VLOOKUP($B243,DADOS!$C$2:$I1014,6,0)*$C243))</f>
        <v/>
      </c>
      <c r="F243" s="39" t="str">
        <f>IF($E243="","",(VLOOKUP($B243,DADOS!$C$2:$I1014,7,0)))</f>
        <v/>
      </c>
      <c r="G243" s="40" t="str">
        <f t="shared" si="2"/>
        <v/>
      </c>
      <c r="H243" s="41"/>
      <c r="I243" s="42"/>
      <c r="J243" s="42"/>
      <c r="K243" s="42"/>
      <c r="L243" s="42"/>
      <c r="M243" s="42"/>
      <c r="N243" s="42"/>
      <c r="O243" s="42"/>
      <c r="P243" s="42"/>
      <c r="Q243" s="42"/>
      <c r="R243" s="42"/>
      <c r="S243" s="42"/>
      <c r="T243" s="42"/>
      <c r="U243" s="42"/>
      <c r="V243" s="42"/>
      <c r="W243" s="42"/>
      <c r="X243" s="42"/>
      <c r="Y243" s="42"/>
      <c r="Z243" s="42"/>
      <c r="AA243" s="42"/>
    </row>
    <row r="244">
      <c r="A244" s="36" t="str">
        <f>IF($B244="","",VLOOKUP($B244,DADOS!$C$2:$I1014,2,0))</f>
        <v/>
      </c>
      <c r="B244" s="37"/>
      <c r="C244" s="36"/>
      <c r="D244" s="38" t="str">
        <f>IF($B244="","",SUM(VLOOKUP($B244,DADOS!$C$2:$I1014,4,0)*$C244))</f>
        <v/>
      </c>
      <c r="E244" s="38" t="str">
        <f>IF($B244="","",SUM(VLOOKUP($B244,DADOS!$C$2:$I1014,6,0)*$C244))</f>
        <v/>
      </c>
      <c r="F244" s="39" t="str">
        <f>IF($E244="","",(VLOOKUP($B244,DADOS!$C$2:$I1014,7,0)))</f>
        <v/>
      </c>
      <c r="G244" s="40" t="str">
        <f t="shared" si="2"/>
        <v/>
      </c>
      <c r="H244" s="41"/>
      <c r="I244" s="42"/>
      <c r="J244" s="42"/>
      <c r="K244" s="42"/>
      <c r="L244" s="42"/>
      <c r="M244" s="42"/>
      <c r="N244" s="42"/>
      <c r="O244" s="42"/>
      <c r="P244" s="42"/>
      <c r="Q244" s="42"/>
      <c r="R244" s="42"/>
      <c r="S244" s="42"/>
      <c r="T244" s="42"/>
      <c r="U244" s="42"/>
      <c r="V244" s="42"/>
      <c r="W244" s="42"/>
      <c r="X244" s="42"/>
      <c r="Y244" s="42"/>
      <c r="Z244" s="42"/>
      <c r="AA244" s="42"/>
    </row>
    <row r="245">
      <c r="A245" s="36" t="str">
        <f>IF($B245="","",VLOOKUP($B245,DADOS!$C$2:$I1014,2,0))</f>
        <v/>
      </c>
      <c r="B245" s="37"/>
      <c r="C245" s="36"/>
      <c r="D245" s="38" t="str">
        <f>IF($B245="","",SUM(VLOOKUP($B245,DADOS!$C$2:$I1014,4,0)*$C245))</f>
        <v/>
      </c>
      <c r="E245" s="38" t="str">
        <f>IF($B245="","",SUM(VLOOKUP($B245,DADOS!$C$2:$I1014,6,0)*$C245))</f>
        <v/>
      </c>
      <c r="F245" s="39" t="str">
        <f>IF($E245="","",(VLOOKUP($B245,DADOS!$C$2:$I1014,7,0)))</f>
        <v/>
      </c>
      <c r="G245" s="40" t="str">
        <f t="shared" si="2"/>
        <v/>
      </c>
      <c r="H245" s="41"/>
      <c r="I245" s="42"/>
      <c r="J245" s="42"/>
      <c r="K245" s="42"/>
      <c r="L245" s="42"/>
      <c r="M245" s="42"/>
      <c r="N245" s="42"/>
      <c r="O245" s="42"/>
      <c r="P245" s="42"/>
      <c r="Q245" s="42"/>
      <c r="R245" s="42"/>
      <c r="S245" s="42"/>
      <c r="T245" s="42"/>
      <c r="U245" s="42"/>
      <c r="V245" s="42"/>
      <c r="W245" s="42"/>
      <c r="X245" s="42"/>
      <c r="Y245" s="42"/>
      <c r="Z245" s="42"/>
      <c r="AA245" s="42"/>
    </row>
    <row r="246">
      <c r="A246" s="36" t="str">
        <f>IF($B246="","",VLOOKUP($B246,DADOS!$C$2:$I1014,2,0))</f>
        <v/>
      </c>
      <c r="B246" s="37"/>
      <c r="C246" s="36"/>
      <c r="D246" s="38" t="str">
        <f>IF($B246="","",SUM(VLOOKUP($B246,DADOS!$C$2:$I1014,4,0)*$C246))</f>
        <v/>
      </c>
      <c r="E246" s="38" t="str">
        <f>IF($B246="","",SUM(VLOOKUP($B246,DADOS!$C$2:$I1014,6,0)*$C246))</f>
        <v/>
      </c>
      <c r="F246" s="39" t="str">
        <f>IF($E246="","",(VLOOKUP($B246,DADOS!$C$2:$I1014,7,0)))</f>
        <v/>
      </c>
      <c r="G246" s="40" t="str">
        <f t="shared" si="2"/>
        <v/>
      </c>
      <c r="H246" s="41"/>
      <c r="I246" s="42"/>
      <c r="J246" s="42"/>
      <c r="K246" s="42"/>
      <c r="L246" s="42"/>
      <c r="M246" s="42"/>
      <c r="N246" s="42"/>
      <c r="O246" s="42"/>
      <c r="P246" s="42"/>
      <c r="Q246" s="42"/>
      <c r="R246" s="42"/>
      <c r="S246" s="42"/>
      <c r="T246" s="42"/>
      <c r="U246" s="42"/>
      <c r="V246" s="42"/>
      <c r="W246" s="42"/>
      <c r="X246" s="42"/>
      <c r="Y246" s="42"/>
      <c r="Z246" s="42"/>
      <c r="AA246" s="42"/>
    </row>
    <row r="247">
      <c r="A247" s="36" t="str">
        <f>IF($B247="","",VLOOKUP($B247,DADOS!$C$2:$I1014,2,0))</f>
        <v/>
      </c>
      <c r="B247" s="37"/>
      <c r="C247" s="36"/>
      <c r="D247" s="38" t="str">
        <f>IF($B247="","",SUM(VLOOKUP($B247,DADOS!$C$2:$I1014,4,0)*$C247))</f>
        <v/>
      </c>
      <c r="E247" s="38" t="str">
        <f>IF($B247="","",SUM(VLOOKUP($B247,DADOS!$C$2:$I1014,6,0)*$C247))</f>
        <v/>
      </c>
      <c r="F247" s="39" t="str">
        <f>IF($E247="","",(VLOOKUP($B247,DADOS!$C$2:$I1014,7,0)))</f>
        <v/>
      </c>
      <c r="G247" s="40" t="str">
        <f t="shared" si="2"/>
        <v/>
      </c>
      <c r="H247" s="41"/>
      <c r="I247" s="42"/>
      <c r="J247" s="42"/>
      <c r="K247" s="42"/>
      <c r="L247" s="42"/>
      <c r="M247" s="42"/>
      <c r="N247" s="42"/>
      <c r="O247" s="42"/>
      <c r="P247" s="42"/>
      <c r="Q247" s="42"/>
      <c r="R247" s="42"/>
      <c r="S247" s="42"/>
      <c r="T247" s="42"/>
      <c r="U247" s="42"/>
      <c r="V247" s="42"/>
      <c r="W247" s="42"/>
      <c r="X247" s="42"/>
      <c r="Y247" s="42"/>
      <c r="Z247" s="42"/>
      <c r="AA247" s="42"/>
    </row>
    <row r="248">
      <c r="A248" s="36" t="str">
        <f>IF($B248="","",VLOOKUP($B248,DADOS!$C$2:$I1014,2,0))</f>
        <v/>
      </c>
      <c r="B248" s="37"/>
      <c r="C248" s="36"/>
      <c r="D248" s="38" t="str">
        <f>IF($B248="","",SUM(VLOOKUP($B248,DADOS!$C$2:$I1014,4,0)*$C248))</f>
        <v/>
      </c>
      <c r="E248" s="38" t="str">
        <f>IF($B248="","",SUM(VLOOKUP($B248,DADOS!$C$2:$I1014,6,0)*$C248))</f>
        <v/>
      </c>
      <c r="F248" s="39" t="str">
        <f>IF($E248="","",(VLOOKUP($B248,DADOS!$C$2:$I1014,7,0)))</f>
        <v/>
      </c>
      <c r="G248" s="40" t="str">
        <f t="shared" si="2"/>
        <v/>
      </c>
      <c r="H248" s="41"/>
      <c r="I248" s="42"/>
      <c r="J248" s="42"/>
      <c r="K248" s="42"/>
      <c r="L248" s="42"/>
      <c r="M248" s="42"/>
      <c r="N248" s="42"/>
      <c r="O248" s="42"/>
      <c r="P248" s="42"/>
      <c r="Q248" s="42"/>
      <c r="R248" s="42"/>
      <c r="S248" s="42"/>
      <c r="T248" s="42"/>
      <c r="U248" s="42"/>
      <c r="V248" s="42"/>
      <c r="W248" s="42"/>
      <c r="X248" s="42"/>
      <c r="Y248" s="42"/>
      <c r="Z248" s="42"/>
      <c r="AA248" s="42"/>
    </row>
    <row r="249">
      <c r="A249" s="36" t="str">
        <f>IF($B249="","",VLOOKUP($B249,DADOS!$C$2:$I1014,2,0))</f>
        <v/>
      </c>
      <c r="B249" s="37"/>
      <c r="C249" s="36"/>
      <c r="D249" s="38" t="str">
        <f>IF($B249="","",SUM(VLOOKUP($B249,DADOS!$C$2:$I1014,4,0)*$C249))</f>
        <v/>
      </c>
      <c r="E249" s="38" t="str">
        <f>IF($B249="","",SUM(VLOOKUP($B249,DADOS!$C$2:$I1014,6,0)*$C249))</f>
        <v/>
      </c>
      <c r="F249" s="39" t="str">
        <f>IF($E249="","",(VLOOKUP($B249,DADOS!$C$2:$I1014,7,0)))</f>
        <v/>
      </c>
      <c r="G249" s="40" t="str">
        <f t="shared" si="2"/>
        <v/>
      </c>
      <c r="H249" s="41"/>
      <c r="I249" s="42"/>
      <c r="J249" s="42"/>
      <c r="K249" s="42"/>
      <c r="L249" s="42"/>
      <c r="M249" s="42"/>
      <c r="N249" s="42"/>
      <c r="O249" s="42"/>
      <c r="P249" s="42"/>
      <c r="Q249" s="42"/>
      <c r="R249" s="42"/>
      <c r="S249" s="42"/>
      <c r="T249" s="42"/>
      <c r="U249" s="42"/>
      <c r="V249" s="42"/>
      <c r="W249" s="42"/>
      <c r="X249" s="42"/>
      <c r="Y249" s="42"/>
      <c r="Z249" s="42"/>
      <c r="AA249" s="42"/>
    </row>
    <row r="250">
      <c r="A250" s="36" t="str">
        <f>IF($B250="","",VLOOKUP($B250,DADOS!$C$2:$I1014,2,0))</f>
        <v/>
      </c>
      <c r="B250" s="37"/>
      <c r="C250" s="36"/>
      <c r="D250" s="38" t="str">
        <f>IF($B250="","",SUM(VLOOKUP($B250,DADOS!$C$2:$I1014,4,0)*$C250))</f>
        <v/>
      </c>
      <c r="E250" s="38" t="str">
        <f>IF($B250="","",SUM(VLOOKUP($B250,DADOS!$C$2:$I1014,6,0)*$C250))</f>
        <v/>
      </c>
      <c r="F250" s="39" t="str">
        <f>IF($E250="","",(VLOOKUP($B250,DADOS!$C$2:$I1014,7,0)))</f>
        <v/>
      </c>
      <c r="G250" s="40" t="str">
        <f t="shared" si="2"/>
        <v/>
      </c>
      <c r="H250" s="41"/>
      <c r="I250" s="42"/>
      <c r="J250" s="42"/>
      <c r="K250" s="42"/>
      <c r="L250" s="42"/>
      <c r="M250" s="42"/>
      <c r="N250" s="42"/>
      <c r="O250" s="42"/>
      <c r="P250" s="42"/>
      <c r="Q250" s="42"/>
      <c r="R250" s="42"/>
      <c r="S250" s="42"/>
      <c r="T250" s="42"/>
      <c r="U250" s="42"/>
      <c r="V250" s="42"/>
      <c r="W250" s="42"/>
      <c r="X250" s="42"/>
      <c r="Y250" s="42"/>
      <c r="Z250" s="42"/>
      <c r="AA250" s="42"/>
    </row>
    <row r="251">
      <c r="A251" s="36" t="str">
        <f>IF($B251="","",VLOOKUP($B251,DADOS!$C$2:$I1014,2,0))</f>
        <v/>
      </c>
      <c r="B251" s="37"/>
      <c r="C251" s="36"/>
      <c r="D251" s="38" t="str">
        <f>IF($B251="","",SUM(VLOOKUP($B251,DADOS!$C$2:$I1014,4,0)*$C251))</f>
        <v/>
      </c>
      <c r="E251" s="38" t="str">
        <f>IF($B251="","",SUM(VLOOKUP($B251,DADOS!$C$2:$I1014,6,0)*$C251))</f>
        <v/>
      </c>
      <c r="F251" s="39" t="str">
        <f>IF($E251="","",(VLOOKUP($B251,DADOS!$C$2:$I1014,7,0)))</f>
        <v/>
      </c>
      <c r="G251" s="40" t="str">
        <f t="shared" si="2"/>
        <v/>
      </c>
      <c r="H251" s="41"/>
      <c r="I251" s="42"/>
      <c r="J251" s="42"/>
      <c r="K251" s="42"/>
      <c r="L251" s="42"/>
      <c r="M251" s="42"/>
      <c r="N251" s="42"/>
      <c r="O251" s="42"/>
      <c r="P251" s="42"/>
      <c r="Q251" s="42"/>
      <c r="R251" s="42"/>
      <c r="S251" s="42"/>
      <c r="T251" s="42"/>
      <c r="U251" s="42"/>
      <c r="V251" s="42"/>
      <c r="W251" s="42"/>
      <c r="X251" s="42"/>
      <c r="Y251" s="42"/>
      <c r="Z251" s="42"/>
      <c r="AA251" s="42"/>
    </row>
    <row r="252">
      <c r="A252" s="36" t="str">
        <f>IF($B252="","",VLOOKUP($B252,DADOS!$C$2:$I1014,2,0))</f>
        <v/>
      </c>
      <c r="B252" s="37"/>
      <c r="C252" s="36"/>
      <c r="D252" s="38" t="str">
        <f>IF($B252="","",SUM(VLOOKUP($B252,DADOS!$C$2:$I1014,4,0)*$C252))</f>
        <v/>
      </c>
      <c r="E252" s="38" t="str">
        <f>IF($B252="","",SUM(VLOOKUP($B252,DADOS!$C$2:$I1014,6,0)*$C252))</f>
        <v/>
      </c>
      <c r="F252" s="39" t="str">
        <f>IF($E252="","",(VLOOKUP($B252,DADOS!$C$2:$I1014,7,0)))</f>
        <v/>
      </c>
      <c r="G252" s="40" t="str">
        <f t="shared" si="2"/>
        <v/>
      </c>
      <c r="H252" s="41"/>
      <c r="I252" s="42"/>
      <c r="J252" s="42"/>
      <c r="K252" s="42"/>
      <c r="L252" s="42"/>
      <c r="M252" s="42"/>
      <c r="N252" s="42"/>
      <c r="O252" s="42"/>
      <c r="P252" s="42"/>
      <c r="Q252" s="42"/>
      <c r="R252" s="42"/>
      <c r="S252" s="42"/>
      <c r="T252" s="42"/>
      <c r="U252" s="42"/>
      <c r="V252" s="42"/>
      <c r="W252" s="42"/>
      <c r="X252" s="42"/>
      <c r="Y252" s="42"/>
      <c r="Z252" s="42"/>
      <c r="AA252" s="42"/>
    </row>
    <row r="253">
      <c r="A253" s="36" t="str">
        <f>IF($B253="","",VLOOKUP($B253,DADOS!$C$2:$I1014,2,0))</f>
        <v/>
      </c>
      <c r="B253" s="37"/>
      <c r="C253" s="36"/>
      <c r="D253" s="38" t="str">
        <f>IF($B253="","",SUM(VLOOKUP($B253,DADOS!$C$2:$I1014,4,0)*$C253))</f>
        <v/>
      </c>
      <c r="E253" s="38" t="str">
        <f>IF($B253="","",SUM(VLOOKUP($B253,DADOS!$C$2:$I1014,6,0)*$C253))</f>
        <v/>
      </c>
      <c r="F253" s="39" t="str">
        <f>IF($E253="","",(VLOOKUP($B253,DADOS!$C$2:$I1014,7,0)))</f>
        <v/>
      </c>
      <c r="G253" s="40" t="str">
        <f t="shared" si="2"/>
        <v/>
      </c>
      <c r="H253" s="41"/>
      <c r="I253" s="42"/>
      <c r="J253" s="42"/>
      <c r="K253" s="42"/>
      <c r="L253" s="42"/>
      <c r="M253" s="42"/>
      <c r="N253" s="42"/>
      <c r="O253" s="42"/>
      <c r="P253" s="42"/>
      <c r="Q253" s="42"/>
      <c r="R253" s="42"/>
      <c r="S253" s="42"/>
      <c r="T253" s="42"/>
      <c r="U253" s="42"/>
      <c r="V253" s="42"/>
      <c r="W253" s="42"/>
      <c r="X253" s="42"/>
      <c r="Y253" s="42"/>
      <c r="Z253" s="42"/>
      <c r="AA253" s="42"/>
    </row>
    <row r="254">
      <c r="A254" s="36" t="str">
        <f>IF($B254="","",VLOOKUP($B254,DADOS!$C$2:$I1014,2,0))</f>
        <v/>
      </c>
      <c r="B254" s="37"/>
      <c r="C254" s="36"/>
      <c r="D254" s="38" t="str">
        <f>IF($B254="","",SUM(VLOOKUP($B254,DADOS!$C$2:$I1014,4,0)*$C254))</f>
        <v/>
      </c>
      <c r="E254" s="38" t="str">
        <f>IF($B254="","",SUM(VLOOKUP($B254,DADOS!$C$2:$I1014,6,0)*$C254))</f>
        <v/>
      </c>
      <c r="F254" s="39" t="str">
        <f>IF($E254="","",(VLOOKUP($B254,DADOS!$C$2:$I1014,7,0)))</f>
        <v/>
      </c>
      <c r="G254" s="40" t="str">
        <f t="shared" si="2"/>
        <v/>
      </c>
      <c r="H254" s="41"/>
      <c r="I254" s="42"/>
      <c r="J254" s="42"/>
      <c r="K254" s="42"/>
      <c r="L254" s="42"/>
      <c r="M254" s="42"/>
      <c r="N254" s="42"/>
      <c r="O254" s="42"/>
      <c r="P254" s="42"/>
      <c r="Q254" s="42"/>
      <c r="R254" s="42"/>
      <c r="S254" s="42"/>
      <c r="T254" s="42"/>
      <c r="U254" s="42"/>
      <c r="V254" s="42"/>
      <c r="W254" s="42"/>
      <c r="X254" s="42"/>
      <c r="Y254" s="42"/>
      <c r="Z254" s="42"/>
      <c r="AA254" s="42"/>
    </row>
    <row r="255">
      <c r="A255" s="36" t="str">
        <f>IF($B255="","",VLOOKUP($B255,DADOS!$C$2:$I1014,2,0))</f>
        <v/>
      </c>
      <c r="B255" s="37"/>
      <c r="C255" s="36"/>
      <c r="D255" s="38" t="str">
        <f>IF($B255="","",SUM(VLOOKUP($B255,DADOS!$C$2:$I1014,4,0)*$C255))</f>
        <v/>
      </c>
      <c r="E255" s="38" t="str">
        <f>IF($B255="","",SUM(VLOOKUP($B255,DADOS!$C$2:$I1014,6,0)*$C255))</f>
        <v/>
      </c>
      <c r="F255" s="39" t="str">
        <f>IF($E255="","",(VLOOKUP($B255,DADOS!$C$2:$I1014,7,0)))</f>
        <v/>
      </c>
      <c r="G255" s="40" t="str">
        <f t="shared" si="2"/>
        <v/>
      </c>
      <c r="H255" s="41"/>
      <c r="I255" s="42"/>
      <c r="J255" s="42"/>
      <c r="K255" s="42"/>
      <c r="L255" s="42"/>
      <c r="M255" s="42"/>
      <c r="N255" s="42"/>
      <c r="O255" s="42"/>
      <c r="P255" s="42"/>
      <c r="Q255" s="42"/>
      <c r="R255" s="42"/>
      <c r="S255" s="42"/>
      <c r="T255" s="42"/>
      <c r="U255" s="42"/>
      <c r="V255" s="42"/>
      <c r="W255" s="42"/>
      <c r="X255" s="42"/>
      <c r="Y255" s="42"/>
      <c r="Z255" s="42"/>
      <c r="AA255" s="42"/>
    </row>
    <row r="256">
      <c r="A256" s="36" t="str">
        <f>IF($B256="","",VLOOKUP($B256,DADOS!$C$2:$I1014,2,0))</f>
        <v/>
      </c>
      <c r="B256" s="37"/>
      <c r="C256" s="36"/>
      <c r="D256" s="38" t="str">
        <f>IF($B256="","",SUM(VLOOKUP($B256,DADOS!$C$2:$I1014,4,0)*$C256))</f>
        <v/>
      </c>
      <c r="E256" s="38" t="str">
        <f>IF($B256="","",SUM(VLOOKUP($B256,DADOS!$C$2:$I1014,6,0)*$C256))</f>
        <v/>
      </c>
      <c r="F256" s="39" t="str">
        <f>IF($E256="","",(VLOOKUP($B256,DADOS!$C$2:$I1014,7,0)))</f>
        <v/>
      </c>
      <c r="G256" s="40" t="str">
        <f t="shared" si="2"/>
        <v/>
      </c>
      <c r="H256" s="41"/>
      <c r="I256" s="42"/>
      <c r="J256" s="42"/>
      <c r="K256" s="42"/>
      <c r="L256" s="42"/>
      <c r="M256" s="42"/>
      <c r="N256" s="42"/>
      <c r="O256" s="42"/>
      <c r="P256" s="42"/>
      <c r="Q256" s="42"/>
      <c r="R256" s="42"/>
      <c r="S256" s="42"/>
      <c r="T256" s="42"/>
      <c r="U256" s="42"/>
      <c r="V256" s="42"/>
      <c r="W256" s="42"/>
      <c r="X256" s="42"/>
      <c r="Y256" s="42"/>
      <c r="Z256" s="42"/>
      <c r="AA256" s="42"/>
    </row>
    <row r="257">
      <c r="A257" s="36" t="str">
        <f>IF($B257="","",VLOOKUP($B257,DADOS!$C$2:$I1014,2,0))</f>
        <v/>
      </c>
      <c r="B257" s="37"/>
      <c r="C257" s="36"/>
      <c r="D257" s="38" t="str">
        <f>IF($B257="","",SUM(VLOOKUP($B257,DADOS!$C$2:$I1014,4,0)*$C257))</f>
        <v/>
      </c>
      <c r="E257" s="38" t="str">
        <f>IF($B257="","",SUM(VLOOKUP($B257,DADOS!$C$2:$I1014,6,0)*$C257))</f>
        <v/>
      </c>
      <c r="F257" s="39" t="str">
        <f>IF($E257="","",(VLOOKUP($B257,DADOS!$C$2:$I1014,7,0)))</f>
        <v/>
      </c>
      <c r="G257" s="40" t="str">
        <f t="shared" si="2"/>
        <v/>
      </c>
      <c r="H257" s="41"/>
      <c r="I257" s="42"/>
      <c r="J257" s="42"/>
      <c r="K257" s="42"/>
      <c r="L257" s="42"/>
      <c r="M257" s="42"/>
      <c r="N257" s="42"/>
      <c r="O257" s="42"/>
      <c r="P257" s="42"/>
      <c r="Q257" s="42"/>
      <c r="R257" s="42"/>
      <c r="S257" s="42"/>
      <c r="T257" s="42"/>
      <c r="U257" s="42"/>
      <c r="V257" s="42"/>
      <c r="W257" s="42"/>
      <c r="X257" s="42"/>
      <c r="Y257" s="42"/>
      <c r="Z257" s="42"/>
      <c r="AA257" s="42"/>
    </row>
    <row r="258">
      <c r="A258" s="36" t="str">
        <f>IF($B258="","",VLOOKUP($B258,DADOS!$C$2:$I1014,2,0))</f>
        <v/>
      </c>
      <c r="B258" s="37"/>
      <c r="C258" s="36"/>
      <c r="D258" s="38" t="str">
        <f>IF($B258="","",SUM(VLOOKUP($B258,DADOS!$C$2:$I1014,4,0)*$C258))</f>
        <v/>
      </c>
      <c r="E258" s="38" t="str">
        <f>IF($B258="","",SUM(VLOOKUP($B258,DADOS!$C$2:$I1014,6,0)*$C258))</f>
        <v/>
      </c>
      <c r="F258" s="39" t="str">
        <f>IF($E258="","",(VLOOKUP($B258,DADOS!$C$2:$I1014,7,0)))</f>
        <v/>
      </c>
      <c r="G258" s="40" t="str">
        <f t="shared" si="2"/>
        <v/>
      </c>
      <c r="H258" s="41"/>
      <c r="I258" s="42"/>
      <c r="J258" s="42"/>
      <c r="K258" s="42"/>
      <c r="L258" s="42"/>
      <c r="M258" s="42"/>
      <c r="N258" s="42"/>
      <c r="O258" s="42"/>
      <c r="P258" s="42"/>
      <c r="Q258" s="42"/>
      <c r="R258" s="42"/>
      <c r="S258" s="42"/>
      <c r="T258" s="42"/>
      <c r="U258" s="42"/>
      <c r="V258" s="42"/>
      <c r="W258" s="42"/>
      <c r="X258" s="42"/>
      <c r="Y258" s="42"/>
      <c r="Z258" s="42"/>
      <c r="AA258" s="42"/>
    </row>
    <row r="259">
      <c r="A259" s="36" t="str">
        <f>IF($B259="","",VLOOKUP($B259,DADOS!$C$2:$I1014,2,0))</f>
        <v/>
      </c>
      <c r="B259" s="37"/>
      <c r="C259" s="36"/>
      <c r="D259" s="38" t="str">
        <f>IF($B259="","",SUM(VLOOKUP($B259,DADOS!$C$2:$I1014,4,0)*$C259))</f>
        <v/>
      </c>
      <c r="E259" s="38" t="str">
        <f>IF($B259="","",SUM(VLOOKUP($B259,DADOS!$C$2:$I1014,6,0)*$C259))</f>
        <v/>
      </c>
      <c r="F259" s="39" t="str">
        <f>IF($E259="","",(VLOOKUP($B259,DADOS!$C$2:$I1014,7,0)))</f>
        <v/>
      </c>
      <c r="G259" s="40" t="str">
        <f t="shared" si="2"/>
        <v/>
      </c>
      <c r="H259" s="41"/>
      <c r="I259" s="42"/>
      <c r="J259" s="42"/>
      <c r="K259" s="42"/>
      <c r="L259" s="42"/>
      <c r="M259" s="42"/>
      <c r="N259" s="42"/>
      <c r="O259" s="42"/>
      <c r="P259" s="42"/>
      <c r="Q259" s="42"/>
      <c r="R259" s="42"/>
      <c r="S259" s="42"/>
      <c r="T259" s="42"/>
      <c r="U259" s="42"/>
      <c r="V259" s="42"/>
      <c r="W259" s="42"/>
      <c r="X259" s="42"/>
      <c r="Y259" s="42"/>
      <c r="Z259" s="42"/>
      <c r="AA259" s="42"/>
    </row>
    <row r="260">
      <c r="A260" s="36" t="str">
        <f>IF($B260="","",VLOOKUP($B260,DADOS!$C$2:$I1014,2,0))</f>
        <v/>
      </c>
      <c r="B260" s="37"/>
      <c r="C260" s="36"/>
      <c r="D260" s="38" t="str">
        <f>IF($B260="","",SUM(VLOOKUP($B260,DADOS!$C$2:$I1014,4,0)*$C260))</f>
        <v/>
      </c>
      <c r="E260" s="38" t="str">
        <f>IF($B260="","",SUM(VLOOKUP($B260,DADOS!$C$2:$I1014,6,0)*$C260))</f>
        <v/>
      </c>
      <c r="F260" s="39" t="str">
        <f>IF($E260="","",(VLOOKUP($B260,DADOS!$C$2:$I1014,7,0)))</f>
        <v/>
      </c>
      <c r="G260" s="40" t="str">
        <f t="shared" si="2"/>
        <v/>
      </c>
      <c r="H260" s="41"/>
      <c r="I260" s="42"/>
      <c r="J260" s="42"/>
      <c r="K260" s="42"/>
      <c r="L260" s="42"/>
      <c r="M260" s="42"/>
      <c r="N260" s="42"/>
      <c r="O260" s="42"/>
      <c r="P260" s="42"/>
      <c r="Q260" s="42"/>
      <c r="R260" s="42"/>
      <c r="S260" s="42"/>
      <c r="T260" s="42"/>
      <c r="U260" s="42"/>
      <c r="V260" s="42"/>
      <c r="W260" s="42"/>
      <c r="X260" s="42"/>
      <c r="Y260" s="42"/>
      <c r="Z260" s="42"/>
      <c r="AA260" s="42"/>
    </row>
    <row r="261">
      <c r="A261" s="36" t="str">
        <f>IF($B261="","",VLOOKUP($B261,DADOS!$C$2:$I1014,2,0))</f>
        <v/>
      </c>
      <c r="B261" s="37"/>
      <c r="C261" s="36"/>
      <c r="D261" s="38" t="str">
        <f>IF($B261="","",SUM(VLOOKUP($B261,DADOS!$C$2:$I1014,4,0)*$C261))</f>
        <v/>
      </c>
      <c r="E261" s="38" t="str">
        <f>IF($B261="","",SUM(VLOOKUP($B261,DADOS!$C$2:$I1014,6,0)*$C261))</f>
        <v/>
      </c>
      <c r="F261" s="39" t="str">
        <f>IF($E261="","",(VLOOKUP($B261,DADOS!$C$2:$I1014,7,0)))</f>
        <v/>
      </c>
      <c r="G261" s="40" t="str">
        <f t="shared" si="2"/>
        <v/>
      </c>
      <c r="H261" s="41"/>
      <c r="I261" s="42"/>
      <c r="J261" s="42"/>
      <c r="K261" s="42"/>
      <c r="L261" s="42"/>
      <c r="M261" s="42"/>
      <c r="N261" s="42"/>
      <c r="O261" s="42"/>
      <c r="P261" s="42"/>
      <c r="Q261" s="42"/>
      <c r="R261" s="42"/>
      <c r="S261" s="42"/>
      <c r="T261" s="42"/>
      <c r="U261" s="42"/>
      <c r="V261" s="42"/>
      <c r="W261" s="42"/>
      <c r="X261" s="42"/>
      <c r="Y261" s="42"/>
      <c r="Z261" s="42"/>
      <c r="AA261" s="42"/>
    </row>
    <row r="262">
      <c r="A262" s="36" t="str">
        <f>IF($B262="","",VLOOKUP($B262,DADOS!$C$2:$I1014,2,0))</f>
        <v/>
      </c>
      <c r="B262" s="37"/>
      <c r="C262" s="36"/>
      <c r="D262" s="38" t="str">
        <f>IF($B262="","",SUM(VLOOKUP($B262,DADOS!$C$2:$I1014,4,0)*$C262))</f>
        <v/>
      </c>
      <c r="E262" s="38" t="str">
        <f>IF($B262="","",SUM(VLOOKUP($B262,DADOS!$C$2:$I1014,6,0)*$C262))</f>
        <v/>
      </c>
      <c r="F262" s="39" t="str">
        <f>IF($E262="","",(VLOOKUP($B262,DADOS!$C$2:$I1014,7,0)))</f>
        <v/>
      </c>
      <c r="G262" s="40" t="str">
        <f t="shared" si="2"/>
        <v/>
      </c>
      <c r="H262" s="41"/>
      <c r="I262" s="42"/>
      <c r="J262" s="42"/>
      <c r="K262" s="42"/>
      <c r="L262" s="42"/>
      <c r="M262" s="42"/>
      <c r="N262" s="42"/>
      <c r="O262" s="42"/>
      <c r="P262" s="42"/>
      <c r="Q262" s="42"/>
      <c r="R262" s="42"/>
      <c r="S262" s="42"/>
      <c r="T262" s="42"/>
      <c r="U262" s="42"/>
      <c r="V262" s="42"/>
      <c r="W262" s="42"/>
      <c r="X262" s="42"/>
      <c r="Y262" s="42"/>
      <c r="Z262" s="42"/>
      <c r="AA262" s="42"/>
    </row>
    <row r="263">
      <c r="A263" s="36" t="str">
        <f>IF($B263="","",VLOOKUP($B263,DADOS!$C$2:$I1014,2,0))</f>
        <v/>
      </c>
      <c r="B263" s="37"/>
      <c r="C263" s="36"/>
      <c r="D263" s="38" t="str">
        <f>IF($B263="","",SUM(VLOOKUP($B263,DADOS!$C$2:$I1014,4,0)*$C263))</f>
        <v/>
      </c>
      <c r="E263" s="38" t="str">
        <f>IF($B263="","",SUM(VLOOKUP($B263,DADOS!$C$2:$I1014,6,0)*$C263))</f>
        <v/>
      </c>
      <c r="F263" s="39" t="str">
        <f>IF($E263="","",(VLOOKUP($B263,DADOS!$C$2:$I1014,7,0)))</f>
        <v/>
      </c>
      <c r="G263" s="40" t="str">
        <f t="shared" si="2"/>
        <v/>
      </c>
      <c r="H263" s="41"/>
      <c r="I263" s="42"/>
      <c r="J263" s="42"/>
      <c r="K263" s="42"/>
      <c r="L263" s="42"/>
      <c r="M263" s="42"/>
      <c r="N263" s="42"/>
      <c r="O263" s="42"/>
      <c r="P263" s="42"/>
      <c r="Q263" s="42"/>
      <c r="R263" s="42"/>
      <c r="S263" s="42"/>
      <c r="T263" s="42"/>
      <c r="U263" s="42"/>
      <c r="V263" s="42"/>
      <c r="W263" s="42"/>
      <c r="X263" s="42"/>
      <c r="Y263" s="42"/>
      <c r="Z263" s="42"/>
      <c r="AA263" s="42"/>
    </row>
    <row r="264">
      <c r="A264" s="36" t="str">
        <f>IF($B264="","",VLOOKUP($B264,DADOS!$C$2:$I1014,2,0))</f>
        <v/>
      </c>
      <c r="B264" s="37"/>
      <c r="C264" s="36"/>
      <c r="D264" s="38" t="str">
        <f>IF($B264="","",SUM(VLOOKUP($B264,DADOS!$C$2:$I1014,4,0)*$C264))</f>
        <v/>
      </c>
      <c r="E264" s="38" t="str">
        <f>IF($B264="","",SUM(VLOOKUP($B264,DADOS!$C$2:$I1014,6,0)*$C264))</f>
        <v/>
      </c>
      <c r="F264" s="39" t="str">
        <f>IF($E264="","",(VLOOKUP($B264,DADOS!$C$2:$I1014,7,0)))</f>
        <v/>
      </c>
      <c r="G264" s="40" t="str">
        <f t="shared" si="2"/>
        <v/>
      </c>
      <c r="H264" s="41"/>
      <c r="I264" s="42"/>
      <c r="J264" s="42"/>
      <c r="K264" s="42"/>
      <c r="L264" s="42"/>
      <c r="M264" s="42"/>
      <c r="N264" s="42"/>
      <c r="O264" s="42"/>
      <c r="P264" s="42"/>
      <c r="Q264" s="42"/>
      <c r="R264" s="42"/>
      <c r="S264" s="42"/>
      <c r="T264" s="42"/>
      <c r="U264" s="42"/>
      <c r="V264" s="42"/>
      <c r="W264" s="42"/>
      <c r="X264" s="42"/>
      <c r="Y264" s="42"/>
      <c r="Z264" s="42"/>
      <c r="AA264" s="42"/>
    </row>
    <row r="265">
      <c r="A265" s="36" t="str">
        <f>IF($B265="","",VLOOKUP($B265,DADOS!$C$2:$I1014,2,0))</f>
        <v/>
      </c>
      <c r="B265" s="37"/>
      <c r="C265" s="36"/>
      <c r="D265" s="38" t="str">
        <f>IF($B265="","",SUM(VLOOKUP($B265,DADOS!$C$2:$I1014,4,0)*$C265))</f>
        <v/>
      </c>
      <c r="E265" s="38" t="str">
        <f>IF($B265="","",SUM(VLOOKUP($B265,DADOS!$C$2:$I1014,6,0)*$C265))</f>
        <v/>
      </c>
      <c r="F265" s="39" t="str">
        <f>IF($E265="","",(VLOOKUP($B265,DADOS!$C$2:$I1014,7,0)))</f>
        <v/>
      </c>
      <c r="G265" s="40" t="str">
        <f t="shared" si="2"/>
        <v/>
      </c>
      <c r="H265" s="41"/>
      <c r="I265" s="42"/>
      <c r="J265" s="42"/>
      <c r="K265" s="42"/>
      <c r="L265" s="42"/>
      <c r="M265" s="42"/>
      <c r="N265" s="42"/>
      <c r="O265" s="42"/>
      <c r="P265" s="42"/>
      <c r="Q265" s="42"/>
      <c r="R265" s="42"/>
      <c r="S265" s="42"/>
      <c r="T265" s="42"/>
      <c r="U265" s="42"/>
      <c r="V265" s="42"/>
      <c r="W265" s="42"/>
      <c r="X265" s="42"/>
      <c r="Y265" s="42"/>
      <c r="Z265" s="42"/>
      <c r="AA265" s="42"/>
    </row>
    <row r="266">
      <c r="A266" s="36" t="str">
        <f>IF($B266="","",VLOOKUP($B266,DADOS!$C$2:$I1014,2,0))</f>
        <v/>
      </c>
      <c r="B266" s="37"/>
      <c r="C266" s="36"/>
      <c r="D266" s="38" t="str">
        <f>IF($B266="","",SUM(VLOOKUP($B266,DADOS!$C$2:$I1014,4,0)*$C266))</f>
        <v/>
      </c>
      <c r="E266" s="38" t="str">
        <f>IF($B266="","",SUM(VLOOKUP($B266,DADOS!$C$2:$I1014,6,0)*$C266))</f>
        <v/>
      </c>
      <c r="F266" s="39" t="str">
        <f>IF($E266="","",(VLOOKUP($B266,DADOS!$C$2:$I1014,7,0)))</f>
        <v/>
      </c>
      <c r="G266" s="40" t="str">
        <f t="shared" si="2"/>
        <v/>
      </c>
      <c r="H266" s="41"/>
      <c r="I266" s="42"/>
      <c r="J266" s="42"/>
      <c r="K266" s="42"/>
      <c r="L266" s="42"/>
      <c r="M266" s="42"/>
      <c r="N266" s="42"/>
      <c r="O266" s="42"/>
      <c r="P266" s="42"/>
      <c r="Q266" s="42"/>
      <c r="R266" s="42"/>
      <c r="S266" s="42"/>
      <c r="T266" s="42"/>
      <c r="U266" s="42"/>
      <c r="V266" s="42"/>
      <c r="W266" s="42"/>
      <c r="X266" s="42"/>
      <c r="Y266" s="42"/>
      <c r="Z266" s="42"/>
      <c r="AA266" s="42"/>
    </row>
    <row r="267">
      <c r="A267" s="36" t="str">
        <f>IF($B267="","",VLOOKUP($B267,DADOS!$C$2:$I1014,2,0))</f>
        <v/>
      </c>
      <c r="B267" s="37"/>
      <c r="C267" s="36"/>
      <c r="D267" s="38" t="str">
        <f>IF($B267="","",SUM(VLOOKUP($B267,DADOS!$C$2:$I1014,4,0)*$C267))</f>
        <v/>
      </c>
      <c r="E267" s="38" t="str">
        <f>IF($B267="","",SUM(VLOOKUP($B267,DADOS!$C$2:$I1014,6,0)*$C267))</f>
        <v/>
      </c>
      <c r="F267" s="39" t="str">
        <f>IF($E267="","",(VLOOKUP($B267,DADOS!$C$2:$I1014,7,0)))</f>
        <v/>
      </c>
      <c r="G267" s="40" t="str">
        <f t="shared" si="2"/>
        <v/>
      </c>
      <c r="H267" s="41"/>
      <c r="I267" s="42"/>
      <c r="J267" s="42"/>
      <c r="K267" s="42"/>
      <c r="L267" s="42"/>
      <c r="M267" s="42"/>
      <c r="N267" s="42"/>
      <c r="O267" s="42"/>
      <c r="P267" s="42"/>
      <c r="Q267" s="42"/>
      <c r="R267" s="42"/>
      <c r="S267" s="42"/>
      <c r="T267" s="42"/>
      <c r="U267" s="42"/>
      <c r="V267" s="42"/>
      <c r="W267" s="42"/>
      <c r="X267" s="42"/>
      <c r="Y267" s="42"/>
      <c r="Z267" s="42"/>
      <c r="AA267" s="42"/>
    </row>
    <row r="268">
      <c r="A268" s="36" t="str">
        <f>IF($B268="","",VLOOKUP($B268,DADOS!$C$2:$I1014,2,0))</f>
        <v/>
      </c>
      <c r="B268" s="37"/>
      <c r="C268" s="36"/>
      <c r="D268" s="38" t="str">
        <f>IF($B268="","",SUM(VLOOKUP($B268,DADOS!$C$2:$I1014,4,0)*$C268))</f>
        <v/>
      </c>
      <c r="E268" s="38" t="str">
        <f>IF($B268="","",SUM(VLOOKUP($B268,DADOS!$C$2:$I1014,6,0)*$C268))</f>
        <v/>
      </c>
      <c r="F268" s="39" t="str">
        <f>IF($E268="","",(VLOOKUP($B268,DADOS!$C$2:$I1014,7,0)))</f>
        <v/>
      </c>
      <c r="G268" s="40" t="str">
        <f t="shared" si="2"/>
        <v/>
      </c>
      <c r="H268" s="41"/>
      <c r="I268" s="42"/>
      <c r="J268" s="42"/>
      <c r="K268" s="42"/>
      <c r="L268" s="42"/>
      <c r="M268" s="42"/>
      <c r="N268" s="42"/>
      <c r="O268" s="42"/>
      <c r="P268" s="42"/>
      <c r="Q268" s="42"/>
      <c r="R268" s="42"/>
      <c r="S268" s="42"/>
      <c r="T268" s="42"/>
      <c r="U268" s="42"/>
      <c r="V268" s="42"/>
      <c r="W268" s="42"/>
      <c r="X268" s="42"/>
      <c r="Y268" s="42"/>
      <c r="Z268" s="42"/>
      <c r="AA268" s="42"/>
    </row>
    <row r="269">
      <c r="A269" s="36" t="str">
        <f>IF($B269="","",VLOOKUP($B269,DADOS!$C$2:$I1014,2,0))</f>
        <v/>
      </c>
      <c r="B269" s="37"/>
      <c r="C269" s="36"/>
      <c r="D269" s="38" t="str">
        <f>IF($B269="","",SUM(VLOOKUP($B269,DADOS!$C$2:$I1014,4,0)*$C269))</f>
        <v/>
      </c>
      <c r="E269" s="38" t="str">
        <f>IF($B269="","",SUM(VLOOKUP($B269,DADOS!$C$2:$I1014,6,0)*$C269))</f>
        <v/>
      </c>
      <c r="F269" s="39" t="str">
        <f>IF($E269="","",(VLOOKUP($B269,DADOS!$C$2:$I1014,7,0)))</f>
        <v/>
      </c>
      <c r="G269" s="40" t="str">
        <f t="shared" si="2"/>
        <v/>
      </c>
      <c r="H269" s="41"/>
      <c r="I269" s="42"/>
      <c r="J269" s="42"/>
      <c r="K269" s="42"/>
      <c r="L269" s="42"/>
      <c r="M269" s="42"/>
      <c r="N269" s="42"/>
      <c r="O269" s="42"/>
      <c r="P269" s="42"/>
      <c r="Q269" s="42"/>
      <c r="R269" s="42"/>
      <c r="S269" s="42"/>
      <c r="T269" s="42"/>
      <c r="U269" s="42"/>
      <c r="V269" s="42"/>
      <c r="W269" s="42"/>
      <c r="X269" s="42"/>
      <c r="Y269" s="42"/>
      <c r="Z269" s="42"/>
      <c r="AA269" s="42"/>
    </row>
    <row r="270">
      <c r="A270" s="36" t="str">
        <f>IF($B270="","",VLOOKUP($B270,DADOS!$C$2:$I1014,2,0))</f>
        <v/>
      </c>
      <c r="B270" s="37"/>
      <c r="C270" s="36"/>
      <c r="D270" s="38" t="str">
        <f>IF($B270="","",SUM(VLOOKUP($B270,DADOS!$C$2:$I1014,4,0)*$C270))</f>
        <v/>
      </c>
      <c r="E270" s="38" t="str">
        <f>IF($B270="","",SUM(VLOOKUP($B270,DADOS!$C$2:$I1014,6,0)*$C270))</f>
        <v/>
      </c>
      <c r="F270" s="39" t="str">
        <f>IF($E270="","",(VLOOKUP($B270,DADOS!$C$2:$I1014,7,0)))</f>
        <v/>
      </c>
      <c r="G270" s="40" t="str">
        <f t="shared" si="2"/>
        <v/>
      </c>
      <c r="H270" s="41"/>
      <c r="I270" s="42"/>
      <c r="J270" s="42"/>
      <c r="K270" s="42"/>
      <c r="L270" s="42"/>
      <c r="M270" s="42"/>
      <c r="N270" s="42"/>
      <c r="O270" s="42"/>
      <c r="P270" s="42"/>
      <c r="Q270" s="42"/>
      <c r="R270" s="42"/>
      <c r="S270" s="42"/>
      <c r="T270" s="42"/>
      <c r="U270" s="42"/>
      <c r="V270" s="42"/>
      <c r="W270" s="42"/>
      <c r="X270" s="42"/>
      <c r="Y270" s="42"/>
      <c r="Z270" s="42"/>
      <c r="AA270" s="42"/>
    </row>
    <row r="271">
      <c r="A271" s="36" t="str">
        <f>IF($B271="","",VLOOKUP($B271,DADOS!$C$2:$I1014,2,0))</f>
        <v/>
      </c>
      <c r="B271" s="37"/>
      <c r="C271" s="36"/>
      <c r="D271" s="38" t="str">
        <f>IF($B271="","",SUM(VLOOKUP($B271,DADOS!$C$2:$I1014,4,0)*$C271))</f>
        <v/>
      </c>
      <c r="E271" s="38" t="str">
        <f>IF($B271="","",SUM(VLOOKUP($B271,DADOS!$C$2:$I1014,6,0)*$C271))</f>
        <v/>
      </c>
      <c r="F271" s="39" t="str">
        <f>IF($E271="","",(VLOOKUP($B271,DADOS!$C$2:$I1014,7,0)))</f>
        <v/>
      </c>
      <c r="G271" s="40" t="str">
        <f t="shared" si="2"/>
        <v/>
      </c>
      <c r="H271" s="41"/>
      <c r="I271" s="42"/>
      <c r="J271" s="42"/>
      <c r="K271" s="42"/>
      <c r="L271" s="42"/>
      <c r="M271" s="42"/>
      <c r="N271" s="42"/>
      <c r="O271" s="42"/>
      <c r="P271" s="42"/>
      <c r="Q271" s="42"/>
      <c r="R271" s="42"/>
      <c r="S271" s="42"/>
      <c r="T271" s="42"/>
      <c r="U271" s="42"/>
      <c r="V271" s="42"/>
      <c r="W271" s="42"/>
      <c r="X271" s="42"/>
      <c r="Y271" s="42"/>
      <c r="Z271" s="42"/>
      <c r="AA271" s="42"/>
    </row>
    <row r="272">
      <c r="A272" s="36" t="str">
        <f>IF($B272="","",VLOOKUP($B272,DADOS!$C$2:$I1014,2,0))</f>
        <v/>
      </c>
      <c r="B272" s="37"/>
      <c r="C272" s="36"/>
      <c r="D272" s="38" t="str">
        <f>IF($B272="","",SUM(VLOOKUP($B272,DADOS!$C$2:$I1014,4,0)*$C272))</f>
        <v/>
      </c>
      <c r="E272" s="38" t="str">
        <f>IF($B272="","",SUM(VLOOKUP($B272,DADOS!$C$2:$I1014,6,0)*$C272))</f>
        <v/>
      </c>
      <c r="F272" s="39" t="str">
        <f>IF($E272="","",(VLOOKUP($B272,DADOS!$C$2:$I1014,7,0)))</f>
        <v/>
      </c>
      <c r="G272" s="40" t="str">
        <f t="shared" si="2"/>
        <v/>
      </c>
      <c r="H272" s="41"/>
      <c r="I272" s="42"/>
      <c r="J272" s="42"/>
      <c r="K272" s="42"/>
      <c r="L272" s="42"/>
      <c r="M272" s="42"/>
      <c r="N272" s="42"/>
      <c r="O272" s="42"/>
      <c r="P272" s="42"/>
      <c r="Q272" s="42"/>
      <c r="R272" s="42"/>
      <c r="S272" s="42"/>
      <c r="T272" s="42"/>
      <c r="U272" s="42"/>
      <c r="V272" s="42"/>
      <c r="W272" s="42"/>
      <c r="X272" s="42"/>
      <c r="Y272" s="42"/>
      <c r="Z272" s="42"/>
      <c r="AA272" s="42"/>
    </row>
    <row r="273">
      <c r="A273" s="36" t="str">
        <f>IF($B273="","",VLOOKUP($B273,DADOS!$C$2:$I1014,2,0))</f>
        <v/>
      </c>
      <c r="B273" s="37"/>
      <c r="C273" s="36"/>
      <c r="D273" s="38" t="str">
        <f>IF($B273="","",SUM(VLOOKUP($B273,DADOS!$C$2:$I1014,4,0)*$C273))</f>
        <v/>
      </c>
      <c r="E273" s="38" t="str">
        <f>IF($B273="","",SUM(VLOOKUP($B273,DADOS!$C$2:$I1014,6,0)*$C273))</f>
        <v/>
      </c>
      <c r="F273" s="39" t="str">
        <f>IF($E273="","",(VLOOKUP($B273,DADOS!$C$2:$I1014,7,0)))</f>
        <v/>
      </c>
      <c r="G273" s="40" t="str">
        <f t="shared" si="2"/>
        <v/>
      </c>
      <c r="H273" s="41"/>
      <c r="I273" s="42"/>
      <c r="J273" s="42"/>
      <c r="K273" s="42"/>
      <c r="L273" s="42"/>
      <c r="M273" s="42"/>
      <c r="N273" s="42"/>
      <c r="O273" s="42"/>
      <c r="P273" s="42"/>
      <c r="Q273" s="42"/>
      <c r="R273" s="42"/>
      <c r="S273" s="42"/>
      <c r="T273" s="42"/>
      <c r="U273" s="42"/>
      <c r="V273" s="42"/>
      <c r="W273" s="42"/>
      <c r="X273" s="42"/>
      <c r="Y273" s="42"/>
      <c r="Z273" s="42"/>
      <c r="AA273" s="42"/>
    </row>
    <row r="274">
      <c r="A274" s="36" t="str">
        <f>IF($B274="","",VLOOKUP($B274,DADOS!$C$2:$I1014,2,0))</f>
        <v/>
      </c>
      <c r="B274" s="37"/>
      <c r="C274" s="36"/>
      <c r="D274" s="38" t="str">
        <f>IF($B274="","",SUM(VLOOKUP($B274,DADOS!$C$2:$I1014,4,0)*$C274))</f>
        <v/>
      </c>
      <c r="E274" s="38" t="str">
        <f>IF($B274="","",SUM(VLOOKUP($B274,DADOS!$C$2:$I1014,6,0)*$C274))</f>
        <v/>
      </c>
      <c r="F274" s="39" t="str">
        <f>IF($E274="","",(VLOOKUP($B274,DADOS!$C$2:$I1014,7,0)))</f>
        <v/>
      </c>
      <c r="G274" s="40" t="str">
        <f t="shared" si="2"/>
        <v/>
      </c>
      <c r="H274" s="41"/>
      <c r="I274" s="42"/>
      <c r="J274" s="42"/>
      <c r="K274" s="42"/>
      <c r="L274" s="42"/>
      <c r="M274" s="42"/>
      <c r="N274" s="42"/>
      <c r="O274" s="42"/>
      <c r="P274" s="42"/>
      <c r="Q274" s="42"/>
      <c r="R274" s="42"/>
      <c r="S274" s="42"/>
      <c r="T274" s="42"/>
      <c r="U274" s="42"/>
      <c r="V274" s="42"/>
      <c r="W274" s="42"/>
      <c r="X274" s="42"/>
      <c r="Y274" s="42"/>
      <c r="Z274" s="42"/>
      <c r="AA274" s="42"/>
    </row>
    <row r="275">
      <c r="A275" s="36" t="str">
        <f>IF($B275="","",VLOOKUP($B275,DADOS!$C$2:$I1014,2,0))</f>
        <v/>
      </c>
      <c r="B275" s="37"/>
      <c r="C275" s="36"/>
      <c r="D275" s="38" t="str">
        <f>IF($B275="","",SUM(VLOOKUP($B275,DADOS!$C$2:$I1014,4,0)*$C275))</f>
        <v/>
      </c>
      <c r="E275" s="38" t="str">
        <f>IF($B275="","",SUM(VLOOKUP($B275,DADOS!$C$2:$I1014,6,0)*$C275))</f>
        <v/>
      </c>
      <c r="F275" s="39" t="str">
        <f>IF($E275="","",(VLOOKUP($B275,DADOS!$C$2:$I1014,7,0)))</f>
        <v/>
      </c>
      <c r="G275" s="40" t="str">
        <f t="shared" si="2"/>
        <v/>
      </c>
      <c r="H275" s="41"/>
      <c r="I275" s="42"/>
      <c r="J275" s="42"/>
      <c r="K275" s="42"/>
      <c r="L275" s="42"/>
      <c r="M275" s="42"/>
      <c r="N275" s="42"/>
      <c r="O275" s="42"/>
      <c r="P275" s="42"/>
      <c r="Q275" s="42"/>
      <c r="R275" s="42"/>
      <c r="S275" s="42"/>
      <c r="T275" s="42"/>
      <c r="U275" s="42"/>
      <c r="V275" s="42"/>
      <c r="W275" s="42"/>
      <c r="X275" s="42"/>
      <c r="Y275" s="42"/>
      <c r="Z275" s="42"/>
      <c r="AA275" s="42"/>
    </row>
    <row r="276">
      <c r="A276" s="36" t="str">
        <f>IF($B276="","",VLOOKUP($B276,DADOS!$C$2:$I1014,2,0))</f>
        <v/>
      </c>
      <c r="B276" s="37"/>
      <c r="C276" s="36"/>
      <c r="D276" s="38" t="str">
        <f>IF($B276="","",SUM(VLOOKUP($B276,DADOS!$C$2:$I1014,4,0)*$C276))</f>
        <v/>
      </c>
      <c r="E276" s="38" t="str">
        <f>IF($B276="","",SUM(VLOOKUP($B276,DADOS!$C$2:$I1014,6,0)*$C276))</f>
        <v/>
      </c>
      <c r="F276" s="39" t="str">
        <f>IF($E276="","",(VLOOKUP($B276,DADOS!$C$2:$I1014,7,0)))</f>
        <v/>
      </c>
      <c r="G276" s="40" t="str">
        <f t="shared" si="2"/>
        <v/>
      </c>
      <c r="H276" s="41"/>
      <c r="I276" s="42"/>
      <c r="J276" s="42"/>
      <c r="K276" s="42"/>
      <c r="L276" s="42"/>
      <c r="M276" s="42"/>
      <c r="N276" s="42"/>
      <c r="O276" s="42"/>
      <c r="P276" s="42"/>
      <c r="Q276" s="42"/>
      <c r="R276" s="42"/>
      <c r="S276" s="42"/>
      <c r="T276" s="42"/>
      <c r="U276" s="42"/>
      <c r="V276" s="42"/>
      <c r="W276" s="42"/>
      <c r="X276" s="42"/>
      <c r="Y276" s="42"/>
      <c r="Z276" s="42"/>
      <c r="AA276" s="42"/>
    </row>
    <row r="277">
      <c r="A277" s="36" t="str">
        <f>IF($B277="","",VLOOKUP($B277,DADOS!$C$2:$I1014,2,0))</f>
        <v/>
      </c>
      <c r="B277" s="37"/>
      <c r="C277" s="36"/>
      <c r="D277" s="38" t="str">
        <f>IF($B277="","",SUM(VLOOKUP($B277,DADOS!$C$2:$I1014,4,0)*$C277))</f>
        <v/>
      </c>
      <c r="E277" s="38" t="str">
        <f>IF($B277="","",SUM(VLOOKUP($B277,DADOS!$C$2:$I1014,6,0)*$C277))</f>
        <v/>
      </c>
      <c r="F277" s="39" t="str">
        <f>IF($E277="","",(VLOOKUP($B277,DADOS!$C$2:$I1014,7,0)))</f>
        <v/>
      </c>
      <c r="G277" s="40" t="str">
        <f t="shared" si="2"/>
        <v/>
      </c>
      <c r="H277" s="41"/>
      <c r="I277" s="42"/>
      <c r="J277" s="42"/>
      <c r="K277" s="42"/>
      <c r="L277" s="42"/>
      <c r="M277" s="42"/>
      <c r="N277" s="42"/>
      <c r="O277" s="42"/>
      <c r="P277" s="42"/>
      <c r="Q277" s="42"/>
      <c r="R277" s="42"/>
      <c r="S277" s="42"/>
      <c r="T277" s="42"/>
      <c r="U277" s="42"/>
      <c r="V277" s="42"/>
      <c r="W277" s="42"/>
      <c r="X277" s="42"/>
      <c r="Y277" s="42"/>
      <c r="Z277" s="42"/>
      <c r="AA277" s="42"/>
    </row>
    <row r="278">
      <c r="A278" s="36" t="str">
        <f>IF($B278="","",VLOOKUP($B278,DADOS!$C$2:$I1014,2,0))</f>
        <v/>
      </c>
      <c r="B278" s="37"/>
      <c r="C278" s="36"/>
      <c r="D278" s="38" t="str">
        <f>IF($B278="","",SUM(VLOOKUP($B278,DADOS!$C$2:$I1014,4,0)*$C278))</f>
        <v/>
      </c>
      <c r="E278" s="38" t="str">
        <f>IF($B278="","",SUM(VLOOKUP($B278,DADOS!$C$2:$I1014,6,0)*$C278))</f>
        <v/>
      </c>
      <c r="F278" s="39" t="str">
        <f>IF($E278="","",(VLOOKUP($B278,DADOS!$C$2:$I1014,7,0)))</f>
        <v/>
      </c>
      <c r="G278" s="40" t="str">
        <f t="shared" si="2"/>
        <v/>
      </c>
      <c r="H278" s="41"/>
      <c r="I278" s="42"/>
      <c r="J278" s="42"/>
      <c r="K278" s="42"/>
      <c r="L278" s="42"/>
      <c r="M278" s="42"/>
      <c r="N278" s="42"/>
      <c r="O278" s="42"/>
      <c r="P278" s="42"/>
      <c r="Q278" s="42"/>
      <c r="R278" s="42"/>
      <c r="S278" s="42"/>
      <c r="T278" s="42"/>
      <c r="U278" s="42"/>
      <c r="V278" s="42"/>
      <c r="W278" s="42"/>
      <c r="X278" s="42"/>
      <c r="Y278" s="42"/>
      <c r="Z278" s="42"/>
      <c r="AA278" s="42"/>
    </row>
    <row r="279">
      <c r="A279" s="36" t="str">
        <f>IF($B279="","",VLOOKUP($B279,DADOS!$C$2:$I1014,2,0))</f>
        <v/>
      </c>
      <c r="B279" s="37"/>
      <c r="C279" s="36"/>
      <c r="D279" s="38" t="str">
        <f>IF($B279="","",SUM(VLOOKUP($B279,DADOS!$C$2:$I1014,4,0)*$C279))</f>
        <v/>
      </c>
      <c r="E279" s="38" t="str">
        <f>IF($B279="","",SUM(VLOOKUP($B279,DADOS!$C$2:$I1014,6,0)*$C279))</f>
        <v/>
      </c>
      <c r="F279" s="39" t="str">
        <f>IF($E279="","",(VLOOKUP($B279,DADOS!$C$2:$I1014,7,0)))</f>
        <v/>
      </c>
      <c r="G279" s="40" t="str">
        <f t="shared" si="2"/>
        <v/>
      </c>
      <c r="H279" s="41"/>
      <c r="I279" s="42"/>
      <c r="J279" s="42"/>
      <c r="K279" s="42"/>
      <c r="L279" s="42"/>
      <c r="M279" s="42"/>
      <c r="N279" s="42"/>
      <c r="O279" s="42"/>
      <c r="P279" s="42"/>
      <c r="Q279" s="42"/>
      <c r="R279" s="42"/>
      <c r="S279" s="42"/>
      <c r="T279" s="42"/>
      <c r="U279" s="42"/>
      <c r="V279" s="42"/>
      <c r="W279" s="42"/>
      <c r="X279" s="42"/>
      <c r="Y279" s="42"/>
      <c r="Z279" s="42"/>
      <c r="AA279" s="42"/>
    </row>
    <row r="280">
      <c r="A280" s="36" t="str">
        <f>IF($B280="","",VLOOKUP($B280,DADOS!$C$2:$I1014,2,0))</f>
        <v/>
      </c>
      <c r="B280" s="37"/>
      <c r="C280" s="36"/>
      <c r="D280" s="38" t="str">
        <f>IF($B280="","",SUM(VLOOKUP($B280,DADOS!$C$2:$I1014,4,0)*$C280))</f>
        <v/>
      </c>
      <c r="E280" s="38" t="str">
        <f>IF($B280="","",SUM(VLOOKUP($B280,DADOS!$C$2:$I1014,6,0)*$C280))</f>
        <v/>
      </c>
      <c r="F280" s="39" t="str">
        <f>IF($E280="","",(VLOOKUP($B280,DADOS!$C$2:$I1014,7,0)))</f>
        <v/>
      </c>
      <c r="G280" s="40" t="str">
        <f t="shared" si="2"/>
        <v/>
      </c>
      <c r="H280" s="41"/>
      <c r="I280" s="42"/>
      <c r="J280" s="42"/>
      <c r="K280" s="42"/>
      <c r="L280" s="42"/>
      <c r="M280" s="42"/>
      <c r="N280" s="42"/>
      <c r="O280" s="42"/>
      <c r="P280" s="42"/>
      <c r="Q280" s="42"/>
      <c r="R280" s="42"/>
      <c r="S280" s="42"/>
      <c r="T280" s="42"/>
      <c r="U280" s="42"/>
      <c r="V280" s="42"/>
      <c r="W280" s="42"/>
      <c r="X280" s="42"/>
      <c r="Y280" s="42"/>
      <c r="Z280" s="42"/>
      <c r="AA280" s="42"/>
    </row>
    <row r="281">
      <c r="A281" s="36" t="str">
        <f>IF($B281="","",VLOOKUP($B281,DADOS!$C$2:$I1014,2,0))</f>
        <v/>
      </c>
      <c r="B281" s="37"/>
      <c r="C281" s="36"/>
      <c r="D281" s="38" t="str">
        <f>IF($B281="","",SUM(VLOOKUP($B281,DADOS!$C$2:$I1014,4,0)*$C281))</f>
        <v/>
      </c>
      <c r="E281" s="38" t="str">
        <f>IF($B281="","",SUM(VLOOKUP($B281,DADOS!$C$2:$I1014,6,0)*$C281))</f>
        <v/>
      </c>
      <c r="F281" s="39" t="str">
        <f>IF($E281="","",(VLOOKUP($B281,DADOS!$C$2:$I1014,7,0)))</f>
        <v/>
      </c>
      <c r="G281" s="40" t="str">
        <f t="shared" si="2"/>
        <v/>
      </c>
      <c r="H281" s="41"/>
      <c r="I281" s="42"/>
      <c r="J281" s="42"/>
      <c r="K281" s="42"/>
      <c r="L281" s="42"/>
      <c r="M281" s="42"/>
      <c r="N281" s="42"/>
      <c r="O281" s="42"/>
      <c r="P281" s="42"/>
      <c r="Q281" s="42"/>
      <c r="R281" s="42"/>
      <c r="S281" s="42"/>
      <c r="T281" s="42"/>
      <c r="U281" s="42"/>
      <c r="V281" s="42"/>
      <c r="W281" s="42"/>
      <c r="X281" s="42"/>
      <c r="Y281" s="42"/>
      <c r="Z281" s="42"/>
      <c r="AA281" s="42"/>
    </row>
    <row r="282">
      <c r="A282" s="36" t="str">
        <f>IF($B282="","",VLOOKUP($B282,DADOS!$C$2:$I1014,2,0))</f>
        <v/>
      </c>
      <c r="B282" s="37"/>
      <c r="C282" s="36"/>
      <c r="D282" s="38" t="str">
        <f>IF($B282="","",SUM(VLOOKUP($B282,DADOS!$C$2:$I1014,4,0)*$C282))</f>
        <v/>
      </c>
      <c r="E282" s="38" t="str">
        <f>IF($B282="","",SUM(VLOOKUP($B282,DADOS!$C$2:$I1014,6,0)*$C282))</f>
        <v/>
      </c>
      <c r="F282" s="39" t="str">
        <f>IF($E282="","",(VLOOKUP($B282,DADOS!$C$2:$I1014,7,0)))</f>
        <v/>
      </c>
      <c r="G282" s="40" t="str">
        <f t="shared" si="2"/>
        <v/>
      </c>
      <c r="H282" s="41"/>
      <c r="I282" s="42"/>
      <c r="J282" s="42"/>
      <c r="K282" s="42"/>
      <c r="L282" s="42"/>
      <c r="M282" s="42"/>
      <c r="N282" s="42"/>
      <c r="O282" s="42"/>
      <c r="P282" s="42"/>
      <c r="Q282" s="42"/>
      <c r="R282" s="42"/>
      <c r="S282" s="42"/>
      <c r="T282" s="42"/>
      <c r="U282" s="42"/>
      <c r="V282" s="42"/>
      <c r="W282" s="42"/>
      <c r="X282" s="42"/>
      <c r="Y282" s="42"/>
      <c r="Z282" s="42"/>
      <c r="AA282" s="42"/>
    </row>
    <row r="283">
      <c r="A283" s="36" t="str">
        <f>IF($B283="","",VLOOKUP($B283,DADOS!$C$2:$I1014,2,0))</f>
        <v/>
      </c>
      <c r="B283" s="37"/>
      <c r="C283" s="36"/>
      <c r="D283" s="38" t="str">
        <f>IF($B283="","",SUM(VLOOKUP($B283,DADOS!$C$2:$I1014,4,0)*$C283))</f>
        <v/>
      </c>
      <c r="E283" s="38" t="str">
        <f>IF($B283="","",SUM(VLOOKUP($B283,DADOS!$C$2:$I1014,6,0)*$C283))</f>
        <v/>
      </c>
      <c r="F283" s="39" t="str">
        <f>IF($E283="","",(VLOOKUP($B283,DADOS!$C$2:$I1014,7,0)))</f>
        <v/>
      </c>
      <c r="G283" s="40" t="str">
        <f t="shared" si="2"/>
        <v/>
      </c>
      <c r="H283" s="41"/>
      <c r="I283" s="42"/>
      <c r="J283" s="42"/>
      <c r="K283" s="42"/>
      <c r="L283" s="42"/>
      <c r="M283" s="42"/>
      <c r="N283" s="42"/>
      <c r="O283" s="42"/>
      <c r="P283" s="42"/>
      <c r="Q283" s="42"/>
      <c r="R283" s="42"/>
      <c r="S283" s="42"/>
      <c r="T283" s="42"/>
      <c r="U283" s="42"/>
      <c r="V283" s="42"/>
      <c r="W283" s="42"/>
      <c r="X283" s="42"/>
      <c r="Y283" s="42"/>
      <c r="Z283" s="42"/>
      <c r="AA283" s="42"/>
    </row>
    <row r="284">
      <c r="A284" s="36" t="str">
        <f>IF($B284="","",VLOOKUP($B284,DADOS!$C$2:$I1014,2,0))</f>
        <v/>
      </c>
      <c r="B284" s="37"/>
      <c r="C284" s="36"/>
      <c r="D284" s="38" t="str">
        <f>IF($B284="","",SUM(VLOOKUP($B284,DADOS!$C$2:$I1014,4,0)*$C284))</f>
        <v/>
      </c>
      <c r="E284" s="38" t="str">
        <f>IF($B284="","",SUM(VLOOKUP($B284,DADOS!$C$2:$I1014,6,0)*$C284))</f>
        <v/>
      </c>
      <c r="F284" s="39" t="str">
        <f>IF($E284="","",(VLOOKUP($B284,DADOS!$C$2:$I1014,7,0)))</f>
        <v/>
      </c>
      <c r="G284" s="40" t="str">
        <f t="shared" si="2"/>
        <v/>
      </c>
      <c r="H284" s="41"/>
      <c r="I284" s="42"/>
      <c r="J284" s="42"/>
      <c r="K284" s="42"/>
      <c r="L284" s="42"/>
      <c r="M284" s="42"/>
      <c r="N284" s="42"/>
      <c r="O284" s="42"/>
      <c r="P284" s="42"/>
      <c r="Q284" s="42"/>
      <c r="R284" s="42"/>
      <c r="S284" s="42"/>
      <c r="T284" s="42"/>
      <c r="U284" s="42"/>
      <c r="V284" s="42"/>
      <c r="W284" s="42"/>
      <c r="X284" s="42"/>
      <c r="Y284" s="42"/>
      <c r="Z284" s="42"/>
      <c r="AA284" s="42"/>
    </row>
    <row r="285">
      <c r="A285" s="36" t="str">
        <f>IF($B285="","",VLOOKUP($B285,DADOS!$C$2:$I1014,2,0))</f>
        <v/>
      </c>
      <c r="B285" s="37"/>
      <c r="C285" s="36"/>
      <c r="D285" s="38" t="str">
        <f>IF($B285="","",SUM(VLOOKUP($B285,DADOS!$C$2:$I1014,4,0)*$C285))</f>
        <v/>
      </c>
      <c r="E285" s="38" t="str">
        <f>IF($B285="","",SUM(VLOOKUP($B285,DADOS!$C$2:$I1014,6,0)*$C285))</f>
        <v/>
      </c>
      <c r="F285" s="39" t="str">
        <f>IF($E285="","",(VLOOKUP($B285,DADOS!$C$2:$I1014,7,0)))</f>
        <v/>
      </c>
      <c r="G285" s="40" t="str">
        <f t="shared" si="2"/>
        <v/>
      </c>
      <c r="H285" s="41"/>
      <c r="I285" s="42"/>
      <c r="J285" s="42"/>
      <c r="K285" s="42"/>
      <c r="L285" s="42"/>
      <c r="M285" s="42"/>
      <c r="N285" s="42"/>
      <c r="O285" s="42"/>
      <c r="P285" s="42"/>
      <c r="Q285" s="42"/>
      <c r="R285" s="42"/>
      <c r="S285" s="42"/>
      <c r="T285" s="42"/>
      <c r="U285" s="42"/>
      <c r="V285" s="42"/>
      <c r="W285" s="42"/>
      <c r="X285" s="42"/>
      <c r="Y285" s="42"/>
      <c r="Z285" s="42"/>
      <c r="AA285" s="42"/>
    </row>
    <row r="286">
      <c r="A286" s="36" t="str">
        <f>IF($B286="","",VLOOKUP($B286,DADOS!$C$2:$I1014,2,0))</f>
        <v/>
      </c>
      <c r="B286" s="37"/>
      <c r="C286" s="36"/>
      <c r="D286" s="38" t="str">
        <f>IF($B286="","",SUM(VLOOKUP($B286,DADOS!$C$2:$I1014,4,0)*$C286))</f>
        <v/>
      </c>
      <c r="E286" s="38" t="str">
        <f>IF($B286="","",SUM(VLOOKUP($B286,DADOS!$C$2:$I1014,6,0)*$C286))</f>
        <v/>
      </c>
      <c r="F286" s="39" t="str">
        <f>IF($E286="","",(VLOOKUP($B286,DADOS!$C$2:$I1014,7,0)))</f>
        <v/>
      </c>
      <c r="G286" s="40" t="str">
        <f t="shared" si="2"/>
        <v/>
      </c>
      <c r="H286" s="41"/>
      <c r="I286" s="42"/>
      <c r="J286" s="42"/>
      <c r="K286" s="42"/>
      <c r="L286" s="42"/>
      <c r="M286" s="42"/>
      <c r="N286" s="42"/>
      <c r="O286" s="42"/>
      <c r="P286" s="42"/>
      <c r="Q286" s="42"/>
      <c r="R286" s="42"/>
      <c r="S286" s="42"/>
      <c r="T286" s="42"/>
      <c r="U286" s="42"/>
      <c r="V286" s="42"/>
      <c r="W286" s="42"/>
      <c r="X286" s="42"/>
      <c r="Y286" s="42"/>
      <c r="Z286" s="42"/>
      <c r="AA286" s="42"/>
    </row>
    <row r="287">
      <c r="A287" s="36" t="str">
        <f>IF($B287="","",VLOOKUP($B287,DADOS!$C$2:$I1014,2,0))</f>
        <v/>
      </c>
      <c r="B287" s="37"/>
      <c r="C287" s="36"/>
      <c r="D287" s="38" t="str">
        <f>IF($B287="","",SUM(VLOOKUP($B287,DADOS!$C$2:$I1014,4,0)*$C287))</f>
        <v/>
      </c>
      <c r="E287" s="38" t="str">
        <f>IF($B287="","",SUM(VLOOKUP($B287,DADOS!$C$2:$I1014,6,0)*$C287))</f>
        <v/>
      </c>
      <c r="F287" s="39" t="str">
        <f>IF($E287="","",(VLOOKUP($B287,DADOS!$C$2:$I1014,7,0)))</f>
        <v/>
      </c>
      <c r="G287" s="40" t="str">
        <f t="shared" si="2"/>
        <v/>
      </c>
      <c r="H287" s="41"/>
      <c r="I287" s="42"/>
      <c r="J287" s="42"/>
      <c r="K287" s="42"/>
      <c r="L287" s="42"/>
      <c r="M287" s="42"/>
      <c r="N287" s="42"/>
      <c r="O287" s="42"/>
      <c r="P287" s="42"/>
      <c r="Q287" s="42"/>
      <c r="R287" s="42"/>
      <c r="S287" s="42"/>
      <c r="T287" s="42"/>
      <c r="U287" s="42"/>
      <c r="V287" s="42"/>
      <c r="W287" s="42"/>
      <c r="X287" s="42"/>
      <c r="Y287" s="42"/>
      <c r="Z287" s="42"/>
      <c r="AA287" s="42"/>
    </row>
    <row r="288">
      <c r="A288" s="36" t="str">
        <f>IF($B288="","",VLOOKUP($B288,DADOS!$C$2:$I1014,2,0))</f>
        <v/>
      </c>
      <c r="B288" s="37"/>
      <c r="C288" s="36"/>
      <c r="D288" s="38" t="str">
        <f>IF($B288="","",SUM(VLOOKUP($B288,DADOS!$C$2:$I1014,4,0)*$C288))</f>
        <v/>
      </c>
      <c r="E288" s="38" t="str">
        <f>IF($B288="","",SUM(VLOOKUP($B288,DADOS!$C$2:$I1014,6,0)*$C288))</f>
        <v/>
      </c>
      <c r="F288" s="39" t="str">
        <f>IF($E288="","",(VLOOKUP($B288,DADOS!$C$2:$I1014,7,0)))</f>
        <v/>
      </c>
      <c r="G288" s="40" t="str">
        <f t="shared" si="2"/>
        <v/>
      </c>
      <c r="H288" s="41"/>
      <c r="I288" s="42"/>
      <c r="J288" s="42"/>
      <c r="K288" s="42"/>
      <c r="L288" s="42"/>
      <c r="M288" s="42"/>
      <c r="N288" s="42"/>
      <c r="O288" s="42"/>
      <c r="P288" s="42"/>
      <c r="Q288" s="42"/>
      <c r="R288" s="42"/>
      <c r="S288" s="42"/>
      <c r="T288" s="42"/>
      <c r="U288" s="42"/>
      <c r="V288" s="42"/>
      <c r="W288" s="42"/>
      <c r="X288" s="42"/>
      <c r="Y288" s="42"/>
      <c r="Z288" s="42"/>
      <c r="AA288" s="42"/>
    </row>
    <row r="289">
      <c r="A289" s="36" t="str">
        <f>IF($B289="","",VLOOKUP($B289,DADOS!$C$2:$I1014,2,0))</f>
        <v/>
      </c>
      <c r="B289" s="37"/>
      <c r="C289" s="36"/>
      <c r="D289" s="38" t="str">
        <f>IF($B289="","",SUM(VLOOKUP($B289,DADOS!$C$2:$I1014,4,0)*$C289))</f>
        <v/>
      </c>
      <c r="E289" s="38" t="str">
        <f>IF($B289="","",SUM(VLOOKUP($B289,DADOS!$C$2:$I1014,6,0)*$C289))</f>
        <v/>
      </c>
      <c r="F289" s="39" t="str">
        <f>IF($E289="","",(VLOOKUP($B289,DADOS!$C$2:$I1014,7,0)))</f>
        <v/>
      </c>
      <c r="G289" s="40" t="str">
        <f t="shared" si="2"/>
        <v/>
      </c>
      <c r="H289" s="41"/>
      <c r="I289" s="42"/>
      <c r="J289" s="42"/>
      <c r="K289" s="42"/>
      <c r="L289" s="42"/>
      <c r="M289" s="42"/>
      <c r="N289" s="42"/>
      <c r="O289" s="42"/>
      <c r="P289" s="42"/>
      <c r="Q289" s="42"/>
      <c r="R289" s="42"/>
      <c r="S289" s="42"/>
      <c r="T289" s="42"/>
      <c r="U289" s="42"/>
      <c r="V289" s="42"/>
      <c r="W289" s="42"/>
      <c r="X289" s="42"/>
      <c r="Y289" s="42"/>
      <c r="Z289" s="42"/>
      <c r="AA289" s="42"/>
    </row>
    <row r="290">
      <c r="A290" s="36" t="str">
        <f>IF($B290="","",VLOOKUP($B290,DADOS!$C$2:$I1014,2,0))</f>
        <v/>
      </c>
      <c r="B290" s="37"/>
      <c r="C290" s="36"/>
      <c r="D290" s="38" t="str">
        <f>IF($B290="","",SUM(VLOOKUP($B290,DADOS!$C$2:$I1014,4,0)*$C290))</f>
        <v/>
      </c>
      <c r="E290" s="38" t="str">
        <f>IF($B290="","",SUM(VLOOKUP($B290,DADOS!$C$2:$I1014,6,0)*$C290))</f>
        <v/>
      </c>
      <c r="F290" s="39" t="str">
        <f>IF($E290="","",(VLOOKUP($B290,DADOS!$C$2:$I1014,7,0)))</f>
        <v/>
      </c>
      <c r="G290" s="40" t="str">
        <f t="shared" si="2"/>
        <v/>
      </c>
      <c r="H290" s="41"/>
      <c r="I290" s="42"/>
      <c r="J290" s="42"/>
      <c r="K290" s="42"/>
      <c r="L290" s="42"/>
      <c r="M290" s="42"/>
      <c r="N290" s="42"/>
      <c r="O290" s="42"/>
      <c r="P290" s="42"/>
      <c r="Q290" s="42"/>
      <c r="R290" s="42"/>
      <c r="S290" s="42"/>
      <c r="T290" s="42"/>
      <c r="U290" s="42"/>
      <c r="V290" s="42"/>
      <c r="W290" s="42"/>
      <c r="X290" s="42"/>
      <c r="Y290" s="42"/>
      <c r="Z290" s="42"/>
      <c r="AA290" s="42"/>
    </row>
    <row r="291">
      <c r="A291" s="36" t="str">
        <f>IF($B291="","",VLOOKUP($B291,DADOS!$C$2:$I1014,2,0))</f>
        <v/>
      </c>
      <c r="B291" s="37"/>
      <c r="C291" s="36"/>
      <c r="D291" s="38" t="str">
        <f>IF($B291="","",SUM(VLOOKUP($B291,DADOS!$C$2:$I1014,4,0)*$C291))</f>
        <v/>
      </c>
      <c r="E291" s="38" t="str">
        <f>IF($B291="","",SUM(VLOOKUP($B291,DADOS!$C$2:$I1014,6,0)*$C291))</f>
        <v/>
      </c>
      <c r="F291" s="39" t="str">
        <f>IF($E291="","",(VLOOKUP($B291,DADOS!$C$2:$I1014,7,0)))</f>
        <v/>
      </c>
      <c r="G291" s="40" t="str">
        <f t="shared" si="2"/>
        <v/>
      </c>
      <c r="H291" s="41"/>
      <c r="I291" s="42"/>
      <c r="J291" s="42"/>
      <c r="K291" s="42"/>
      <c r="L291" s="42"/>
      <c r="M291" s="42"/>
      <c r="N291" s="42"/>
      <c r="O291" s="42"/>
      <c r="P291" s="42"/>
      <c r="Q291" s="42"/>
      <c r="R291" s="42"/>
      <c r="S291" s="42"/>
      <c r="T291" s="42"/>
      <c r="U291" s="42"/>
      <c r="V291" s="42"/>
      <c r="W291" s="42"/>
      <c r="X291" s="42"/>
      <c r="Y291" s="42"/>
      <c r="Z291" s="42"/>
      <c r="AA291" s="42"/>
    </row>
    <row r="292">
      <c r="A292" s="36" t="str">
        <f>IF($B292="","",VLOOKUP($B292,DADOS!$C$2:$I1014,2,0))</f>
        <v/>
      </c>
      <c r="B292" s="37"/>
      <c r="C292" s="36"/>
      <c r="D292" s="38" t="str">
        <f>IF($B292="","",SUM(VLOOKUP($B292,DADOS!$C$2:$I1014,4,0)*$C292))</f>
        <v/>
      </c>
      <c r="E292" s="38" t="str">
        <f>IF($B292="","",SUM(VLOOKUP($B292,DADOS!$C$2:$I1014,6,0)*$C292))</f>
        <v/>
      </c>
      <c r="F292" s="39" t="str">
        <f>IF($E292="","",(VLOOKUP($B292,DADOS!$C$2:$I1014,7,0)))</f>
        <v/>
      </c>
      <c r="G292" s="40" t="str">
        <f t="shared" si="2"/>
        <v/>
      </c>
      <c r="H292" s="41"/>
      <c r="I292" s="42"/>
      <c r="J292" s="42"/>
      <c r="K292" s="42"/>
      <c r="L292" s="42"/>
      <c r="M292" s="42"/>
      <c r="N292" s="42"/>
      <c r="O292" s="42"/>
      <c r="P292" s="42"/>
      <c r="Q292" s="42"/>
      <c r="R292" s="42"/>
      <c r="S292" s="42"/>
      <c r="T292" s="42"/>
      <c r="U292" s="42"/>
      <c r="V292" s="42"/>
      <c r="W292" s="42"/>
      <c r="X292" s="42"/>
      <c r="Y292" s="42"/>
      <c r="Z292" s="42"/>
      <c r="AA292" s="42"/>
    </row>
    <row r="293">
      <c r="A293" s="36" t="str">
        <f>IF($B293="","",VLOOKUP($B293,DADOS!$C$2:$I1014,2,0))</f>
        <v/>
      </c>
      <c r="B293" s="37"/>
      <c r="C293" s="36"/>
      <c r="D293" s="38" t="str">
        <f>IF($B293="","",SUM(VLOOKUP($B293,DADOS!$C$2:$I1014,4,0)*$C293))</f>
        <v/>
      </c>
      <c r="E293" s="38" t="str">
        <f>IF($B293="","",SUM(VLOOKUP($B293,DADOS!$C$2:$I1014,6,0)*$C293))</f>
        <v/>
      </c>
      <c r="F293" s="39" t="str">
        <f>IF($E293="","",(VLOOKUP($B293,DADOS!$C$2:$I1014,7,0)))</f>
        <v/>
      </c>
      <c r="G293" s="40" t="str">
        <f t="shared" si="2"/>
        <v/>
      </c>
      <c r="H293" s="41"/>
      <c r="I293" s="42"/>
      <c r="J293" s="42"/>
      <c r="K293" s="42"/>
      <c r="L293" s="42"/>
      <c r="M293" s="42"/>
      <c r="N293" s="42"/>
      <c r="O293" s="42"/>
      <c r="P293" s="42"/>
      <c r="Q293" s="42"/>
      <c r="R293" s="42"/>
      <c r="S293" s="42"/>
      <c r="T293" s="42"/>
      <c r="U293" s="42"/>
      <c r="V293" s="42"/>
      <c r="W293" s="42"/>
      <c r="X293" s="42"/>
      <c r="Y293" s="42"/>
      <c r="Z293" s="42"/>
      <c r="AA293" s="42"/>
    </row>
    <row r="294">
      <c r="A294" s="36" t="str">
        <f>IF($B294="","",VLOOKUP($B294,DADOS!$C$2:$I1014,2,0))</f>
        <v/>
      </c>
      <c r="B294" s="37"/>
      <c r="C294" s="36"/>
      <c r="D294" s="38" t="str">
        <f>IF($B294="","",SUM(VLOOKUP($B294,DADOS!$C$2:$I1014,4,0)*$C294))</f>
        <v/>
      </c>
      <c r="E294" s="38" t="str">
        <f>IF($B294="","",SUM(VLOOKUP($B294,DADOS!$C$2:$I1014,6,0)*$C294))</f>
        <v/>
      </c>
      <c r="F294" s="39" t="str">
        <f>IF($E294="","",(VLOOKUP($B294,DADOS!$C$2:$I1014,7,0)))</f>
        <v/>
      </c>
      <c r="G294" s="40" t="str">
        <f t="shared" si="2"/>
        <v/>
      </c>
      <c r="H294" s="41"/>
      <c r="I294" s="42"/>
      <c r="J294" s="42"/>
      <c r="K294" s="42"/>
      <c r="L294" s="42"/>
      <c r="M294" s="42"/>
      <c r="N294" s="42"/>
      <c r="O294" s="42"/>
      <c r="P294" s="42"/>
      <c r="Q294" s="42"/>
      <c r="R294" s="42"/>
      <c r="S294" s="42"/>
      <c r="T294" s="42"/>
      <c r="U294" s="42"/>
      <c r="V294" s="42"/>
      <c r="W294" s="42"/>
      <c r="X294" s="42"/>
      <c r="Y294" s="42"/>
      <c r="Z294" s="42"/>
      <c r="AA294" s="42"/>
    </row>
    <row r="295">
      <c r="A295" s="36" t="str">
        <f>IF($B295="","",VLOOKUP($B295,DADOS!$C$2:$I1014,2,0))</f>
        <v/>
      </c>
      <c r="B295" s="37"/>
      <c r="C295" s="36"/>
      <c r="D295" s="38" t="str">
        <f>IF($B295="","",SUM(VLOOKUP($B295,DADOS!$C$2:$I1014,4,0)*$C295))</f>
        <v/>
      </c>
      <c r="E295" s="38" t="str">
        <f>IF($B295="","",SUM(VLOOKUP($B295,DADOS!$C$2:$I1014,6,0)*$C295))</f>
        <v/>
      </c>
      <c r="F295" s="39" t="str">
        <f>IF($E295="","",(VLOOKUP($B295,DADOS!$C$2:$I1014,7,0)))</f>
        <v/>
      </c>
      <c r="G295" s="40" t="str">
        <f t="shared" si="2"/>
        <v/>
      </c>
      <c r="H295" s="41"/>
      <c r="I295" s="42"/>
      <c r="J295" s="42"/>
      <c r="K295" s="42"/>
      <c r="L295" s="42"/>
      <c r="M295" s="42"/>
      <c r="N295" s="42"/>
      <c r="O295" s="42"/>
      <c r="P295" s="42"/>
      <c r="Q295" s="42"/>
      <c r="R295" s="42"/>
      <c r="S295" s="42"/>
      <c r="T295" s="42"/>
      <c r="U295" s="42"/>
      <c r="V295" s="42"/>
      <c r="W295" s="42"/>
      <c r="X295" s="42"/>
      <c r="Y295" s="42"/>
      <c r="Z295" s="42"/>
      <c r="AA295" s="42"/>
    </row>
    <row r="296">
      <c r="A296" s="36" t="str">
        <f>IF($B296="","",VLOOKUP($B296,DADOS!$C$2:$I1014,2,0))</f>
        <v/>
      </c>
      <c r="B296" s="37"/>
      <c r="C296" s="36"/>
      <c r="D296" s="38" t="str">
        <f>IF($B296="","",SUM(VLOOKUP($B296,DADOS!$C$2:$I1014,4,0)*$C296))</f>
        <v/>
      </c>
      <c r="E296" s="38" t="str">
        <f>IF($B296="","",SUM(VLOOKUP($B296,DADOS!$C$2:$I1014,6,0)*$C296))</f>
        <v/>
      </c>
      <c r="F296" s="39" t="str">
        <f>IF($E296="","",(VLOOKUP($B296,DADOS!$C$2:$I1014,7,0)))</f>
        <v/>
      </c>
      <c r="G296" s="40" t="str">
        <f t="shared" si="2"/>
        <v/>
      </c>
      <c r="H296" s="41"/>
      <c r="I296" s="42"/>
      <c r="J296" s="42"/>
      <c r="K296" s="42"/>
      <c r="L296" s="42"/>
      <c r="M296" s="42"/>
      <c r="N296" s="42"/>
      <c r="O296" s="42"/>
      <c r="P296" s="42"/>
      <c r="Q296" s="42"/>
      <c r="R296" s="42"/>
      <c r="S296" s="42"/>
      <c r="T296" s="42"/>
      <c r="U296" s="42"/>
      <c r="V296" s="42"/>
      <c r="W296" s="42"/>
      <c r="X296" s="42"/>
      <c r="Y296" s="42"/>
      <c r="Z296" s="42"/>
      <c r="AA296" s="42"/>
    </row>
    <row r="297">
      <c r="A297" s="36" t="str">
        <f>IF($B297="","",VLOOKUP($B297,DADOS!$C$2:$I1014,2,0))</f>
        <v/>
      </c>
      <c r="B297" s="37"/>
      <c r="C297" s="36"/>
      <c r="D297" s="38" t="str">
        <f>IF($B297="","",SUM(VLOOKUP($B297,DADOS!$C$2:$I1014,4,0)*$C297))</f>
        <v/>
      </c>
      <c r="E297" s="38" t="str">
        <f>IF($B297="","",SUM(VLOOKUP($B297,DADOS!$C$2:$I1014,6,0)*$C297))</f>
        <v/>
      </c>
      <c r="F297" s="39" t="str">
        <f>IF($E297="","",(VLOOKUP($B297,DADOS!$C$2:$I1014,7,0)))</f>
        <v/>
      </c>
      <c r="G297" s="40" t="str">
        <f t="shared" si="2"/>
        <v/>
      </c>
      <c r="H297" s="41"/>
      <c r="I297" s="42"/>
      <c r="J297" s="42"/>
      <c r="K297" s="42"/>
      <c r="L297" s="42"/>
      <c r="M297" s="42"/>
      <c r="N297" s="42"/>
      <c r="O297" s="42"/>
      <c r="P297" s="42"/>
      <c r="Q297" s="42"/>
      <c r="R297" s="42"/>
      <c r="S297" s="42"/>
      <c r="T297" s="42"/>
      <c r="U297" s="42"/>
      <c r="V297" s="42"/>
      <c r="W297" s="42"/>
      <c r="X297" s="42"/>
      <c r="Y297" s="42"/>
      <c r="Z297" s="42"/>
      <c r="AA297" s="42"/>
    </row>
    <row r="298">
      <c r="A298" s="36" t="str">
        <f>IF($B298="","",VLOOKUP($B298,DADOS!$C$2:$I1014,2,0))</f>
        <v/>
      </c>
      <c r="B298" s="37"/>
      <c r="C298" s="36"/>
      <c r="D298" s="38" t="str">
        <f>IF($B298="","",SUM(VLOOKUP($B298,DADOS!$C$2:$I1014,4,0)*$C298))</f>
        <v/>
      </c>
      <c r="E298" s="38" t="str">
        <f>IF($B298="","",SUM(VLOOKUP($B298,DADOS!$C$2:$I1014,6,0)*$C298))</f>
        <v/>
      </c>
      <c r="F298" s="39" t="str">
        <f>IF($E298="","",(VLOOKUP($B298,DADOS!$C$2:$I1014,7,0)))</f>
        <v/>
      </c>
      <c r="G298" s="40" t="str">
        <f t="shared" si="2"/>
        <v/>
      </c>
      <c r="H298" s="41"/>
      <c r="I298" s="42"/>
      <c r="J298" s="42"/>
      <c r="K298" s="42"/>
      <c r="L298" s="42"/>
      <c r="M298" s="42"/>
      <c r="N298" s="42"/>
      <c r="O298" s="42"/>
      <c r="P298" s="42"/>
      <c r="Q298" s="42"/>
      <c r="R298" s="42"/>
      <c r="S298" s="42"/>
      <c r="T298" s="42"/>
      <c r="U298" s="42"/>
      <c r="V298" s="42"/>
      <c r="W298" s="42"/>
      <c r="X298" s="42"/>
      <c r="Y298" s="42"/>
      <c r="Z298" s="42"/>
      <c r="AA298" s="42"/>
    </row>
    <row r="299">
      <c r="A299" s="36" t="str">
        <f>IF($B299="","",VLOOKUP($B299,DADOS!$C$2:$I1014,2,0))</f>
        <v/>
      </c>
      <c r="B299" s="37"/>
      <c r="C299" s="36"/>
      <c r="D299" s="38" t="str">
        <f>IF($B299="","",SUM(VLOOKUP($B299,DADOS!$C$2:$I1014,4,0)*$C299))</f>
        <v/>
      </c>
      <c r="E299" s="38" t="str">
        <f>IF($B299="","",SUM(VLOOKUP($B299,DADOS!$C$2:$I1014,6,0)*$C299))</f>
        <v/>
      </c>
      <c r="F299" s="39" t="str">
        <f>IF($E299="","",(VLOOKUP($B299,DADOS!$C$2:$I1014,7,0)))</f>
        <v/>
      </c>
      <c r="G299" s="40" t="str">
        <f t="shared" si="2"/>
        <v/>
      </c>
      <c r="H299" s="41"/>
      <c r="I299" s="42"/>
      <c r="J299" s="42"/>
      <c r="K299" s="42"/>
      <c r="L299" s="42"/>
      <c r="M299" s="42"/>
      <c r="N299" s="42"/>
      <c r="O299" s="42"/>
      <c r="P299" s="42"/>
      <c r="Q299" s="42"/>
      <c r="R299" s="42"/>
      <c r="S299" s="42"/>
      <c r="T299" s="42"/>
      <c r="U299" s="42"/>
      <c r="V299" s="42"/>
      <c r="W299" s="42"/>
      <c r="X299" s="42"/>
      <c r="Y299" s="42"/>
      <c r="Z299" s="42"/>
      <c r="AA299" s="42"/>
    </row>
    <row r="300">
      <c r="A300" s="36" t="str">
        <f>IF($B300="","",VLOOKUP($B300,DADOS!$C$2:$I1014,2,0))</f>
        <v/>
      </c>
      <c r="B300" s="37"/>
      <c r="C300" s="36"/>
      <c r="D300" s="38" t="str">
        <f>IF($B300="","",SUM(VLOOKUP($B300,DADOS!$C$2:$I1014,4,0)*$C300))</f>
        <v/>
      </c>
      <c r="E300" s="38" t="str">
        <f>IF($B300="","",SUM(VLOOKUP($B300,DADOS!$C$2:$I1014,6,0)*$C300))</f>
        <v/>
      </c>
      <c r="F300" s="39" t="str">
        <f>IF($E300="","",(VLOOKUP($B300,DADOS!$C$2:$I1014,7,0)))</f>
        <v/>
      </c>
      <c r="G300" s="40" t="str">
        <f t="shared" si="2"/>
        <v/>
      </c>
      <c r="H300" s="41"/>
      <c r="I300" s="42"/>
      <c r="J300" s="42"/>
      <c r="K300" s="42"/>
      <c r="L300" s="42"/>
      <c r="M300" s="42"/>
      <c r="N300" s="42"/>
      <c r="O300" s="42"/>
      <c r="P300" s="42"/>
      <c r="Q300" s="42"/>
      <c r="R300" s="42"/>
      <c r="S300" s="42"/>
      <c r="T300" s="42"/>
      <c r="U300" s="42"/>
      <c r="V300" s="42"/>
      <c r="W300" s="42"/>
      <c r="X300" s="42"/>
      <c r="Y300" s="42"/>
      <c r="Z300" s="42"/>
      <c r="AA300" s="42"/>
    </row>
    <row r="301">
      <c r="A301" s="36" t="str">
        <f>IF($B301="","",VLOOKUP($B301,DADOS!$C$2:$I1014,2,0))</f>
        <v/>
      </c>
      <c r="B301" s="37"/>
      <c r="C301" s="36"/>
      <c r="D301" s="38" t="str">
        <f>IF($B301="","",SUM(VLOOKUP($B301,DADOS!$C$2:$I1014,4,0)*$C301))</f>
        <v/>
      </c>
      <c r="E301" s="38" t="str">
        <f>IF($B301="","",SUM(VLOOKUP($B301,DADOS!$C$2:$I1014,6,0)*$C301))</f>
        <v/>
      </c>
      <c r="F301" s="39" t="str">
        <f>IF($E301="","",(VLOOKUP($B301,DADOS!$C$2:$I1014,7,0)))</f>
        <v/>
      </c>
      <c r="G301" s="40" t="str">
        <f t="shared" si="2"/>
        <v/>
      </c>
      <c r="H301" s="41"/>
      <c r="I301" s="42"/>
      <c r="J301" s="42"/>
      <c r="K301" s="42"/>
      <c r="L301" s="42"/>
      <c r="M301" s="42"/>
      <c r="N301" s="42"/>
      <c r="O301" s="42"/>
      <c r="P301" s="42"/>
      <c r="Q301" s="42"/>
      <c r="R301" s="42"/>
      <c r="S301" s="42"/>
      <c r="T301" s="42"/>
      <c r="U301" s="42"/>
      <c r="V301" s="42"/>
      <c r="W301" s="42"/>
      <c r="X301" s="42"/>
      <c r="Y301" s="42"/>
      <c r="Z301" s="42"/>
      <c r="AA301" s="42"/>
    </row>
    <row r="302">
      <c r="A302" s="36" t="str">
        <f>IF($B302="","",VLOOKUP($B302,DADOS!$C$2:$I1014,2,0))</f>
        <v/>
      </c>
      <c r="B302" s="37"/>
      <c r="C302" s="36"/>
      <c r="D302" s="38" t="str">
        <f>IF($B302="","",SUM(VLOOKUP($B302,DADOS!$C$2:$I1014,4,0)*$C302))</f>
        <v/>
      </c>
      <c r="E302" s="38" t="str">
        <f>IF($B302="","",SUM(VLOOKUP($B302,DADOS!$C$2:$I1014,6,0)*$C302))</f>
        <v/>
      </c>
      <c r="F302" s="39" t="str">
        <f>IF($E302="","",(VLOOKUP($B302,DADOS!$C$2:$I1014,7,0)))</f>
        <v/>
      </c>
      <c r="G302" s="40" t="str">
        <f t="shared" si="2"/>
        <v/>
      </c>
      <c r="H302" s="41"/>
      <c r="I302" s="42"/>
      <c r="J302" s="42"/>
      <c r="K302" s="42"/>
      <c r="L302" s="42"/>
      <c r="M302" s="42"/>
      <c r="N302" s="42"/>
      <c r="O302" s="42"/>
      <c r="P302" s="42"/>
      <c r="Q302" s="42"/>
      <c r="R302" s="42"/>
      <c r="S302" s="42"/>
      <c r="T302" s="42"/>
      <c r="U302" s="42"/>
      <c r="V302" s="42"/>
      <c r="W302" s="42"/>
      <c r="X302" s="42"/>
      <c r="Y302" s="42"/>
      <c r="Z302" s="42"/>
      <c r="AA302" s="42"/>
    </row>
    <row r="303">
      <c r="A303" s="36" t="str">
        <f>IF($B303="","",VLOOKUP($B303,DADOS!$C$2:$I1014,2,0))</f>
        <v/>
      </c>
      <c r="B303" s="37"/>
      <c r="C303" s="36"/>
      <c r="D303" s="38" t="str">
        <f>IF($B303="","",SUM(VLOOKUP($B303,DADOS!$C$2:$I1014,4,0)*$C303))</f>
        <v/>
      </c>
      <c r="E303" s="38" t="str">
        <f>IF($B303="","",SUM(VLOOKUP($B303,DADOS!$C$2:$I1014,6,0)*$C303))</f>
        <v/>
      </c>
      <c r="F303" s="39" t="str">
        <f>IF($E303="","",(VLOOKUP($B303,DADOS!$C$2:$I1014,7,0)))</f>
        <v/>
      </c>
      <c r="G303" s="40" t="str">
        <f t="shared" si="2"/>
        <v/>
      </c>
      <c r="H303" s="41"/>
      <c r="I303" s="42"/>
      <c r="J303" s="42"/>
      <c r="K303" s="42"/>
      <c r="L303" s="42"/>
      <c r="M303" s="42"/>
      <c r="N303" s="42"/>
      <c r="O303" s="42"/>
      <c r="P303" s="42"/>
      <c r="Q303" s="42"/>
      <c r="R303" s="42"/>
      <c r="S303" s="42"/>
      <c r="T303" s="42"/>
      <c r="U303" s="42"/>
      <c r="V303" s="42"/>
      <c r="W303" s="42"/>
      <c r="X303" s="42"/>
      <c r="Y303" s="42"/>
      <c r="Z303" s="42"/>
      <c r="AA303" s="42"/>
    </row>
    <row r="304">
      <c r="A304" s="36" t="str">
        <f>IF($B304="","",VLOOKUP($B304,DADOS!$C$2:$I1014,2,0))</f>
        <v/>
      </c>
      <c r="B304" s="37"/>
      <c r="C304" s="36"/>
      <c r="D304" s="38" t="str">
        <f>IF($B304="","",SUM(VLOOKUP($B304,DADOS!$C$2:$I1014,4,0)*$C304))</f>
        <v/>
      </c>
      <c r="E304" s="38" t="str">
        <f>IF($B304="","",SUM(VLOOKUP($B304,DADOS!$C$2:$I1014,6,0)*$C304))</f>
        <v/>
      </c>
      <c r="F304" s="39" t="str">
        <f>IF($E304="","",(VLOOKUP($B304,DADOS!$C$2:$I1014,7,0)))</f>
        <v/>
      </c>
      <c r="G304" s="40" t="str">
        <f t="shared" si="2"/>
        <v/>
      </c>
      <c r="H304" s="41"/>
      <c r="I304" s="42"/>
      <c r="J304" s="42"/>
      <c r="K304" s="42"/>
      <c r="L304" s="42"/>
      <c r="M304" s="42"/>
      <c r="N304" s="42"/>
      <c r="O304" s="42"/>
      <c r="P304" s="42"/>
      <c r="Q304" s="42"/>
      <c r="R304" s="42"/>
      <c r="S304" s="42"/>
      <c r="T304" s="42"/>
      <c r="U304" s="42"/>
      <c r="V304" s="42"/>
      <c r="W304" s="42"/>
      <c r="X304" s="42"/>
      <c r="Y304" s="42"/>
      <c r="Z304" s="42"/>
      <c r="AA304" s="42"/>
    </row>
    <row r="305">
      <c r="A305" s="36" t="str">
        <f>IF($B305="","",VLOOKUP($B305,DADOS!$C$2:$I1014,2,0))</f>
        <v/>
      </c>
      <c r="B305" s="37"/>
      <c r="C305" s="36"/>
      <c r="D305" s="38" t="str">
        <f>IF($B305="","",SUM(VLOOKUP($B305,DADOS!$C$2:$I1014,4,0)*$C305))</f>
        <v/>
      </c>
      <c r="E305" s="38" t="str">
        <f>IF($B305="","",SUM(VLOOKUP($B305,DADOS!$C$2:$I1014,6,0)*$C305))</f>
        <v/>
      </c>
      <c r="F305" s="39" t="str">
        <f>IF($E305="","",(VLOOKUP($B305,DADOS!$C$2:$I1014,7,0)))</f>
        <v/>
      </c>
      <c r="G305" s="40" t="str">
        <f t="shared" si="2"/>
        <v/>
      </c>
      <c r="H305" s="41"/>
      <c r="I305" s="42"/>
      <c r="J305" s="42"/>
      <c r="K305" s="42"/>
      <c r="L305" s="42"/>
      <c r="M305" s="42"/>
      <c r="N305" s="42"/>
      <c r="O305" s="42"/>
      <c r="P305" s="42"/>
      <c r="Q305" s="42"/>
      <c r="R305" s="42"/>
      <c r="S305" s="42"/>
      <c r="T305" s="42"/>
      <c r="U305" s="42"/>
      <c r="V305" s="42"/>
      <c r="W305" s="42"/>
      <c r="X305" s="42"/>
      <c r="Y305" s="42"/>
      <c r="Z305" s="42"/>
      <c r="AA305" s="42"/>
    </row>
    <row r="306">
      <c r="A306" s="36" t="str">
        <f>IF($B306="","",VLOOKUP($B306,DADOS!$C$2:$I1014,2,0))</f>
        <v/>
      </c>
      <c r="B306" s="37"/>
      <c r="C306" s="36"/>
      <c r="D306" s="38" t="str">
        <f>IF($B306="","",SUM(VLOOKUP($B306,DADOS!$C$2:$I1014,4,0)*$C306))</f>
        <v/>
      </c>
      <c r="E306" s="38" t="str">
        <f>IF($B306="","",SUM(VLOOKUP($B306,DADOS!$C$2:$I1014,6,0)*$C306))</f>
        <v/>
      </c>
      <c r="F306" s="39" t="str">
        <f>IF($E306="","",(VLOOKUP($B306,DADOS!$C$2:$I1014,7,0)))</f>
        <v/>
      </c>
      <c r="G306" s="40" t="str">
        <f t="shared" si="2"/>
        <v/>
      </c>
      <c r="H306" s="41"/>
      <c r="I306" s="42"/>
      <c r="J306" s="42"/>
      <c r="K306" s="42"/>
      <c r="L306" s="42"/>
      <c r="M306" s="42"/>
      <c r="N306" s="42"/>
      <c r="O306" s="42"/>
      <c r="P306" s="42"/>
      <c r="Q306" s="42"/>
      <c r="R306" s="42"/>
      <c r="S306" s="42"/>
      <c r="T306" s="42"/>
      <c r="U306" s="42"/>
      <c r="V306" s="42"/>
      <c r="W306" s="42"/>
      <c r="X306" s="42"/>
      <c r="Y306" s="42"/>
      <c r="Z306" s="42"/>
      <c r="AA306" s="42"/>
    </row>
    <row r="307">
      <c r="A307" s="36" t="str">
        <f>IF($B307="","",VLOOKUP($B307,DADOS!$C$2:$I1014,2,0))</f>
        <v/>
      </c>
      <c r="B307" s="37"/>
      <c r="C307" s="36"/>
      <c r="D307" s="38" t="str">
        <f>IF($B307="","",SUM(VLOOKUP($B307,DADOS!$C$2:$I1014,4,0)*$C307))</f>
        <v/>
      </c>
      <c r="E307" s="38" t="str">
        <f>IF($B307="","",SUM(VLOOKUP($B307,DADOS!$C$2:$I1014,6,0)*$C307))</f>
        <v/>
      </c>
      <c r="F307" s="39" t="str">
        <f>IF($E307="","",(VLOOKUP($B307,DADOS!$C$2:$I1014,7,0)))</f>
        <v/>
      </c>
      <c r="G307" s="40" t="str">
        <f t="shared" si="2"/>
        <v/>
      </c>
      <c r="H307" s="41"/>
      <c r="I307" s="42"/>
      <c r="J307" s="42"/>
      <c r="K307" s="42"/>
      <c r="L307" s="42"/>
      <c r="M307" s="42"/>
      <c r="N307" s="42"/>
      <c r="O307" s="42"/>
      <c r="P307" s="42"/>
      <c r="Q307" s="42"/>
      <c r="R307" s="42"/>
      <c r="S307" s="42"/>
      <c r="T307" s="42"/>
      <c r="U307" s="42"/>
      <c r="V307" s="42"/>
      <c r="W307" s="42"/>
      <c r="X307" s="42"/>
      <c r="Y307" s="42"/>
      <c r="Z307" s="42"/>
      <c r="AA307" s="42"/>
    </row>
    <row r="308">
      <c r="A308" s="36" t="str">
        <f>IF($B308="","",VLOOKUP($B308,DADOS!$C$2:$I1014,2,0))</f>
        <v/>
      </c>
      <c r="B308" s="37"/>
      <c r="C308" s="36"/>
      <c r="D308" s="38" t="str">
        <f>IF($B308="","",SUM(VLOOKUP($B308,DADOS!$C$2:$I1014,4,0)*$C308))</f>
        <v/>
      </c>
      <c r="E308" s="38" t="str">
        <f>IF($B308="","",SUM(VLOOKUP($B308,DADOS!$C$2:$I1014,6,0)*$C308))</f>
        <v/>
      </c>
      <c r="F308" s="39" t="str">
        <f>IF($E308="","",(VLOOKUP($B308,DADOS!$C$2:$I1014,7,0)))</f>
        <v/>
      </c>
      <c r="G308" s="40" t="str">
        <f t="shared" si="2"/>
        <v/>
      </c>
      <c r="H308" s="41"/>
      <c r="I308" s="42"/>
      <c r="J308" s="42"/>
      <c r="K308" s="42"/>
      <c r="L308" s="42"/>
      <c r="M308" s="42"/>
      <c r="N308" s="42"/>
      <c r="O308" s="42"/>
      <c r="P308" s="42"/>
      <c r="Q308" s="42"/>
      <c r="R308" s="42"/>
      <c r="S308" s="42"/>
      <c r="T308" s="42"/>
      <c r="U308" s="42"/>
      <c r="V308" s="42"/>
      <c r="W308" s="42"/>
      <c r="X308" s="42"/>
      <c r="Y308" s="42"/>
      <c r="Z308" s="42"/>
      <c r="AA308" s="42"/>
    </row>
    <row r="309">
      <c r="A309" s="36" t="str">
        <f>IF($B309="","",VLOOKUP($B309,DADOS!$C$2:$I1014,2,0))</f>
        <v/>
      </c>
      <c r="B309" s="37"/>
      <c r="C309" s="36"/>
      <c r="D309" s="38" t="str">
        <f>IF($B309="","",SUM(VLOOKUP($B309,DADOS!$C$2:$I1014,4,0)*$C309))</f>
        <v/>
      </c>
      <c r="E309" s="38" t="str">
        <f>IF($B309="","",SUM(VLOOKUP($B309,DADOS!$C$2:$I1014,6,0)*$C309))</f>
        <v/>
      </c>
      <c r="F309" s="39" t="str">
        <f>IF($E309="","",(VLOOKUP($B309,DADOS!$C$2:$I1014,7,0)))</f>
        <v/>
      </c>
      <c r="G309" s="40" t="str">
        <f t="shared" si="2"/>
        <v/>
      </c>
      <c r="H309" s="41"/>
      <c r="I309" s="42"/>
      <c r="J309" s="42"/>
      <c r="K309" s="42"/>
      <c r="L309" s="42"/>
      <c r="M309" s="42"/>
      <c r="N309" s="42"/>
      <c r="O309" s="42"/>
      <c r="P309" s="42"/>
      <c r="Q309" s="42"/>
      <c r="R309" s="42"/>
      <c r="S309" s="42"/>
      <c r="T309" s="42"/>
      <c r="U309" s="42"/>
      <c r="V309" s="42"/>
      <c r="W309" s="42"/>
      <c r="X309" s="42"/>
      <c r="Y309" s="42"/>
      <c r="Z309" s="42"/>
      <c r="AA309" s="42"/>
    </row>
    <row r="310">
      <c r="A310" s="36" t="str">
        <f>IF($B310="","",VLOOKUP($B310,DADOS!$C$2:$I1014,2,0))</f>
        <v/>
      </c>
      <c r="B310" s="37"/>
      <c r="C310" s="36"/>
      <c r="D310" s="38" t="str">
        <f>IF($B310="","",SUM(VLOOKUP($B310,DADOS!$C$2:$I1014,4,0)*$C310))</f>
        <v/>
      </c>
      <c r="E310" s="38" t="str">
        <f>IF($B310="","",SUM(VLOOKUP($B310,DADOS!$C$2:$I1014,6,0)*$C310))</f>
        <v/>
      </c>
      <c r="F310" s="39" t="str">
        <f>IF($E310="","",(VLOOKUP($B310,DADOS!$C$2:$I1014,7,0)))</f>
        <v/>
      </c>
      <c r="G310" s="40" t="str">
        <f t="shared" si="2"/>
        <v/>
      </c>
      <c r="H310" s="41"/>
      <c r="I310" s="42"/>
      <c r="J310" s="42"/>
      <c r="K310" s="42"/>
      <c r="L310" s="42"/>
      <c r="M310" s="42"/>
      <c r="N310" s="42"/>
      <c r="O310" s="42"/>
      <c r="P310" s="42"/>
      <c r="Q310" s="42"/>
      <c r="R310" s="42"/>
      <c r="S310" s="42"/>
      <c r="T310" s="42"/>
      <c r="U310" s="42"/>
      <c r="V310" s="42"/>
      <c r="W310" s="42"/>
      <c r="X310" s="42"/>
      <c r="Y310" s="42"/>
      <c r="Z310" s="42"/>
      <c r="AA310" s="42"/>
    </row>
    <row r="311">
      <c r="A311" s="36" t="str">
        <f>IF($B311="","",VLOOKUP($B311,DADOS!$C$2:$I1014,2,0))</f>
        <v/>
      </c>
      <c r="B311" s="37"/>
      <c r="C311" s="36"/>
      <c r="D311" s="38" t="str">
        <f>IF($B311="","",SUM(VLOOKUP($B311,DADOS!$C$2:$I1014,4,0)*$C311))</f>
        <v/>
      </c>
      <c r="E311" s="38" t="str">
        <f>IF($B311="","",SUM(VLOOKUP($B311,DADOS!$C$2:$I1014,6,0)*$C311))</f>
        <v/>
      </c>
      <c r="F311" s="39" t="str">
        <f>IF($E311="","",(VLOOKUP($B311,DADOS!$C$2:$I1014,7,0)))</f>
        <v/>
      </c>
      <c r="G311" s="40" t="str">
        <f t="shared" si="2"/>
        <v/>
      </c>
      <c r="H311" s="41"/>
      <c r="I311" s="42"/>
      <c r="J311" s="42"/>
      <c r="K311" s="42"/>
      <c r="L311" s="42"/>
      <c r="M311" s="42"/>
      <c r="N311" s="42"/>
      <c r="O311" s="42"/>
      <c r="P311" s="42"/>
      <c r="Q311" s="42"/>
      <c r="R311" s="42"/>
      <c r="S311" s="42"/>
      <c r="T311" s="42"/>
      <c r="U311" s="42"/>
      <c r="V311" s="42"/>
      <c r="W311" s="42"/>
      <c r="X311" s="42"/>
      <c r="Y311" s="42"/>
      <c r="Z311" s="42"/>
      <c r="AA311" s="42"/>
    </row>
    <row r="312">
      <c r="A312" s="36" t="str">
        <f>IF($B312="","",VLOOKUP($B312,DADOS!$C$2:$I1014,2,0))</f>
        <v/>
      </c>
      <c r="B312" s="37"/>
      <c r="C312" s="36"/>
      <c r="D312" s="38" t="str">
        <f>IF($B312="","",SUM(VLOOKUP($B312,DADOS!$C$2:$I1014,4,0)*$C312))</f>
        <v/>
      </c>
      <c r="E312" s="38" t="str">
        <f>IF($B312="","",SUM(VLOOKUP($B312,DADOS!$C$2:$I1014,6,0)*$C312))</f>
        <v/>
      </c>
      <c r="F312" s="39" t="str">
        <f>IF($E312="","",(VLOOKUP($B312,DADOS!$C$2:$I1014,7,0)))</f>
        <v/>
      </c>
      <c r="G312" s="40" t="str">
        <f t="shared" si="2"/>
        <v/>
      </c>
      <c r="H312" s="41"/>
      <c r="I312" s="42"/>
      <c r="J312" s="42"/>
      <c r="K312" s="42"/>
      <c r="L312" s="42"/>
      <c r="M312" s="42"/>
      <c r="N312" s="42"/>
      <c r="O312" s="42"/>
      <c r="P312" s="42"/>
      <c r="Q312" s="42"/>
      <c r="R312" s="42"/>
      <c r="S312" s="42"/>
      <c r="T312" s="42"/>
      <c r="U312" s="42"/>
      <c r="V312" s="42"/>
      <c r="W312" s="42"/>
      <c r="X312" s="42"/>
      <c r="Y312" s="42"/>
      <c r="Z312" s="42"/>
      <c r="AA312" s="42"/>
    </row>
    <row r="313">
      <c r="A313" s="36" t="str">
        <f>IF($B313="","",VLOOKUP($B313,DADOS!$C$2:$I1014,2,0))</f>
        <v/>
      </c>
      <c r="B313" s="37"/>
      <c r="C313" s="36"/>
      <c r="D313" s="38" t="str">
        <f>IF($B313="","",SUM(VLOOKUP($B313,DADOS!$C$2:$I1014,4,0)*$C313))</f>
        <v/>
      </c>
      <c r="E313" s="38" t="str">
        <f>IF($B313="","",SUM(VLOOKUP($B313,DADOS!$C$2:$I1014,6,0)*$C313))</f>
        <v/>
      </c>
      <c r="F313" s="39" t="str">
        <f>IF($E313="","",(VLOOKUP($B313,DADOS!$C$2:$I1014,7,0)))</f>
        <v/>
      </c>
      <c r="G313" s="40" t="str">
        <f t="shared" si="2"/>
        <v/>
      </c>
      <c r="H313" s="41"/>
      <c r="I313" s="42"/>
      <c r="J313" s="42"/>
      <c r="K313" s="42"/>
      <c r="L313" s="42"/>
      <c r="M313" s="42"/>
      <c r="N313" s="42"/>
      <c r="O313" s="42"/>
      <c r="P313" s="42"/>
      <c r="Q313" s="42"/>
      <c r="R313" s="42"/>
      <c r="S313" s="42"/>
      <c r="T313" s="42"/>
      <c r="U313" s="42"/>
      <c r="V313" s="42"/>
      <c r="W313" s="42"/>
      <c r="X313" s="42"/>
      <c r="Y313" s="42"/>
      <c r="Z313" s="42"/>
      <c r="AA313" s="42"/>
    </row>
    <row r="314">
      <c r="A314" s="36" t="str">
        <f>IF($B314="","",VLOOKUP($B314,DADOS!$C$2:$I1014,2,0))</f>
        <v/>
      </c>
      <c r="B314" s="37"/>
      <c r="C314" s="36"/>
      <c r="D314" s="38" t="str">
        <f>IF($B314="","",SUM(VLOOKUP($B314,DADOS!$C$2:$I1014,4,0)*$C314))</f>
        <v/>
      </c>
      <c r="E314" s="38" t="str">
        <f>IF($B314="","",SUM(VLOOKUP($B314,DADOS!$C$2:$I1014,6,0)*$C314))</f>
        <v/>
      </c>
      <c r="F314" s="39" t="str">
        <f>IF($E314="","",(VLOOKUP($B314,DADOS!$C$2:$I1014,7,0)))</f>
        <v/>
      </c>
      <c r="G314" s="40" t="str">
        <f t="shared" si="2"/>
        <v/>
      </c>
      <c r="H314" s="41"/>
      <c r="I314" s="42"/>
      <c r="J314" s="42"/>
      <c r="K314" s="42"/>
      <c r="L314" s="42"/>
      <c r="M314" s="42"/>
      <c r="N314" s="42"/>
      <c r="O314" s="42"/>
      <c r="P314" s="42"/>
      <c r="Q314" s="42"/>
      <c r="R314" s="42"/>
      <c r="S314" s="42"/>
      <c r="T314" s="42"/>
      <c r="U314" s="42"/>
      <c r="V314" s="42"/>
      <c r="W314" s="42"/>
      <c r="X314" s="42"/>
      <c r="Y314" s="42"/>
      <c r="Z314" s="42"/>
      <c r="AA314" s="42"/>
    </row>
    <row r="315">
      <c r="A315" s="36" t="str">
        <f>IF($B315="","",VLOOKUP($B315,DADOS!$C$2:$I1014,2,0))</f>
        <v/>
      </c>
      <c r="B315" s="37"/>
      <c r="C315" s="36"/>
      <c r="D315" s="38" t="str">
        <f>IF($B315="","",SUM(VLOOKUP($B315,DADOS!$C$2:$I1014,4,0)*$C315))</f>
        <v/>
      </c>
      <c r="E315" s="38" t="str">
        <f>IF($B315="","",SUM(VLOOKUP($B315,DADOS!$C$2:$I1014,6,0)*$C315))</f>
        <v/>
      </c>
      <c r="F315" s="39" t="str">
        <f>IF($E315="","",(VLOOKUP($B315,DADOS!$C$2:$I1014,7,0)))</f>
        <v/>
      </c>
      <c r="G315" s="40" t="str">
        <f t="shared" si="2"/>
        <v/>
      </c>
      <c r="H315" s="41"/>
      <c r="I315" s="42"/>
      <c r="J315" s="42"/>
      <c r="K315" s="42"/>
      <c r="L315" s="42"/>
      <c r="M315" s="42"/>
      <c r="N315" s="42"/>
      <c r="O315" s="42"/>
      <c r="P315" s="42"/>
      <c r="Q315" s="42"/>
      <c r="R315" s="42"/>
      <c r="S315" s="42"/>
      <c r="T315" s="42"/>
      <c r="U315" s="42"/>
      <c r="V315" s="42"/>
      <c r="W315" s="42"/>
      <c r="X315" s="42"/>
      <c r="Y315" s="42"/>
      <c r="Z315" s="42"/>
      <c r="AA315" s="42"/>
    </row>
    <row r="316">
      <c r="A316" s="36" t="str">
        <f>IF($B316="","",VLOOKUP($B316,DADOS!$C$2:$I1014,2,0))</f>
        <v/>
      </c>
      <c r="B316" s="37"/>
      <c r="C316" s="36"/>
      <c r="D316" s="38" t="str">
        <f>IF($B316="","",SUM(VLOOKUP($B316,DADOS!$C$2:$I1014,4,0)*$C316))</f>
        <v/>
      </c>
      <c r="E316" s="38" t="str">
        <f>IF($B316="","",SUM(VLOOKUP($B316,DADOS!$C$2:$I1014,6,0)*$C316))</f>
        <v/>
      </c>
      <c r="F316" s="39" t="str">
        <f>IF($E316="","",(VLOOKUP($B316,DADOS!$C$2:$I1014,7,0)))</f>
        <v/>
      </c>
      <c r="G316" s="40" t="str">
        <f t="shared" si="2"/>
        <v/>
      </c>
      <c r="H316" s="41"/>
      <c r="I316" s="42"/>
      <c r="J316" s="42"/>
      <c r="K316" s="42"/>
      <c r="L316" s="42"/>
      <c r="M316" s="42"/>
      <c r="N316" s="42"/>
      <c r="O316" s="42"/>
      <c r="P316" s="42"/>
      <c r="Q316" s="42"/>
      <c r="R316" s="42"/>
      <c r="S316" s="42"/>
      <c r="T316" s="42"/>
      <c r="U316" s="42"/>
      <c r="V316" s="42"/>
      <c r="W316" s="42"/>
      <c r="X316" s="42"/>
      <c r="Y316" s="42"/>
      <c r="Z316" s="42"/>
      <c r="AA316" s="42"/>
    </row>
    <row r="317">
      <c r="A317" s="36" t="str">
        <f>IF($B317="","",VLOOKUP($B317,DADOS!$C$2:$I1014,2,0))</f>
        <v/>
      </c>
      <c r="B317" s="37"/>
      <c r="C317" s="36"/>
      <c r="D317" s="38" t="str">
        <f>IF($B317="","",SUM(VLOOKUP($B317,DADOS!$C$2:$I1014,4,0)*$C317))</f>
        <v/>
      </c>
      <c r="E317" s="38" t="str">
        <f>IF($B317="","",SUM(VLOOKUP($B317,DADOS!$C$2:$I1014,6,0)*$C317))</f>
        <v/>
      </c>
      <c r="F317" s="39" t="str">
        <f>IF($E317="","",(VLOOKUP($B317,DADOS!$C$2:$I1014,7,0)))</f>
        <v/>
      </c>
      <c r="G317" s="40" t="str">
        <f t="shared" si="2"/>
        <v/>
      </c>
      <c r="H317" s="41"/>
      <c r="I317" s="42"/>
      <c r="J317" s="42"/>
      <c r="K317" s="42"/>
      <c r="L317" s="42"/>
      <c r="M317" s="42"/>
      <c r="N317" s="42"/>
      <c r="O317" s="42"/>
      <c r="P317" s="42"/>
      <c r="Q317" s="42"/>
      <c r="R317" s="42"/>
      <c r="S317" s="42"/>
      <c r="T317" s="42"/>
      <c r="U317" s="42"/>
      <c r="V317" s="42"/>
      <c r="W317" s="42"/>
      <c r="X317" s="42"/>
      <c r="Y317" s="42"/>
      <c r="Z317" s="42"/>
      <c r="AA317" s="42"/>
    </row>
    <row r="318">
      <c r="A318" s="36" t="str">
        <f>IF($B318="","",VLOOKUP($B318,DADOS!$C$2:$I1014,2,0))</f>
        <v/>
      </c>
      <c r="B318" s="37"/>
      <c r="C318" s="36"/>
      <c r="D318" s="38" t="str">
        <f>IF($B318="","",SUM(VLOOKUP($B318,DADOS!$C$2:$I1014,4,0)*$C318))</f>
        <v/>
      </c>
      <c r="E318" s="38" t="str">
        <f>IF($B318="","",SUM(VLOOKUP($B318,DADOS!$C$2:$I1014,6,0)*$C318))</f>
        <v/>
      </c>
      <c r="F318" s="39" t="str">
        <f>IF($E318="","",(VLOOKUP($B318,DADOS!$C$2:$I1014,7,0)))</f>
        <v/>
      </c>
      <c r="G318" s="40" t="str">
        <f t="shared" si="2"/>
        <v/>
      </c>
      <c r="H318" s="41"/>
      <c r="I318" s="42"/>
      <c r="J318" s="42"/>
      <c r="K318" s="42"/>
      <c r="L318" s="42"/>
      <c r="M318" s="42"/>
      <c r="N318" s="42"/>
      <c r="O318" s="42"/>
      <c r="P318" s="42"/>
      <c r="Q318" s="42"/>
      <c r="R318" s="42"/>
      <c r="S318" s="42"/>
      <c r="T318" s="42"/>
      <c r="U318" s="42"/>
      <c r="V318" s="42"/>
      <c r="W318" s="42"/>
      <c r="X318" s="42"/>
      <c r="Y318" s="42"/>
      <c r="Z318" s="42"/>
      <c r="AA318" s="42"/>
    </row>
    <row r="319">
      <c r="A319" s="36" t="str">
        <f>IF($B319="","",VLOOKUP($B319,DADOS!$C$2:$I1014,2,0))</f>
        <v/>
      </c>
      <c r="B319" s="37"/>
      <c r="C319" s="36"/>
      <c r="D319" s="38" t="str">
        <f>IF($B319="","",SUM(VLOOKUP($B319,DADOS!$C$2:$I1014,4,0)*$C319))</f>
        <v/>
      </c>
      <c r="E319" s="38" t="str">
        <f>IF($B319="","",SUM(VLOOKUP($B319,DADOS!$C$2:$I1014,6,0)*$C319))</f>
        <v/>
      </c>
      <c r="F319" s="39" t="str">
        <f>IF($E319="","",(VLOOKUP($B319,DADOS!$C$2:$I1014,7,0)))</f>
        <v/>
      </c>
      <c r="G319" s="40" t="str">
        <f t="shared" si="2"/>
        <v/>
      </c>
      <c r="H319" s="41"/>
      <c r="I319" s="42"/>
      <c r="J319" s="42"/>
      <c r="K319" s="42"/>
      <c r="L319" s="42"/>
      <c r="M319" s="42"/>
      <c r="N319" s="42"/>
      <c r="O319" s="42"/>
      <c r="P319" s="42"/>
      <c r="Q319" s="42"/>
      <c r="R319" s="42"/>
      <c r="S319" s="42"/>
      <c r="T319" s="42"/>
      <c r="U319" s="42"/>
      <c r="V319" s="42"/>
      <c r="W319" s="42"/>
      <c r="X319" s="42"/>
      <c r="Y319" s="42"/>
      <c r="Z319" s="42"/>
      <c r="AA319" s="42"/>
    </row>
    <row r="320">
      <c r="A320" s="36" t="str">
        <f>IF($B320="","",VLOOKUP($B320,DADOS!$C$2:$I1014,2,0))</f>
        <v/>
      </c>
      <c r="B320" s="37"/>
      <c r="C320" s="36"/>
      <c r="D320" s="38" t="str">
        <f>IF($B320="","",SUM(VLOOKUP($B320,DADOS!$C$2:$I1014,4,0)*$C320))</f>
        <v/>
      </c>
      <c r="E320" s="38" t="str">
        <f>IF($B320="","",SUM(VLOOKUP($B320,DADOS!$C$2:$I1014,6,0)*$C320))</f>
        <v/>
      </c>
      <c r="F320" s="39" t="str">
        <f>IF($E320="","",(VLOOKUP($B320,DADOS!$C$2:$I1014,7,0)))</f>
        <v/>
      </c>
      <c r="G320" s="40" t="str">
        <f t="shared" si="2"/>
        <v/>
      </c>
      <c r="H320" s="41"/>
      <c r="I320" s="42"/>
      <c r="J320" s="42"/>
      <c r="K320" s="42"/>
      <c r="L320" s="42"/>
      <c r="M320" s="42"/>
      <c r="N320" s="42"/>
      <c r="O320" s="42"/>
      <c r="P320" s="42"/>
      <c r="Q320" s="42"/>
      <c r="R320" s="42"/>
      <c r="S320" s="42"/>
      <c r="T320" s="42"/>
      <c r="U320" s="42"/>
      <c r="V320" s="42"/>
      <c r="W320" s="42"/>
      <c r="X320" s="42"/>
      <c r="Y320" s="42"/>
      <c r="Z320" s="42"/>
      <c r="AA320" s="42"/>
    </row>
    <row r="321">
      <c r="A321" s="36" t="str">
        <f>IF($B321="","",VLOOKUP($B321,DADOS!$C$2:$I1014,2,0))</f>
        <v/>
      </c>
      <c r="B321" s="37"/>
      <c r="C321" s="36"/>
      <c r="D321" s="38" t="str">
        <f>IF($B321="","",SUM(VLOOKUP($B321,DADOS!$C$2:$I1014,4,0)*$C321))</f>
        <v/>
      </c>
      <c r="E321" s="38" t="str">
        <f>IF($B321="","",SUM(VLOOKUP($B321,DADOS!$C$2:$I1014,6,0)*$C321))</f>
        <v/>
      </c>
      <c r="F321" s="39" t="str">
        <f>IF($E321="","",(VLOOKUP($B321,DADOS!$C$2:$I1014,7,0)))</f>
        <v/>
      </c>
      <c r="G321" s="40" t="str">
        <f t="shared" si="2"/>
        <v/>
      </c>
      <c r="H321" s="41"/>
      <c r="I321" s="42"/>
      <c r="J321" s="42"/>
      <c r="K321" s="42"/>
      <c r="L321" s="42"/>
      <c r="M321" s="42"/>
      <c r="N321" s="42"/>
      <c r="O321" s="42"/>
      <c r="P321" s="42"/>
      <c r="Q321" s="42"/>
      <c r="R321" s="42"/>
      <c r="S321" s="42"/>
      <c r="T321" s="42"/>
      <c r="U321" s="42"/>
      <c r="V321" s="42"/>
      <c r="W321" s="42"/>
      <c r="X321" s="42"/>
      <c r="Y321" s="42"/>
      <c r="Z321" s="42"/>
      <c r="AA321" s="42"/>
    </row>
    <row r="322">
      <c r="A322" s="36" t="str">
        <f>IF($B322="","",VLOOKUP($B322,DADOS!$C$2:$I1014,2,0))</f>
        <v/>
      </c>
      <c r="B322" s="37"/>
      <c r="C322" s="36"/>
      <c r="D322" s="38" t="str">
        <f>IF($B322="","",SUM(VLOOKUP($B322,DADOS!$C$2:$I1014,4,0)*$C322))</f>
        <v/>
      </c>
      <c r="E322" s="38" t="str">
        <f>IF($B322="","",SUM(VLOOKUP($B322,DADOS!$C$2:$I1014,6,0)*$C322))</f>
        <v/>
      </c>
      <c r="F322" s="39" t="str">
        <f>IF($E322="","",(VLOOKUP($B322,DADOS!$C$2:$I1014,7,0)))</f>
        <v/>
      </c>
      <c r="G322" s="40" t="str">
        <f t="shared" si="2"/>
        <v/>
      </c>
      <c r="H322" s="41"/>
      <c r="I322" s="42"/>
      <c r="J322" s="42"/>
      <c r="K322" s="42"/>
      <c r="L322" s="42"/>
      <c r="M322" s="42"/>
      <c r="N322" s="42"/>
      <c r="O322" s="42"/>
      <c r="P322" s="42"/>
      <c r="Q322" s="42"/>
      <c r="R322" s="42"/>
      <c r="S322" s="42"/>
      <c r="T322" s="42"/>
      <c r="U322" s="42"/>
      <c r="V322" s="42"/>
      <c r="W322" s="42"/>
      <c r="X322" s="42"/>
      <c r="Y322" s="42"/>
      <c r="Z322" s="42"/>
      <c r="AA322" s="42"/>
    </row>
    <row r="323">
      <c r="A323" s="36" t="str">
        <f>IF($B323="","",VLOOKUP($B323,DADOS!$C$2:$I1014,2,0))</f>
        <v/>
      </c>
      <c r="B323" s="37"/>
      <c r="C323" s="36"/>
      <c r="D323" s="38" t="str">
        <f>IF($B323="","",SUM(VLOOKUP($B323,DADOS!$C$2:$I1014,4,0)*$C323))</f>
        <v/>
      </c>
      <c r="E323" s="38" t="str">
        <f>IF($B323="","",SUM(VLOOKUP($B323,DADOS!$C$2:$I1014,6,0)*$C323))</f>
        <v/>
      </c>
      <c r="F323" s="39" t="str">
        <f>IF($E323="","",(VLOOKUP($B323,DADOS!$C$2:$I1014,7,0)))</f>
        <v/>
      </c>
      <c r="G323" s="40" t="str">
        <f t="shared" si="2"/>
        <v/>
      </c>
      <c r="H323" s="41"/>
      <c r="I323" s="42"/>
      <c r="J323" s="42"/>
      <c r="K323" s="42"/>
      <c r="L323" s="42"/>
      <c r="M323" s="42"/>
      <c r="N323" s="42"/>
      <c r="O323" s="42"/>
      <c r="P323" s="42"/>
      <c r="Q323" s="42"/>
      <c r="R323" s="42"/>
      <c r="S323" s="42"/>
      <c r="T323" s="42"/>
      <c r="U323" s="42"/>
      <c r="V323" s="42"/>
      <c r="W323" s="42"/>
      <c r="X323" s="42"/>
      <c r="Y323" s="42"/>
      <c r="Z323" s="42"/>
      <c r="AA323" s="42"/>
    </row>
    <row r="324">
      <c r="A324" s="36" t="str">
        <f>IF($B324="","",VLOOKUP($B324,DADOS!$C$2:$I1014,2,0))</f>
        <v/>
      </c>
      <c r="B324" s="37"/>
      <c r="C324" s="36"/>
      <c r="D324" s="38" t="str">
        <f>IF($B324="","",SUM(VLOOKUP($B324,DADOS!$C$2:$I1014,4,0)*$C324))</f>
        <v/>
      </c>
      <c r="E324" s="38" t="str">
        <f>IF($B324="","",SUM(VLOOKUP($B324,DADOS!$C$2:$I1014,6,0)*$C324))</f>
        <v/>
      </c>
      <c r="F324" s="39" t="str">
        <f>IF($E324="","",(VLOOKUP($B324,DADOS!$C$2:$I1014,7,0)))</f>
        <v/>
      </c>
      <c r="G324" s="40" t="str">
        <f t="shared" si="2"/>
        <v/>
      </c>
      <c r="H324" s="41"/>
      <c r="I324" s="42"/>
      <c r="J324" s="42"/>
      <c r="K324" s="42"/>
      <c r="L324" s="42"/>
      <c r="M324" s="42"/>
      <c r="N324" s="42"/>
      <c r="O324" s="42"/>
      <c r="P324" s="42"/>
      <c r="Q324" s="42"/>
      <c r="R324" s="42"/>
      <c r="S324" s="42"/>
      <c r="T324" s="42"/>
      <c r="U324" s="42"/>
      <c r="V324" s="42"/>
      <c r="W324" s="42"/>
      <c r="X324" s="42"/>
      <c r="Y324" s="42"/>
      <c r="Z324" s="42"/>
      <c r="AA324" s="42"/>
    </row>
    <row r="325">
      <c r="A325" s="36" t="str">
        <f>IF($B325="","",VLOOKUP($B325,DADOS!$C$2:$I1014,2,0))</f>
        <v/>
      </c>
      <c r="B325" s="37"/>
      <c r="C325" s="36"/>
      <c r="D325" s="38" t="str">
        <f>IF($B325="","",SUM(VLOOKUP($B325,DADOS!$C$2:$I1014,4,0)*$C325))</f>
        <v/>
      </c>
      <c r="E325" s="38" t="str">
        <f>IF($B325="","",SUM(VLOOKUP($B325,DADOS!$C$2:$I1014,6,0)*$C325))</f>
        <v/>
      </c>
      <c r="F325" s="39" t="str">
        <f>IF($E325="","",(VLOOKUP($B325,DADOS!$C$2:$I1014,7,0)))</f>
        <v/>
      </c>
      <c r="G325" s="40" t="str">
        <f t="shared" si="2"/>
        <v/>
      </c>
      <c r="H325" s="41"/>
      <c r="I325" s="42"/>
      <c r="J325" s="42"/>
      <c r="K325" s="42"/>
      <c r="L325" s="42"/>
      <c r="M325" s="42"/>
      <c r="N325" s="42"/>
      <c r="O325" s="42"/>
      <c r="P325" s="42"/>
      <c r="Q325" s="42"/>
      <c r="R325" s="42"/>
      <c r="S325" s="42"/>
      <c r="T325" s="42"/>
      <c r="U325" s="42"/>
      <c r="V325" s="42"/>
      <c r="W325" s="42"/>
      <c r="X325" s="42"/>
      <c r="Y325" s="42"/>
      <c r="Z325" s="42"/>
      <c r="AA325" s="42"/>
    </row>
    <row r="326">
      <c r="A326" s="36" t="str">
        <f>IF($B326="","",VLOOKUP($B326,DADOS!$C$2:$I1014,2,0))</f>
        <v/>
      </c>
      <c r="B326" s="37"/>
      <c r="C326" s="36"/>
      <c r="D326" s="38" t="str">
        <f>IF($B326="","",SUM(VLOOKUP($B326,DADOS!$C$2:$I1014,4,0)*$C326))</f>
        <v/>
      </c>
      <c r="E326" s="38" t="str">
        <f>IF($B326="","",SUM(VLOOKUP($B326,DADOS!$C$2:$I1014,6,0)*$C326))</f>
        <v/>
      </c>
      <c r="F326" s="39" t="str">
        <f>IF($E326="","",(VLOOKUP($B326,DADOS!$C$2:$I1014,7,0)))</f>
        <v/>
      </c>
      <c r="G326" s="40" t="str">
        <f t="shared" si="2"/>
        <v/>
      </c>
      <c r="H326" s="41"/>
      <c r="I326" s="42"/>
      <c r="J326" s="42"/>
      <c r="K326" s="42"/>
      <c r="L326" s="42"/>
      <c r="M326" s="42"/>
      <c r="N326" s="42"/>
      <c r="O326" s="42"/>
      <c r="P326" s="42"/>
      <c r="Q326" s="42"/>
      <c r="R326" s="42"/>
      <c r="S326" s="42"/>
      <c r="T326" s="42"/>
      <c r="U326" s="42"/>
      <c r="V326" s="42"/>
      <c r="W326" s="42"/>
      <c r="X326" s="42"/>
      <c r="Y326" s="42"/>
      <c r="Z326" s="42"/>
      <c r="AA326" s="42"/>
    </row>
    <row r="327">
      <c r="A327" s="36" t="str">
        <f>IF($B327="","",VLOOKUP($B327,DADOS!$C$2:$I1014,2,0))</f>
        <v/>
      </c>
      <c r="B327" s="37"/>
      <c r="C327" s="36"/>
      <c r="D327" s="38" t="str">
        <f>IF($B327="","",SUM(VLOOKUP($B327,DADOS!$C$2:$I1014,4,0)*$C327))</f>
        <v/>
      </c>
      <c r="E327" s="38" t="str">
        <f>IF($B327="","",SUM(VLOOKUP($B327,DADOS!$C$2:$I1014,6,0)*$C327))</f>
        <v/>
      </c>
      <c r="F327" s="39" t="str">
        <f>IF($E327="","",(VLOOKUP($B327,DADOS!$C$2:$I1014,7,0)))</f>
        <v/>
      </c>
      <c r="G327" s="40" t="str">
        <f t="shared" si="2"/>
        <v/>
      </c>
      <c r="H327" s="41"/>
      <c r="I327" s="42"/>
      <c r="J327" s="42"/>
      <c r="K327" s="42"/>
      <c r="L327" s="42"/>
      <c r="M327" s="42"/>
      <c r="N327" s="42"/>
      <c r="O327" s="42"/>
      <c r="P327" s="42"/>
      <c r="Q327" s="42"/>
      <c r="R327" s="42"/>
      <c r="S327" s="42"/>
      <c r="T327" s="42"/>
      <c r="U327" s="42"/>
      <c r="V327" s="42"/>
      <c r="W327" s="42"/>
      <c r="X327" s="42"/>
      <c r="Y327" s="42"/>
      <c r="Z327" s="42"/>
      <c r="AA327" s="42"/>
    </row>
    <row r="328">
      <c r="A328" s="36" t="str">
        <f>IF($B328="","",VLOOKUP($B328,DADOS!$C$2:$I1014,2,0))</f>
        <v/>
      </c>
      <c r="B328" s="37"/>
      <c r="C328" s="36"/>
      <c r="D328" s="38" t="str">
        <f>IF($B328="","",SUM(VLOOKUP($B328,DADOS!$C$2:$I1014,4,0)*$C328))</f>
        <v/>
      </c>
      <c r="E328" s="38" t="str">
        <f>IF($B328="","",SUM(VLOOKUP($B328,DADOS!$C$2:$I1014,6,0)*$C328))</f>
        <v/>
      </c>
      <c r="F328" s="39" t="str">
        <f>IF($E328="","",(VLOOKUP($B328,DADOS!$C$2:$I1014,7,0)))</f>
        <v/>
      </c>
      <c r="G328" s="40" t="str">
        <f t="shared" si="2"/>
        <v/>
      </c>
      <c r="H328" s="41"/>
      <c r="I328" s="42"/>
      <c r="J328" s="42"/>
      <c r="K328" s="42"/>
      <c r="L328" s="42"/>
      <c r="M328" s="42"/>
      <c r="N328" s="42"/>
      <c r="O328" s="42"/>
      <c r="P328" s="42"/>
      <c r="Q328" s="42"/>
      <c r="R328" s="42"/>
      <c r="S328" s="42"/>
      <c r="T328" s="42"/>
      <c r="U328" s="42"/>
      <c r="V328" s="42"/>
      <c r="W328" s="42"/>
      <c r="X328" s="42"/>
      <c r="Y328" s="42"/>
      <c r="Z328" s="42"/>
      <c r="AA328" s="42"/>
    </row>
    <row r="329">
      <c r="A329" s="36" t="str">
        <f>IF($B329="","",VLOOKUP($B329,DADOS!$C$2:$I1014,2,0))</f>
        <v/>
      </c>
      <c r="B329" s="37"/>
      <c r="C329" s="36"/>
      <c r="D329" s="38" t="str">
        <f>IF($B329="","",SUM(VLOOKUP($B329,DADOS!$C$2:$I1014,4,0)*$C329))</f>
        <v/>
      </c>
      <c r="E329" s="38" t="str">
        <f>IF($B329="","",SUM(VLOOKUP($B329,DADOS!$C$2:$I1014,6,0)*$C329))</f>
        <v/>
      </c>
      <c r="F329" s="39" t="str">
        <f>IF($E329="","",(VLOOKUP($B329,DADOS!$C$2:$I1014,7,0)))</f>
        <v/>
      </c>
      <c r="G329" s="40" t="str">
        <f t="shared" si="2"/>
        <v/>
      </c>
      <c r="H329" s="41"/>
      <c r="I329" s="42"/>
      <c r="J329" s="42"/>
      <c r="K329" s="42"/>
      <c r="L329" s="42"/>
      <c r="M329" s="42"/>
      <c r="N329" s="42"/>
      <c r="O329" s="42"/>
      <c r="P329" s="42"/>
      <c r="Q329" s="42"/>
      <c r="R329" s="42"/>
      <c r="S329" s="42"/>
      <c r="T329" s="42"/>
      <c r="U329" s="42"/>
      <c r="V329" s="42"/>
      <c r="W329" s="42"/>
      <c r="X329" s="42"/>
      <c r="Y329" s="42"/>
      <c r="Z329" s="42"/>
      <c r="AA329" s="42"/>
    </row>
    <row r="330">
      <c r="A330" s="36" t="str">
        <f>IF($B330="","",VLOOKUP($B330,DADOS!$C$2:$I1014,2,0))</f>
        <v/>
      </c>
      <c r="B330" s="37"/>
      <c r="C330" s="36"/>
      <c r="D330" s="38" t="str">
        <f>IF($B330="","",SUM(VLOOKUP($B330,DADOS!$C$2:$I1014,4,0)*$C330))</f>
        <v/>
      </c>
      <c r="E330" s="38" t="str">
        <f>IF($B330="","",SUM(VLOOKUP($B330,DADOS!$C$2:$I1014,6,0)*$C330))</f>
        <v/>
      </c>
      <c r="F330" s="39" t="str">
        <f>IF($E330="","",(VLOOKUP($B330,DADOS!$C$2:$I1014,7,0)))</f>
        <v/>
      </c>
      <c r="G330" s="40" t="str">
        <f t="shared" si="2"/>
        <v/>
      </c>
      <c r="H330" s="41"/>
      <c r="I330" s="42"/>
      <c r="J330" s="42"/>
      <c r="K330" s="42"/>
      <c r="L330" s="42"/>
      <c r="M330" s="42"/>
      <c r="N330" s="42"/>
      <c r="O330" s="42"/>
      <c r="P330" s="42"/>
      <c r="Q330" s="42"/>
      <c r="R330" s="42"/>
      <c r="S330" s="42"/>
      <c r="T330" s="42"/>
      <c r="U330" s="42"/>
      <c r="V330" s="42"/>
      <c r="W330" s="42"/>
      <c r="X330" s="42"/>
      <c r="Y330" s="42"/>
      <c r="Z330" s="42"/>
      <c r="AA330" s="42"/>
    </row>
    <row r="331">
      <c r="A331" s="36" t="str">
        <f>IF($B331="","",VLOOKUP($B331,DADOS!$C$2:$I1014,2,0))</f>
        <v/>
      </c>
      <c r="B331" s="37"/>
      <c r="C331" s="36"/>
      <c r="D331" s="38" t="str">
        <f>IF($B331="","",SUM(VLOOKUP($B331,DADOS!$C$2:$I1014,4,0)*$C331))</f>
        <v/>
      </c>
      <c r="E331" s="38" t="str">
        <f>IF($B331="","",SUM(VLOOKUP($B331,DADOS!$C$2:$I1014,6,0)*$C331))</f>
        <v/>
      </c>
      <c r="F331" s="39" t="str">
        <f>IF($E331="","",(VLOOKUP($B331,DADOS!$C$2:$I1014,7,0)))</f>
        <v/>
      </c>
      <c r="G331" s="40" t="str">
        <f t="shared" si="2"/>
        <v/>
      </c>
      <c r="H331" s="41"/>
      <c r="I331" s="42"/>
      <c r="J331" s="42"/>
      <c r="K331" s="42"/>
      <c r="L331" s="42"/>
      <c r="M331" s="42"/>
      <c r="N331" s="42"/>
      <c r="O331" s="42"/>
      <c r="P331" s="42"/>
      <c r="Q331" s="42"/>
      <c r="R331" s="42"/>
      <c r="S331" s="42"/>
      <c r="T331" s="42"/>
      <c r="U331" s="42"/>
      <c r="V331" s="42"/>
      <c r="W331" s="42"/>
      <c r="X331" s="42"/>
      <c r="Y331" s="42"/>
      <c r="Z331" s="42"/>
      <c r="AA331" s="42"/>
    </row>
    <row r="332">
      <c r="A332" s="36" t="str">
        <f>IF($B332="","",VLOOKUP($B332,DADOS!$C$2:$I1014,2,0))</f>
        <v/>
      </c>
      <c r="B332" s="37"/>
      <c r="C332" s="36"/>
      <c r="D332" s="38" t="str">
        <f>IF($B332="","",SUM(VLOOKUP($B332,DADOS!$C$2:$I1014,4,0)*$C332))</f>
        <v/>
      </c>
      <c r="E332" s="38" t="str">
        <f>IF($B332="","",SUM(VLOOKUP($B332,DADOS!$C$2:$I1014,6,0)*$C332))</f>
        <v/>
      </c>
      <c r="F332" s="39" t="str">
        <f>IF($E332="","",(VLOOKUP($B332,DADOS!$C$2:$I1014,7,0)))</f>
        <v/>
      </c>
      <c r="G332" s="40" t="str">
        <f t="shared" si="2"/>
        <v/>
      </c>
      <c r="H332" s="41"/>
      <c r="I332" s="42"/>
      <c r="J332" s="42"/>
      <c r="K332" s="42"/>
      <c r="L332" s="42"/>
      <c r="M332" s="42"/>
      <c r="N332" s="42"/>
      <c r="O332" s="42"/>
      <c r="P332" s="42"/>
      <c r="Q332" s="42"/>
      <c r="R332" s="42"/>
      <c r="S332" s="42"/>
      <c r="T332" s="42"/>
      <c r="U332" s="42"/>
      <c r="V332" s="42"/>
      <c r="W332" s="42"/>
      <c r="X332" s="42"/>
      <c r="Y332" s="42"/>
      <c r="Z332" s="42"/>
      <c r="AA332" s="42"/>
    </row>
    <row r="333">
      <c r="A333" s="36" t="str">
        <f>IF($B333="","",VLOOKUP($B333,DADOS!$C$2:$I1014,2,0))</f>
        <v/>
      </c>
      <c r="B333" s="37"/>
      <c r="C333" s="36"/>
      <c r="D333" s="38" t="str">
        <f>IF($B333="","",SUM(VLOOKUP($B333,DADOS!$C$2:$I1014,4,0)*$C333))</f>
        <v/>
      </c>
      <c r="E333" s="38" t="str">
        <f>IF($B333="","",SUM(VLOOKUP($B333,DADOS!$C$2:$I1014,6,0)*$C333))</f>
        <v/>
      </c>
      <c r="F333" s="39" t="str">
        <f>IF($E333="","",(VLOOKUP($B333,DADOS!$C$2:$I1014,7,0)))</f>
        <v/>
      </c>
      <c r="G333" s="40" t="str">
        <f t="shared" si="2"/>
        <v/>
      </c>
      <c r="H333" s="41"/>
      <c r="I333" s="42"/>
      <c r="J333" s="42"/>
      <c r="K333" s="42"/>
      <c r="L333" s="42"/>
      <c r="M333" s="42"/>
      <c r="N333" s="42"/>
      <c r="O333" s="42"/>
      <c r="P333" s="42"/>
      <c r="Q333" s="42"/>
      <c r="R333" s="42"/>
      <c r="S333" s="42"/>
      <c r="T333" s="42"/>
      <c r="U333" s="42"/>
      <c r="V333" s="42"/>
      <c r="W333" s="42"/>
      <c r="X333" s="42"/>
      <c r="Y333" s="42"/>
      <c r="Z333" s="42"/>
      <c r="AA333" s="42"/>
    </row>
    <row r="334">
      <c r="A334" s="36" t="str">
        <f>IF($B334="","",VLOOKUP($B334,DADOS!$C$2:$I1014,2,0))</f>
        <v/>
      </c>
      <c r="B334" s="37"/>
      <c r="C334" s="36"/>
      <c r="D334" s="38" t="str">
        <f>IF($B334="","",SUM(VLOOKUP($B334,DADOS!$C$2:$I1014,4,0)*$C334))</f>
        <v/>
      </c>
      <c r="E334" s="38" t="str">
        <f>IF($B334="","",SUM(VLOOKUP($B334,DADOS!$C$2:$I1014,6,0)*$C334))</f>
        <v/>
      </c>
      <c r="F334" s="39" t="str">
        <f>IF($E334="","",(VLOOKUP($B334,DADOS!$C$2:$I1014,7,0)))</f>
        <v/>
      </c>
      <c r="G334" s="40" t="str">
        <f t="shared" si="2"/>
        <v/>
      </c>
      <c r="H334" s="41"/>
      <c r="I334" s="42"/>
      <c r="J334" s="42"/>
      <c r="K334" s="42"/>
      <c r="L334" s="42"/>
      <c r="M334" s="42"/>
      <c r="N334" s="42"/>
      <c r="O334" s="42"/>
      <c r="P334" s="42"/>
      <c r="Q334" s="42"/>
      <c r="R334" s="42"/>
      <c r="S334" s="42"/>
      <c r="T334" s="42"/>
      <c r="U334" s="42"/>
      <c r="V334" s="42"/>
      <c r="W334" s="42"/>
      <c r="X334" s="42"/>
      <c r="Y334" s="42"/>
      <c r="Z334" s="42"/>
      <c r="AA334" s="42"/>
    </row>
    <row r="335">
      <c r="A335" s="36" t="str">
        <f>IF($B335="","",VLOOKUP($B335,DADOS!$C$2:$I1014,2,0))</f>
        <v/>
      </c>
      <c r="B335" s="37"/>
      <c r="C335" s="36"/>
      <c r="D335" s="38" t="str">
        <f>IF($B335="","",SUM(VLOOKUP($B335,DADOS!$C$2:$I1014,4,0)*$C335))</f>
        <v/>
      </c>
      <c r="E335" s="38" t="str">
        <f>IF($B335="","",SUM(VLOOKUP($B335,DADOS!$C$2:$I1014,6,0)*$C335))</f>
        <v/>
      </c>
      <c r="F335" s="39" t="str">
        <f>IF($E335="","",(VLOOKUP($B335,DADOS!$C$2:$I1014,7,0)))</f>
        <v/>
      </c>
      <c r="G335" s="40" t="str">
        <f t="shared" si="2"/>
        <v/>
      </c>
      <c r="H335" s="41"/>
      <c r="I335" s="42"/>
      <c r="J335" s="42"/>
      <c r="K335" s="42"/>
      <c r="L335" s="42"/>
      <c r="M335" s="42"/>
      <c r="N335" s="42"/>
      <c r="O335" s="42"/>
      <c r="P335" s="42"/>
      <c r="Q335" s="42"/>
      <c r="R335" s="42"/>
      <c r="S335" s="42"/>
      <c r="T335" s="42"/>
      <c r="U335" s="42"/>
      <c r="V335" s="42"/>
      <c r="W335" s="42"/>
      <c r="X335" s="42"/>
      <c r="Y335" s="42"/>
      <c r="Z335" s="42"/>
      <c r="AA335" s="42"/>
    </row>
    <row r="336">
      <c r="A336" s="36" t="str">
        <f>IF($B336="","",VLOOKUP($B336,DADOS!$C$2:$I1014,2,0))</f>
        <v/>
      </c>
      <c r="B336" s="37"/>
      <c r="C336" s="36"/>
      <c r="D336" s="38" t="str">
        <f>IF($B336="","",SUM(VLOOKUP($B336,DADOS!$C$2:$I1014,4,0)*$C336))</f>
        <v/>
      </c>
      <c r="E336" s="38" t="str">
        <f>IF($B336="","",SUM(VLOOKUP($B336,DADOS!$C$2:$I1014,6,0)*$C336))</f>
        <v/>
      </c>
      <c r="F336" s="39" t="str">
        <f>IF($E336="","",(VLOOKUP($B336,DADOS!$C$2:$I1014,7,0)))</f>
        <v/>
      </c>
      <c r="G336" s="40" t="str">
        <f t="shared" si="2"/>
        <v/>
      </c>
      <c r="H336" s="41"/>
      <c r="I336" s="42"/>
      <c r="J336" s="42"/>
      <c r="K336" s="42"/>
      <c r="L336" s="42"/>
      <c r="M336" s="42"/>
      <c r="N336" s="42"/>
      <c r="O336" s="42"/>
      <c r="P336" s="42"/>
      <c r="Q336" s="42"/>
      <c r="R336" s="42"/>
      <c r="S336" s="42"/>
      <c r="T336" s="42"/>
      <c r="U336" s="42"/>
      <c r="V336" s="42"/>
      <c r="W336" s="42"/>
      <c r="X336" s="42"/>
      <c r="Y336" s="42"/>
      <c r="Z336" s="42"/>
      <c r="AA336" s="42"/>
    </row>
    <row r="337">
      <c r="A337" s="36" t="str">
        <f>IF($B337="","",VLOOKUP($B337,DADOS!$C$2:$I1014,2,0))</f>
        <v/>
      </c>
      <c r="B337" s="37"/>
      <c r="C337" s="36"/>
      <c r="D337" s="38" t="str">
        <f>IF($B337="","",SUM(VLOOKUP($B337,DADOS!$C$2:$I1014,4,0)*$C337))</f>
        <v/>
      </c>
      <c r="E337" s="38" t="str">
        <f>IF($B337="","",SUM(VLOOKUP($B337,DADOS!$C$2:$I1014,6,0)*$C337))</f>
        <v/>
      </c>
      <c r="F337" s="39" t="str">
        <f>IF($E337="","",(VLOOKUP($B337,DADOS!$C$2:$I1014,7,0)))</f>
        <v/>
      </c>
      <c r="G337" s="40" t="str">
        <f t="shared" si="2"/>
        <v/>
      </c>
      <c r="H337" s="41"/>
      <c r="I337" s="42"/>
      <c r="J337" s="42"/>
      <c r="K337" s="42"/>
      <c r="L337" s="42"/>
      <c r="M337" s="42"/>
      <c r="N337" s="42"/>
      <c r="O337" s="42"/>
      <c r="P337" s="42"/>
      <c r="Q337" s="42"/>
      <c r="R337" s="42"/>
      <c r="S337" s="42"/>
      <c r="T337" s="42"/>
      <c r="U337" s="42"/>
      <c r="V337" s="42"/>
      <c r="W337" s="42"/>
      <c r="X337" s="42"/>
      <c r="Y337" s="42"/>
      <c r="Z337" s="42"/>
      <c r="AA337" s="42"/>
    </row>
    <row r="338">
      <c r="A338" s="36" t="str">
        <f>IF($B338="","",VLOOKUP($B338,DADOS!$C$2:$I1014,2,0))</f>
        <v/>
      </c>
      <c r="B338" s="37"/>
      <c r="C338" s="36"/>
      <c r="D338" s="38" t="str">
        <f>IF($B338="","",SUM(VLOOKUP($B338,DADOS!$C$2:$I1014,4,0)*$C338))</f>
        <v/>
      </c>
      <c r="E338" s="38" t="str">
        <f>IF($B338="","",SUM(VLOOKUP($B338,DADOS!$C$2:$I1014,6,0)*$C338))</f>
        <v/>
      </c>
      <c r="F338" s="39" t="str">
        <f>IF($E338="","",(VLOOKUP($B338,DADOS!$C$2:$I1014,7,0)))</f>
        <v/>
      </c>
      <c r="G338" s="40" t="str">
        <f t="shared" si="2"/>
        <v/>
      </c>
      <c r="H338" s="41"/>
      <c r="I338" s="42"/>
      <c r="J338" s="42"/>
      <c r="K338" s="42"/>
      <c r="L338" s="42"/>
      <c r="M338" s="42"/>
      <c r="N338" s="42"/>
      <c r="O338" s="42"/>
      <c r="P338" s="42"/>
      <c r="Q338" s="42"/>
      <c r="R338" s="42"/>
      <c r="S338" s="42"/>
      <c r="T338" s="42"/>
      <c r="U338" s="42"/>
      <c r="V338" s="42"/>
      <c r="W338" s="42"/>
      <c r="X338" s="42"/>
      <c r="Y338" s="42"/>
      <c r="Z338" s="42"/>
      <c r="AA338" s="42"/>
    </row>
    <row r="339">
      <c r="A339" s="36" t="str">
        <f>IF($B339="","",VLOOKUP($B339,DADOS!$C$2:$I1014,2,0))</f>
        <v/>
      </c>
      <c r="B339" s="37"/>
      <c r="C339" s="36"/>
      <c r="D339" s="38" t="str">
        <f>IF($B339="","",SUM(VLOOKUP($B339,DADOS!$C$2:$I1014,4,0)*$C339))</f>
        <v/>
      </c>
      <c r="E339" s="38" t="str">
        <f>IF($B339="","",SUM(VLOOKUP($B339,DADOS!$C$2:$I1014,6,0)*$C339))</f>
        <v/>
      </c>
      <c r="F339" s="39" t="str">
        <f>IF($E339="","",(VLOOKUP($B339,DADOS!$C$2:$I1014,7,0)))</f>
        <v/>
      </c>
      <c r="G339" s="40" t="str">
        <f t="shared" si="2"/>
        <v/>
      </c>
      <c r="H339" s="41"/>
      <c r="I339" s="42"/>
      <c r="J339" s="42"/>
      <c r="K339" s="42"/>
      <c r="L339" s="42"/>
      <c r="M339" s="42"/>
      <c r="N339" s="42"/>
      <c r="O339" s="42"/>
      <c r="P339" s="42"/>
      <c r="Q339" s="42"/>
      <c r="R339" s="42"/>
      <c r="S339" s="42"/>
      <c r="T339" s="42"/>
      <c r="U339" s="42"/>
      <c r="V339" s="42"/>
      <c r="W339" s="42"/>
      <c r="X339" s="42"/>
      <c r="Y339" s="42"/>
      <c r="Z339" s="42"/>
      <c r="AA339" s="42"/>
    </row>
    <row r="340">
      <c r="A340" s="36" t="str">
        <f>IF($B340="","",VLOOKUP($B340,DADOS!$C$2:$I1014,2,0))</f>
        <v/>
      </c>
      <c r="B340" s="37"/>
      <c r="C340" s="36"/>
      <c r="D340" s="38" t="str">
        <f>IF($B340="","",SUM(VLOOKUP($B340,DADOS!$C$2:$I1014,4,0)*$C340))</f>
        <v/>
      </c>
      <c r="E340" s="38" t="str">
        <f>IF($B340="","",SUM(VLOOKUP($B340,DADOS!$C$2:$I1014,6,0)*$C340))</f>
        <v/>
      </c>
      <c r="F340" s="39" t="str">
        <f>IF($E340="","",(VLOOKUP($B340,DADOS!$C$2:$I1014,7,0)))</f>
        <v/>
      </c>
      <c r="G340" s="40" t="str">
        <f t="shared" si="2"/>
        <v/>
      </c>
      <c r="H340" s="41"/>
      <c r="I340" s="42"/>
      <c r="J340" s="42"/>
      <c r="K340" s="42"/>
      <c r="L340" s="42"/>
      <c r="M340" s="42"/>
      <c r="N340" s="42"/>
      <c r="O340" s="42"/>
      <c r="P340" s="42"/>
      <c r="Q340" s="42"/>
      <c r="R340" s="42"/>
      <c r="S340" s="42"/>
      <c r="T340" s="42"/>
      <c r="U340" s="42"/>
      <c r="V340" s="42"/>
      <c r="W340" s="42"/>
      <c r="X340" s="42"/>
      <c r="Y340" s="42"/>
      <c r="Z340" s="42"/>
      <c r="AA340" s="42"/>
    </row>
    <row r="341">
      <c r="A341" s="36" t="str">
        <f>IF($B341="","",VLOOKUP($B341,DADOS!$C$2:$I1014,2,0))</f>
        <v/>
      </c>
      <c r="B341" s="37"/>
      <c r="C341" s="36"/>
      <c r="D341" s="38" t="str">
        <f>IF($B341="","",SUM(VLOOKUP($B341,DADOS!$C$2:$I1014,4,0)*$C341))</f>
        <v/>
      </c>
      <c r="E341" s="38" t="str">
        <f>IF($B341="","",SUM(VLOOKUP($B341,DADOS!$C$2:$I1014,6,0)*$C341))</f>
        <v/>
      </c>
      <c r="F341" s="39" t="str">
        <f>IF($E341="","",(VLOOKUP($B341,DADOS!$C$2:$I1014,7,0)))</f>
        <v/>
      </c>
      <c r="G341" s="40" t="str">
        <f t="shared" si="2"/>
        <v/>
      </c>
      <c r="H341" s="41"/>
      <c r="I341" s="42"/>
      <c r="J341" s="42"/>
      <c r="K341" s="42"/>
      <c r="L341" s="42"/>
      <c r="M341" s="42"/>
      <c r="N341" s="42"/>
      <c r="O341" s="42"/>
      <c r="P341" s="42"/>
      <c r="Q341" s="42"/>
      <c r="R341" s="42"/>
      <c r="S341" s="42"/>
      <c r="T341" s="42"/>
      <c r="U341" s="42"/>
      <c r="V341" s="42"/>
      <c r="W341" s="42"/>
      <c r="X341" s="42"/>
      <c r="Y341" s="42"/>
      <c r="Z341" s="42"/>
      <c r="AA341" s="42"/>
    </row>
    <row r="342">
      <c r="A342" s="36" t="str">
        <f>IF($B342="","",VLOOKUP($B342,DADOS!$C$2:$I1014,2,0))</f>
        <v/>
      </c>
      <c r="B342" s="37"/>
      <c r="C342" s="36"/>
      <c r="D342" s="38" t="str">
        <f>IF($B342="","",SUM(VLOOKUP($B342,DADOS!$C$2:$I1014,4,0)*$C342))</f>
        <v/>
      </c>
      <c r="E342" s="38" t="str">
        <f>IF($B342="","",SUM(VLOOKUP($B342,DADOS!$C$2:$I1014,6,0)*$C342))</f>
        <v/>
      </c>
      <c r="F342" s="39" t="str">
        <f>IF($E342="","",(VLOOKUP($B342,DADOS!$C$2:$I1014,7,0)))</f>
        <v/>
      </c>
      <c r="G342" s="40" t="str">
        <f t="shared" si="2"/>
        <v/>
      </c>
      <c r="H342" s="41"/>
      <c r="I342" s="42"/>
      <c r="J342" s="42"/>
      <c r="K342" s="42"/>
      <c r="L342" s="42"/>
      <c r="M342" s="42"/>
      <c r="N342" s="42"/>
      <c r="O342" s="42"/>
      <c r="P342" s="42"/>
      <c r="Q342" s="42"/>
      <c r="R342" s="42"/>
      <c r="S342" s="42"/>
      <c r="T342" s="42"/>
      <c r="U342" s="42"/>
      <c r="V342" s="42"/>
      <c r="W342" s="42"/>
      <c r="X342" s="42"/>
      <c r="Y342" s="42"/>
      <c r="Z342" s="42"/>
      <c r="AA342" s="42"/>
    </row>
    <row r="343">
      <c r="A343" s="36" t="str">
        <f>IF($B343="","",VLOOKUP($B343,DADOS!$C$2:$I1014,2,0))</f>
        <v/>
      </c>
      <c r="B343" s="37"/>
      <c r="C343" s="36"/>
      <c r="D343" s="38" t="str">
        <f>IF($B343="","",SUM(VLOOKUP($B343,DADOS!$C$2:$I1014,4,0)*$C343))</f>
        <v/>
      </c>
      <c r="E343" s="38" t="str">
        <f>IF($B343="","",SUM(VLOOKUP($B343,DADOS!$C$2:$I1014,6,0)*$C343))</f>
        <v/>
      </c>
      <c r="F343" s="39" t="str">
        <f>IF($E343="","",(VLOOKUP($B343,DADOS!$C$2:$I1014,7,0)))</f>
        <v/>
      </c>
      <c r="G343" s="40" t="str">
        <f t="shared" si="2"/>
        <v/>
      </c>
      <c r="H343" s="41"/>
      <c r="I343" s="42"/>
      <c r="J343" s="42"/>
      <c r="K343" s="42"/>
      <c r="L343" s="42"/>
      <c r="M343" s="42"/>
      <c r="N343" s="42"/>
      <c r="O343" s="42"/>
      <c r="P343" s="42"/>
      <c r="Q343" s="42"/>
      <c r="R343" s="42"/>
      <c r="S343" s="42"/>
      <c r="T343" s="42"/>
      <c r="U343" s="42"/>
      <c r="V343" s="42"/>
      <c r="W343" s="42"/>
      <c r="X343" s="42"/>
      <c r="Y343" s="42"/>
      <c r="Z343" s="42"/>
      <c r="AA343" s="42"/>
    </row>
    <row r="344">
      <c r="A344" s="36" t="str">
        <f>IF($B344="","",VLOOKUP($B344,DADOS!$C$2:$I1014,2,0))</f>
        <v/>
      </c>
      <c r="B344" s="37"/>
      <c r="C344" s="36"/>
      <c r="D344" s="38" t="str">
        <f>IF($B344="","",SUM(VLOOKUP($B344,DADOS!$C$2:$I1014,4,0)*$C344))</f>
        <v/>
      </c>
      <c r="E344" s="38" t="str">
        <f>IF($B344="","",SUM(VLOOKUP($B344,DADOS!$C$2:$I1014,6,0)*$C344))</f>
        <v/>
      </c>
      <c r="F344" s="39" t="str">
        <f>IF($E344="","",(VLOOKUP($B344,DADOS!$C$2:$I1014,7,0)))</f>
        <v/>
      </c>
      <c r="G344" s="40" t="str">
        <f t="shared" si="2"/>
        <v/>
      </c>
      <c r="H344" s="41"/>
      <c r="I344" s="42"/>
      <c r="J344" s="42"/>
      <c r="K344" s="42"/>
      <c r="L344" s="42"/>
      <c r="M344" s="42"/>
      <c r="N344" s="42"/>
      <c r="O344" s="42"/>
      <c r="P344" s="42"/>
      <c r="Q344" s="42"/>
      <c r="R344" s="42"/>
      <c r="S344" s="42"/>
      <c r="T344" s="42"/>
      <c r="U344" s="42"/>
      <c r="V344" s="42"/>
      <c r="W344" s="42"/>
      <c r="X344" s="42"/>
      <c r="Y344" s="42"/>
      <c r="Z344" s="42"/>
      <c r="AA344" s="42"/>
    </row>
    <row r="345">
      <c r="A345" s="36" t="str">
        <f>IF($B345="","",VLOOKUP($B345,DADOS!$C$2:$I1014,2,0))</f>
        <v/>
      </c>
      <c r="B345" s="37"/>
      <c r="C345" s="36"/>
      <c r="D345" s="38" t="str">
        <f>IF($B345="","",SUM(VLOOKUP($B345,DADOS!$C$2:$I1014,4,0)*$C345))</f>
        <v/>
      </c>
      <c r="E345" s="38" t="str">
        <f>IF($B345="","",SUM(VLOOKUP($B345,DADOS!$C$2:$I1014,6,0)*$C345))</f>
        <v/>
      </c>
      <c r="F345" s="39" t="str">
        <f>IF($E345="","",(VLOOKUP($B345,DADOS!$C$2:$I1014,7,0)))</f>
        <v/>
      </c>
      <c r="G345" s="40" t="str">
        <f t="shared" si="2"/>
        <v/>
      </c>
      <c r="H345" s="41"/>
      <c r="I345" s="42"/>
      <c r="J345" s="42"/>
      <c r="K345" s="42"/>
      <c r="L345" s="42"/>
      <c r="M345" s="42"/>
      <c r="N345" s="42"/>
      <c r="O345" s="42"/>
      <c r="P345" s="42"/>
      <c r="Q345" s="42"/>
      <c r="R345" s="42"/>
      <c r="S345" s="42"/>
      <c r="T345" s="42"/>
      <c r="U345" s="42"/>
      <c r="V345" s="42"/>
      <c r="W345" s="42"/>
      <c r="X345" s="42"/>
      <c r="Y345" s="42"/>
      <c r="Z345" s="42"/>
      <c r="AA345" s="42"/>
    </row>
    <row r="346">
      <c r="A346" s="36" t="str">
        <f>IF($B346="","",VLOOKUP($B346,DADOS!$C$2:$I1014,2,0))</f>
        <v/>
      </c>
      <c r="B346" s="37"/>
      <c r="C346" s="36"/>
      <c r="D346" s="38" t="str">
        <f>IF($B346="","",SUM(VLOOKUP($B346,DADOS!$C$2:$I1014,4,0)*$C346))</f>
        <v/>
      </c>
      <c r="E346" s="38" t="str">
        <f>IF($B346="","",SUM(VLOOKUP($B346,DADOS!$C$2:$I1014,6,0)*$C346))</f>
        <v/>
      </c>
      <c r="F346" s="39" t="str">
        <f>IF($E346="","",(VLOOKUP($B346,DADOS!$C$2:$I1014,7,0)))</f>
        <v/>
      </c>
      <c r="G346" s="40" t="str">
        <f t="shared" si="2"/>
        <v/>
      </c>
      <c r="H346" s="41"/>
      <c r="I346" s="42"/>
      <c r="J346" s="42"/>
      <c r="K346" s="42"/>
      <c r="L346" s="42"/>
      <c r="M346" s="42"/>
      <c r="N346" s="42"/>
      <c r="O346" s="42"/>
      <c r="P346" s="42"/>
      <c r="Q346" s="42"/>
      <c r="R346" s="42"/>
      <c r="S346" s="42"/>
      <c r="T346" s="42"/>
      <c r="U346" s="42"/>
      <c r="V346" s="42"/>
      <c r="W346" s="42"/>
      <c r="X346" s="42"/>
      <c r="Y346" s="42"/>
      <c r="Z346" s="42"/>
      <c r="AA346" s="42"/>
    </row>
    <row r="347">
      <c r="A347" s="36" t="str">
        <f>IF($B347="","",VLOOKUP($B347,DADOS!$C$2:$I1014,2,0))</f>
        <v/>
      </c>
      <c r="B347" s="37"/>
      <c r="C347" s="36"/>
      <c r="D347" s="38" t="str">
        <f>IF($B347="","",SUM(VLOOKUP($B347,DADOS!$C$2:$I1014,4,0)*$C347))</f>
        <v/>
      </c>
      <c r="E347" s="38" t="str">
        <f>IF($B347="","",SUM(VLOOKUP($B347,DADOS!$C$2:$I1014,6,0)*$C347))</f>
        <v/>
      </c>
      <c r="F347" s="39" t="str">
        <f>IF($E347="","",(VLOOKUP($B347,DADOS!$C$2:$I1014,7,0)))</f>
        <v/>
      </c>
      <c r="G347" s="40" t="str">
        <f t="shared" si="2"/>
        <v/>
      </c>
      <c r="H347" s="41"/>
      <c r="I347" s="42"/>
      <c r="J347" s="42"/>
      <c r="K347" s="42"/>
      <c r="L347" s="42"/>
      <c r="M347" s="42"/>
      <c r="N347" s="42"/>
      <c r="O347" s="42"/>
      <c r="P347" s="42"/>
      <c r="Q347" s="42"/>
      <c r="R347" s="42"/>
      <c r="S347" s="42"/>
      <c r="T347" s="42"/>
      <c r="U347" s="42"/>
      <c r="V347" s="42"/>
      <c r="W347" s="42"/>
      <c r="X347" s="42"/>
      <c r="Y347" s="42"/>
      <c r="Z347" s="42"/>
      <c r="AA347" s="42"/>
    </row>
    <row r="348">
      <c r="A348" s="36" t="str">
        <f>IF($B348="","",VLOOKUP($B348,DADOS!$C$2:$I1014,2,0))</f>
        <v/>
      </c>
      <c r="B348" s="37"/>
      <c r="C348" s="36"/>
      <c r="D348" s="38" t="str">
        <f>IF($B348="","",SUM(VLOOKUP($B348,DADOS!$C$2:$I1014,4,0)*$C348))</f>
        <v/>
      </c>
      <c r="E348" s="38" t="str">
        <f>IF($B348="","",SUM(VLOOKUP($B348,DADOS!$C$2:$I1014,6,0)*$C348))</f>
        <v/>
      </c>
      <c r="F348" s="39" t="str">
        <f>IF($E348="","",(VLOOKUP($B348,DADOS!$C$2:$I1014,7,0)))</f>
        <v/>
      </c>
      <c r="G348" s="40" t="str">
        <f t="shared" si="2"/>
        <v/>
      </c>
      <c r="H348" s="41"/>
      <c r="I348" s="42"/>
      <c r="J348" s="42"/>
      <c r="K348" s="42"/>
      <c r="L348" s="42"/>
      <c r="M348" s="42"/>
      <c r="N348" s="42"/>
      <c r="O348" s="42"/>
      <c r="P348" s="42"/>
      <c r="Q348" s="42"/>
      <c r="R348" s="42"/>
      <c r="S348" s="42"/>
      <c r="T348" s="42"/>
      <c r="U348" s="42"/>
      <c r="V348" s="42"/>
      <c r="W348" s="42"/>
      <c r="X348" s="42"/>
      <c r="Y348" s="42"/>
      <c r="Z348" s="42"/>
      <c r="AA348" s="42"/>
    </row>
    <row r="349">
      <c r="A349" s="36" t="str">
        <f>IF($B349="","",VLOOKUP($B349,DADOS!$C$2:$I1014,2,0))</f>
        <v/>
      </c>
      <c r="B349" s="37"/>
      <c r="C349" s="36"/>
      <c r="D349" s="38" t="str">
        <f>IF($B349="","",SUM(VLOOKUP($B349,DADOS!$C$2:$I1014,4,0)*$C349))</f>
        <v/>
      </c>
      <c r="E349" s="38" t="str">
        <f>IF($B349="","",SUM(VLOOKUP($B349,DADOS!$C$2:$I1014,6,0)*$C349))</f>
        <v/>
      </c>
      <c r="F349" s="39" t="str">
        <f>IF($E349="","",(VLOOKUP($B349,DADOS!$C$2:$I1014,7,0)))</f>
        <v/>
      </c>
      <c r="G349" s="40" t="str">
        <f t="shared" si="2"/>
        <v/>
      </c>
      <c r="H349" s="41"/>
      <c r="I349" s="42"/>
      <c r="J349" s="42"/>
      <c r="K349" s="42"/>
      <c r="L349" s="42"/>
      <c r="M349" s="42"/>
      <c r="N349" s="42"/>
      <c r="O349" s="42"/>
      <c r="P349" s="42"/>
      <c r="Q349" s="42"/>
      <c r="R349" s="42"/>
      <c r="S349" s="42"/>
      <c r="T349" s="42"/>
      <c r="U349" s="42"/>
      <c r="V349" s="42"/>
      <c r="W349" s="42"/>
      <c r="X349" s="42"/>
      <c r="Y349" s="42"/>
      <c r="Z349" s="42"/>
      <c r="AA349" s="42"/>
    </row>
    <row r="350">
      <c r="A350" s="36" t="str">
        <f>IF($B350="","",VLOOKUP($B350,DADOS!$C$2:$I1014,2,0))</f>
        <v/>
      </c>
      <c r="B350" s="37"/>
      <c r="C350" s="36"/>
      <c r="D350" s="38" t="str">
        <f>IF($B350="","",SUM(VLOOKUP($B350,DADOS!$C$2:$I1014,4,0)*$C350))</f>
        <v/>
      </c>
      <c r="E350" s="38" t="str">
        <f>IF($B350="","",SUM(VLOOKUP($B350,DADOS!$C$2:$I1014,6,0)*$C350))</f>
        <v/>
      </c>
      <c r="F350" s="39" t="str">
        <f>IF($E350="","",(VLOOKUP($B350,DADOS!$C$2:$I1014,7,0)))</f>
        <v/>
      </c>
      <c r="G350" s="40" t="str">
        <f t="shared" si="2"/>
        <v/>
      </c>
      <c r="H350" s="41"/>
      <c r="I350" s="42"/>
      <c r="J350" s="42"/>
      <c r="K350" s="42"/>
      <c r="L350" s="42"/>
      <c r="M350" s="42"/>
      <c r="N350" s="42"/>
      <c r="O350" s="42"/>
      <c r="P350" s="42"/>
      <c r="Q350" s="42"/>
      <c r="R350" s="42"/>
      <c r="S350" s="42"/>
      <c r="T350" s="42"/>
      <c r="U350" s="42"/>
      <c r="V350" s="42"/>
      <c r="W350" s="42"/>
      <c r="X350" s="42"/>
      <c r="Y350" s="42"/>
      <c r="Z350" s="42"/>
      <c r="AA350" s="42"/>
    </row>
    <row r="351">
      <c r="A351" s="36" t="str">
        <f>IF($B351="","",VLOOKUP($B351,DADOS!$C$2:$I1014,2,0))</f>
        <v/>
      </c>
      <c r="B351" s="37"/>
      <c r="C351" s="36"/>
      <c r="D351" s="38" t="str">
        <f>IF($B351="","",SUM(VLOOKUP($B351,DADOS!$C$2:$I1014,4,0)*$C351))</f>
        <v/>
      </c>
      <c r="E351" s="38" t="str">
        <f>IF($B351="","",SUM(VLOOKUP($B351,DADOS!$C$2:$I1014,6,0)*$C351))</f>
        <v/>
      </c>
      <c r="F351" s="39" t="str">
        <f>IF($E351="","",(VLOOKUP($B351,DADOS!$C$2:$I1014,7,0)))</f>
        <v/>
      </c>
      <c r="G351" s="40" t="str">
        <f t="shared" si="2"/>
        <v/>
      </c>
      <c r="H351" s="41"/>
      <c r="I351" s="42"/>
      <c r="J351" s="42"/>
      <c r="K351" s="42"/>
      <c r="L351" s="42"/>
      <c r="M351" s="42"/>
      <c r="N351" s="42"/>
      <c r="O351" s="42"/>
      <c r="P351" s="42"/>
      <c r="Q351" s="42"/>
      <c r="R351" s="42"/>
      <c r="S351" s="42"/>
      <c r="T351" s="42"/>
      <c r="U351" s="42"/>
      <c r="V351" s="42"/>
      <c r="W351" s="42"/>
      <c r="X351" s="42"/>
      <c r="Y351" s="42"/>
      <c r="Z351" s="42"/>
      <c r="AA351" s="42"/>
    </row>
    <row r="352">
      <c r="A352" s="36" t="str">
        <f>IF($B352="","",VLOOKUP($B352,DADOS!$C$2:$I1014,2,0))</f>
        <v/>
      </c>
      <c r="B352" s="37"/>
      <c r="C352" s="36"/>
      <c r="D352" s="38" t="str">
        <f>IF($B352="","",SUM(VLOOKUP($B352,DADOS!$C$2:$I1014,4,0)*$C352))</f>
        <v/>
      </c>
      <c r="E352" s="38" t="str">
        <f>IF($B352="","",SUM(VLOOKUP($B352,DADOS!$C$2:$I1014,6,0)*$C352))</f>
        <v/>
      </c>
      <c r="F352" s="39" t="str">
        <f>IF($E352="","",(VLOOKUP($B352,DADOS!$C$2:$I1014,7,0)))</f>
        <v/>
      </c>
      <c r="G352" s="40" t="str">
        <f t="shared" si="2"/>
        <v/>
      </c>
      <c r="H352" s="41"/>
      <c r="I352" s="42"/>
      <c r="J352" s="42"/>
      <c r="K352" s="42"/>
      <c r="L352" s="42"/>
      <c r="M352" s="42"/>
      <c r="N352" s="42"/>
      <c r="O352" s="42"/>
      <c r="P352" s="42"/>
      <c r="Q352" s="42"/>
      <c r="R352" s="42"/>
      <c r="S352" s="42"/>
      <c r="T352" s="42"/>
      <c r="U352" s="42"/>
      <c r="V352" s="42"/>
      <c r="W352" s="42"/>
      <c r="X352" s="42"/>
      <c r="Y352" s="42"/>
      <c r="Z352" s="42"/>
      <c r="AA352" s="42"/>
    </row>
    <row r="353">
      <c r="A353" s="36" t="str">
        <f>IF($B353="","",VLOOKUP($B353,DADOS!$C$2:$I1014,2,0))</f>
        <v/>
      </c>
      <c r="B353" s="37"/>
      <c r="C353" s="36"/>
      <c r="D353" s="38" t="str">
        <f>IF($B353="","",SUM(VLOOKUP($B353,DADOS!$C$2:$I1014,4,0)*$C353))</f>
        <v/>
      </c>
      <c r="E353" s="38" t="str">
        <f>IF($B353="","",SUM(VLOOKUP($B353,DADOS!$C$2:$I1014,6,0)*$C353))</f>
        <v/>
      </c>
      <c r="F353" s="39" t="str">
        <f>IF($E353="","",(VLOOKUP($B353,DADOS!$C$2:$I1014,7,0)))</f>
        <v/>
      </c>
      <c r="G353" s="40" t="str">
        <f t="shared" si="2"/>
        <v/>
      </c>
      <c r="H353" s="41"/>
      <c r="I353" s="42"/>
      <c r="J353" s="42"/>
      <c r="K353" s="42"/>
      <c r="L353" s="42"/>
      <c r="M353" s="42"/>
      <c r="N353" s="42"/>
      <c r="O353" s="42"/>
      <c r="P353" s="42"/>
      <c r="Q353" s="42"/>
      <c r="R353" s="42"/>
      <c r="S353" s="42"/>
      <c r="T353" s="42"/>
      <c r="U353" s="42"/>
      <c r="V353" s="42"/>
      <c r="W353" s="42"/>
      <c r="X353" s="42"/>
      <c r="Y353" s="42"/>
      <c r="Z353" s="42"/>
      <c r="AA353" s="42"/>
    </row>
    <row r="354">
      <c r="A354" s="36" t="str">
        <f>IF($B354="","",VLOOKUP($B354,DADOS!$C$2:$I1014,2,0))</f>
        <v/>
      </c>
      <c r="B354" s="37"/>
      <c r="C354" s="36"/>
      <c r="D354" s="38" t="str">
        <f>IF($B354="","",SUM(VLOOKUP($B354,DADOS!$C$2:$I1014,4,0)*$C354))</f>
        <v/>
      </c>
      <c r="E354" s="38" t="str">
        <f>IF($B354="","",SUM(VLOOKUP($B354,DADOS!$C$2:$I1014,6,0)*$C354))</f>
        <v/>
      </c>
      <c r="F354" s="39" t="str">
        <f>IF($E354="","",(VLOOKUP($B354,DADOS!$C$2:$I1014,7,0)))</f>
        <v/>
      </c>
      <c r="G354" s="40" t="str">
        <f t="shared" si="2"/>
        <v/>
      </c>
      <c r="H354" s="41"/>
      <c r="I354" s="42"/>
      <c r="J354" s="42"/>
      <c r="K354" s="42"/>
      <c r="L354" s="42"/>
      <c r="M354" s="42"/>
      <c r="N354" s="42"/>
      <c r="O354" s="42"/>
      <c r="P354" s="42"/>
      <c r="Q354" s="42"/>
      <c r="R354" s="42"/>
      <c r="S354" s="42"/>
      <c r="T354" s="42"/>
      <c r="U354" s="42"/>
      <c r="V354" s="42"/>
      <c r="W354" s="42"/>
      <c r="X354" s="42"/>
      <c r="Y354" s="42"/>
      <c r="Z354" s="42"/>
      <c r="AA354" s="42"/>
    </row>
    <row r="355">
      <c r="A355" s="36" t="str">
        <f>IF($B355="","",VLOOKUP($B355,DADOS!$C$2:$I1014,2,0))</f>
        <v/>
      </c>
      <c r="B355" s="37"/>
      <c r="C355" s="36"/>
      <c r="D355" s="38" t="str">
        <f>IF($B355="","",SUM(VLOOKUP($B355,DADOS!$C$2:$I1014,4,0)*$C355))</f>
        <v/>
      </c>
      <c r="E355" s="38" t="str">
        <f>IF($B355="","",SUM(VLOOKUP($B355,DADOS!$C$2:$I1014,6,0)*$C355))</f>
        <v/>
      </c>
      <c r="F355" s="39" t="str">
        <f>IF($E355="","",(VLOOKUP($B355,DADOS!$C$2:$I1014,7,0)))</f>
        <v/>
      </c>
      <c r="G355" s="40" t="str">
        <f t="shared" si="2"/>
        <v/>
      </c>
      <c r="H355" s="41"/>
      <c r="I355" s="42"/>
      <c r="J355" s="42"/>
      <c r="K355" s="42"/>
      <c r="L355" s="42"/>
      <c r="M355" s="42"/>
      <c r="N355" s="42"/>
      <c r="O355" s="42"/>
      <c r="P355" s="42"/>
      <c r="Q355" s="42"/>
      <c r="R355" s="42"/>
      <c r="S355" s="42"/>
      <c r="T355" s="42"/>
      <c r="U355" s="42"/>
      <c r="V355" s="42"/>
      <c r="W355" s="42"/>
      <c r="X355" s="42"/>
      <c r="Y355" s="42"/>
      <c r="Z355" s="42"/>
      <c r="AA355" s="42"/>
    </row>
    <row r="356">
      <c r="A356" s="36" t="str">
        <f>IF($B356="","",VLOOKUP($B356,DADOS!$C$2:$I1014,2,0))</f>
        <v/>
      </c>
      <c r="B356" s="37"/>
      <c r="C356" s="36"/>
      <c r="D356" s="38" t="str">
        <f>IF($B356="","",SUM(VLOOKUP($B356,DADOS!$C$2:$I1014,4,0)*$C356))</f>
        <v/>
      </c>
      <c r="E356" s="38" t="str">
        <f>IF($B356="","",SUM(VLOOKUP($B356,DADOS!$C$2:$I1014,6,0)*$C356))</f>
        <v/>
      </c>
      <c r="F356" s="39" t="str">
        <f>IF($E356="","",(VLOOKUP($B356,DADOS!$C$2:$I1014,7,0)))</f>
        <v/>
      </c>
      <c r="G356" s="40" t="str">
        <f t="shared" si="2"/>
        <v/>
      </c>
      <c r="H356" s="41"/>
      <c r="I356" s="42"/>
      <c r="J356" s="42"/>
      <c r="K356" s="42"/>
      <c r="L356" s="42"/>
      <c r="M356" s="42"/>
      <c r="N356" s="42"/>
      <c r="O356" s="42"/>
      <c r="P356" s="42"/>
      <c r="Q356" s="42"/>
      <c r="R356" s="42"/>
      <c r="S356" s="42"/>
      <c r="T356" s="42"/>
      <c r="U356" s="42"/>
      <c r="V356" s="42"/>
      <c r="W356" s="42"/>
      <c r="X356" s="42"/>
      <c r="Y356" s="42"/>
      <c r="Z356" s="42"/>
      <c r="AA356" s="42"/>
    </row>
    <row r="357">
      <c r="A357" s="36" t="str">
        <f>IF($B357="","",VLOOKUP($B357,DADOS!$C$2:$I1014,2,0))</f>
        <v/>
      </c>
      <c r="B357" s="37"/>
      <c r="C357" s="36"/>
      <c r="D357" s="38" t="str">
        <f>IF($B357="","",SUM(VLOOKUP($B357,DADOS!$C$2:$I1014,4,0)*$C357))</f>
        <v/>
      </c>
      <c r="E357" s="38" t="str">
        <f>IF($B357="","",SUM(VLOOKUP($B357,DADOS!$C$2:$I1014,6,0)*$C357))</f>
        <v/>
      </c>
      <c r="F357" s="39" t="str">
        <f>IF($E357="","",(VLOOKUP($B357,DADOS!$C$2:$I1014,7,0)))</f>
        <v/>
      </c>
      <c r="G357" s="40" t="str">
        <f t="shared" si="2"/>
        <v/>
      </c>
      <c r="H357" s="41"/>
      <c r="I357" s="42"/>
      <c r="J357" s="42"/>
      <c r="K357" s="42"/>
      <c r="L357" s="42"/>
      <c r="M357" s="42"/>
      <c r="N357" s="42"/>
      <c r="O357" s="42"/>
      <c r="P357" s="42"/>
      <c r="Q357" s="42"/>
      <c r="R357" s="42"/>
      <c r="S357" s="42"/>
      <c r="T357" s="42"/>
      <c r="U357" s="42"/>
      <c r="V357" s="42"/>
      <c r="W357" s="42"/>
      <c r="X357" s="42"/>
      <c r="Y357" s="42"/>
      <c r="Z357" s="42"/>
      <c r="AA357" s="42"/>
    </row>
    <row r="358">
      <c r="A358" s="36" t="str">
        <f>IF($B358="","",VLOOKUP($B358,DADOS!$C$2:$I1014,2,0))</f>
        <v/>
      </c>
      <c r="B358" s="37"/>
      <c r="C358" s="36"/>
      <c r="D358" s="38" t="str">
        <f>IF($B358="","",SUM(VLOOKUP($B358,DADOS!$C$2:$I1014,4,0)*$C358))</f>
        <v/>
      </c>
      <c r="E358" s="38" t="str">
        <f>IF($B358="","",SUM(VLOOKUP($B358,DADOS!$C$2:$I1014,6,0)*$C358))</f>
        <v/>
      </c>
      <c r="F358" s="39" t="str">
        <f>IF($E358="","",(VLOOKUP($B358,DADOS!$C$2:$I1014,7,0)))</f>
        <v/>
      </c>
      <c r="G358" s="40" t="str">
        <f t="shared" si="2"/>
        <v/>
      </c>
      <c r="H358" s="41"/>
      <c r="I358" s="42"/>
      <c r="J358" s="42"/>
      <c r="K358" s="42"/>
      <c r="L358" s="42"/>
      <c r="M358" s="42"/>
      <c r="N358" s="42"/>
      <c r="O358" s="42"/>
      <c r="P358" s="42"/>
      <c r="Q358" s="42"/>
      <c r="R358" s="42"/>
      <c r="S358" s="42"/>
      <c r="T358" s="42"/>
      <c r="U358" s="42"/>
      <c r="V358" s="42"/>
      <c r="W358" s="42"/>
      <c r="X358" s="42"/>
      <c r="Y358" s="42"/>
      <c r="Z358" s="42"/>
      <c r="AA358" s="42"/>
    </row>
    <row r="359">
      <c r="A359" s="36" t="str">
        <f>IF($B359="","",VLOOKUP($B359,DADOS!$C$2:$I1014,2,0))</f>
        <v/>
      </c>
      <c r="B359" s="37"/>
      <c r="C359" s="36"/>
      <c r="D359" s="38" t="str">
        <f>IF($B359="","",SUM(VLOOKUP($B359,DADOS!$C$2:$I1014,4,0)*$C359))</f>
        <v/>
      </c>
      <c r="E359" s="38" t="str">
        <f>IF($B359="","",SUM(VLOOKUP($B359,DADOS!$C$2:$I1014,6,0)*$C359))</f>
        <v/>
      </c>
      <c r="F359" s="39" t="str">
        <f>IF($E359="","",(VLOOKUP($B359,DADOS!$C$2:$I1014,7,0)))</f>
        <v/>
      </c>
      <c r="G359" s="40" t="str">
        <f t="shared" si="2"/>
        <v/>
      </c>
      <c r="H359" s="41"/>
      <c r="I359" s="42"/>
      <c r="J359" s="42"/>
      <c r="K359" s="42"/>
      <c r="L359" s="42"/>
      <c r="M359" s="42"/>
      <c r="N359" s="42"/>
      <c r="O359" s="42"/>
      <c r="P359" s="42"/>
      <c r="Q359" s="42"/>
      <c r="R359" s="42"/>
      <c r="S359" s="42"/>
      <c r="T359" s="42"/>
      <c r="U359" s="42"/>
      <c r="V359" s="42"/>
      <c r="W359" s="42"/>
      <c r="X359" s="42"/>
      <c r="Y359" s="42"/>
      <c r="Z359" s="42"/>
      <c r="AA359" s="42"/>
    </row>
    <row r="360">
      <c r="A360" s="36" t="str">
        <f>IF($B360="","",VLOOKUP($B360,DADOS!$C$2:$I1014,2,0))</f>
        <v/>
      </c>
      <c r="B360" s="37"/>
      <c r="C360" s="36"/>
      <c r="D360" s="38" t="str">
        <f>IF($B360="","",SUM(VLOOKUP($B360,DADOS!$C$2:$I1014,4,0)*$C360))</f>
        <v/>
      </c>
      <c r="E360" s="38" t="str">
        <f>IF($B360="","",SUM(VLOOKUP($B360,DADOS!$C$2:$I1014,6,0)*$C360))</f>
        <v/>
      </c>
      <c r="F360" s="39" t="str">
        <f>IF($E360="","",(VLOOKUP($B360,DADOS!$C$2:$I1014,7,0)))</f>
        <v/>
      </c>
      <c r="G360" s="40" t="str">
        <f t="shared" si="2"/>
        <v/>
      </c>
      <c r="H360" s="41"/>
      <c r="I360" s="42"/>
      <c r="J360" s="42"/>
      <c r="K360" s="42"/>
      <c r="L360" s="42"/>
      <c r="M360" s="42"/>
      <c r="N360" s="42"/>
      <c r="O360" s="42"/>
      <c r="P360" s="42"/>
      <c r="Q360" s="42"/>
      <c r="R360" s="42"/>
      <c r="S360" s="42"/>
      <c r="T360" s="42"/>
      <c r="U360" s="42"/>
      <c r="V360" s="42"/>
      <c r="W360" s="42"/>
      <c r="X360" s="42"/>
      <c r="Y360" s="42"/>
      <c r="Z360" s="42"/>
      <c r="AA360" s="42"/>
    </row>
    <row r="361">
      <c r="A361" s="36" t="str">
        <f>IF($B361="","",VLOOKUP($B361,DADOS!$C$2:$I1014,2,0))</f>
        <v/>
      </c>
      <c r="B361" s="37"/>
      <c r="C361" s="36"/>
      <c r="D361" s="38" t="str">
        <f>IF($B361="","",SUM(VLOOKUP($B361,DADOS!$C$2:$I1014,4,0)*$C361))</f>
        <v/>
      </c>
      <c r="E361" s="38" t="str">
        <f>IF($B361="","",SUM(VLOOKUP($B361,DADOS!$C$2:$I1014,6,0)*$C361))</f>
        <v/>
      </c>
      <c r="F361" s="39" t="str">
        <f>IF($E361="","",(VLOOKUP($B361,DADOS!$C$2:$I1014,7,0)))</f>
        <v/>
      </c>
      <c r="G361" s="40" t="str">
        <f t="shared" si="2"/>
        <v/>
      </c>
      <c r="H361" s="41"/>
      <c r="I361" s="42"/>
      <c r="J361" s="42"/>
      <c r="K361" s="42"/>
      <c r="L361" s="42"/>
      <c r="M361" s="42"/>
      <c r="N361" s="42"/>
      <c r="O361" s="42"/>
      <c r="P361" s="42"/>
      <c r="Q361" s="42"/>
      <c r="R361" s="42"/>
      <c r="S361" s="42"/>
      <c r="T361" s="42"/>
      <c r="U361" s="42"/>
      <c r="V361" s="42"/>
      <c r="W361" s="42"/>
      <c r="X361" s="42"/>
      <c r="Y361" s="42"/>
      <c r="Z361" s="42"/>
      <c r="AA361" s="42"/>
    </row>
    <row r="362">
      <c r="A362" s="36" t="str">
        <f>IF($B362="","",VLOOKUP($B362,DADOS!$C$2:$I1014,2,0))</f>
        <v/>
      </c>
      <c r="B362" s="37"/>
      <c r="C362" s="36"/>
      <c r="D362" s="38" t="str">
        <f>IF($B362="","",SUM(VLOOKUP($B362,DADOS!$C$2:$I1014,4,0)*$C362))</f>
        <v/>
      </c>
      <c r="E362" s="38" t="str">
        <f>IF($B362="","",SUM(VLOOKUP($B362,DADOS!$C$2:$I1014,6,0)*$C362))</f>
        <v/>
      </c>
      <c r="F362" s="39" t="str">
        <f>IF($E362="","",(VLOOKUP($B362,DADOS!$C$2:$I1014,7,0)))</f>
        <v/>
      </c>
      <c r="G362" s="40" t="str">
        <f t="shared" si="2"/>
        <v/>
      </c>
      <c r="H362" s="41"/>
      <c r="I362" s="42"/>
      <c r="J362" s="42"/>
      <c r="K362" s="42"/>
      <c r="L362" s="42"/>
      <c r="M362" s="42"/>
      <c r="N362" s="42"/>
      <c r="O362" s="42"/>
      <c r="P362" s="42"/>
      <c r="Q362" s="42"/>
      <c r="R362" s="42"/>
      <c r="S362" s="42"/>
      <c r="T362" s="42"/>
      <c r="U362" s="42"/>
      <c r="V362" s="42"/>
      <c r="W362" s="42"/>
      <c r="X362" s="42"/>
      <c r="Y362" s="42"/>
      <c r="Z362" s="42"/>
      <c r="AA362" s="42"/>
    </row>
    <row r="363">
      <c r="A363" s="36" t="str">
        <f>IF($B363="","",VLOOKUP($B363,DADOS!$C$2:$I1014,2,0))</f>
        <v/>
      </c>
      <c r="B363" s="37"/>
      <c r="C363" s="36"/>
      <c r="D363" s="38" t="str">
        <f>IF($B363="","",SUM(VLOOKUP($B363,DADOS!$C$2:$I1014,4,0)*$C363))</f>
        <v/>
      </c>
      <c r="E363" s="38" t="str">
        <f>IF($B363="","",SUM(VLOOKUP($B363,DADOS!$C$2:$I1014,6,0)*$C363))</f>
        <v/>
      </c>
      <c r="F363" s="39" t="str">
        <f>IF($E363="","",(VLOOKUP($B363,DADOS!$C$2:$I1014,7,0)))</f>
        <v/>
      </c>
      <c r="G363" s="40" t="str">
        <f t="shared" si="2"/>
        <v/>
      </c>
      <c r="H363" s="41"/>
      <c r="I363" s="42"/>
      <c r="J363" s="42"/>
      <c r="K363" s="42"/>
      <c r="L363" s="42"/>
      <c r="M363" s="42"/>
      <c r="N363" s="42"/>
      <c r="O363" s="42"/>
      <c r="P363" s="42"/>
      <c r="Q363" s="42"/>
      <c r="R363" s="42"/>
      <c r="S363" s="42"/>
      <c r="T363" s="42"/>
      <c r="U363" s="42"/>
      <c r="V363" s="42"/>
      <c r="W363" s="42"/>
      <c r="X363" s="42"/>
      <c r="Y363" s="42"/>
      <c r="Z363" s="42"/>
      <c r="AA363" s="42"/>
    </row>
    <row r="364">
      <c r="A364" s="36" t="str">
        <f>IF($B364="","",VLOOKUP($B364,DADOS!$C$2:$I1014,2,0))</f>
        <v/>
      </c>
      <c r="B364" s="37"/>
      <c r="C364" s="36"/>
      <c r="D364" s="38" t="str">
        <f>IF($B364="","",SUM(VLOOKUP($B364,DADOS!$C$2:$I1014,4,0)*$C364))</f>
        <v/>
      </c>
      <c r="E364" s="38" t="str">
        <f>IF($B364="","",SUM(VLOOKUP($B364,DADOS!$C$2:$I1014,6,0)*$C364))</f>
        <v/>
      </c>
      <c r="F364" s="39" t="str">
        <f>IF($E364="","",(VLOOKUP($B364,DADOS!$C$2:$I1014,7,0)))</f>
        <v/>
      </c>
      <c r="G364" s="40" t="str">
        <f t="shared" si="2"/>
        <v/>
      </c>
      <c r="H364" s="41"/>
      <c r="I364" s="42"/>
      <c r="J364" s="42"/>
      <c r="K364" s="42"/>
      <c r="L364" s="42"/>
      <c r="M364" s="42"/>
      <c r="N364" s="42"/>
      <c r="O364" s="42"/>
      <c r="P364" s="42"/>
      <c r="Q364" s="42"/>
      <c r="R364" s="42"/>
      <c r="S364" s="42"/>
      <c r="T364" s="42"/>
      <c r="U364" s="42"/>
      <c r="V364" s="42"/>
      <c r="W364" s="42"/>
      <c r="X364" s="42"/>
      <c r="Y364" s="42"/>
      <c r="Z364" s="42"/>
      <c r="AA364" s="42"/>
    </row>
    <row r="365">
      <c r="A365" s="36" t="str">
        <f>IF($B365="","",VLOOKUP($B365,DADOS!$C$2:$I1014,2,0))</f>
        <v/>
      </c>
      <c r="B365" s="37"/>
      <c r="C365" s="36"/>
      <c r="D365" s="38" t="str">
        <f>IF($B365="","",SUM(VLOOKUP($B365,DADOS!$C$2:$I1014,4,0)*$C365))</f>
        <v/>
      </c>
      <c r="E365" s="38" t="str">
        <f>IF($B365="","",SUM(VLOOKUP($B365,DADOS!$C$2:$I1014,6,0)*$C365))</f>
        <v/>
      </c>
      <c r="F365" s="39" t="str">
        <f>IF($E365="","",(VLOOKUP($B365,DADOS!$C$2:$I1014,7,0)))</f>
        <v/>
      </c>
      <c r="G365" s="40" t="str">
        <f t="shared" si="2"/>
        <v/>
      </c>
      <c r="H365" s="41"/>
      <c r="I365" s="42"/>
      <c r="J365" s="42"/>
      <c r="K365" s="42"/>
      <c r="L365" s="42"/>
      <c r="M365" s="42"/>
      <c r="N365" s="42"/>
      <c r="O365" s="42"/>
      <c r="P365" s="42"/>
      <c r="Q365" s="42"/>
      <c r="R365" s="42"/>
      <c r="S365" s="42"/>
      <c r="T365" s="42"/>
      <c r="U365" s="42"/>
      <c r="V365" s="42"/>
      <c r="W365" s="42"/>
      <c r="X365" s="42"/>
      <c r="Y365" s="42"/>
      <c r="Z365" s="42"/>
      <c r="AA365" s="42"/>
    </row>
    <row r="366">
      <c r="A366" s="36" t="str">
        <f>IF($B366="","",VLOOKUP($B366,DADOS!$C$2:$I1014,2,0))</f>
        <v/>
      </c>
      <c r="B366" s="37"/>
      <c r="C366" s="36"/>
      <c r="D366" s="38" t="str">
        <f>IF($B366="","",SUM(VLOOKUP($B366,DADOS!$C$2:$I1014,4,0)*$C366))</f>
        <v/>
      </c>
      <c r="E366" s="38" t="str">
        <f>IF($B366="","",SUM(VLOOKUP($B366,DADOS!$C$2:$I1014,6,0)*$C366))</f>
        <v/>
      </c>
      <c r="F366" s="39" t="str">
        <f>IF($E366="","",(VLOOKUP($B366,DADOS!$C$2:$I1014,7,0)))</f>
        <v/>
      </c>
      <c r="G366" s="40" t="str">
        <f t="shared" si="2"/>
        <v/>
      </c>
      <c r="H366" s="41"/>
      <c r="I366" s="42"/>
      <c r="J366" s="42"/>
      <c r="K366" s="42"/>
      <c r="L366" s="42"/>
      <c r="M366" s="42"/>
      <c r="N366" s="42"/>
      <c r="O366" s="42"/>
      <c r="P366" s="42"/>
      <c r="Q366" s="42"/>
      <c r="R366" s="42"/>
      <c r="S366" s="42"/>
      <c r="T366" s="42"/>
      <c r="U366" s="42"/>
      <c r="V366" s="42"/>
      <c r="W366" s="42"/>
      <c r="X366" s="42"/>
      <c r="Y366" s="42"/>
      <c r="Z366" s="42"/>
      <c r="AA366" s="42"/>
    </row>
    <row r="367">
      <c r="A367" s="36" t="str">
        <f>IF($B367="","",VLOOKUP($B367,DADOS!$C$2:$I1014,2,0))</f>
        <v/>
      </c>
      <c r="B367" s="37"/>
      <c r="C367" s="36"/>
      <c r="D367" s="38" t="str">
        <f>IF($B367="","",SUM(VLOOKUP($B367,DADOS!$C$2:$I1014,4,0)*$C367))</f>
        <v/>
      </c>
      <c r="E367" s="38" t="str">
        <f>IF($B367="","",SUM(VLOOKUP($B367,DADOS!$C$2:$I1014,6,0)*$C367))</f>
        <v/>
      </c>
      <c r="F367" s="39" t="str">
        <f>IF($E367="","",(VLOOKUP($B367,DADOS!$C$2:$I1014,7,0)))</f>
        <v/>
      </c>
      <c r="G367" s="40" t="str">
        <f t="shared" si="2"/>
        <v/>
      </c>
      <c r="H367" s="41"/>
      <c r="I367" s="42"/>
      <c r="J367" s="42"/>
      <c r="K367" s="42"/>
      <c r="L367" s="42"/>
      <c r="M367" s="42"/>
      <c r="N367" s="42"/>
      <c r="O367" s="42"/>
      <c r="P367" s="42"/>
      <c r="Q367" s="42"/>
      <c r="R367" s="42"/>
      <c r="S367" s="42"/>
      <c r="T367" s="42"/>
      <c r="U367" s="42"/>
      <c r="V367" s="42"/>
      <c r="W367" s="42"/>
      <c r="X367" s="42"/>
      <c r="Y367" s="42"/>
      <c r="Z367" s="42"/>
      <c r="AA367" s="42"/>
    </row>
    <row r="368">
      <c r="A368" s="36" t="str">
        <f>IF($B368="","",VLOOKUP($B368,DADOS!$C$2:$I1014,2,0))</f>
        <v/>
      </c>
      <c r="B368" s="37"/>
      <c r="C368" s="36"/>
      <c r="D368" s="38" t="str">
        <f>IF($B368="","",SUM(VLOOKUP($B368,DADOS!$C$2:$I1014,4,0)*$C368))</f>
        <v/>
      </c>
      <c r="E368" s="38" t="str">
        <f>IF($B368="","",SUM(VLOOKUP($B368,DADOS!$C$2:$I1014,6,0)*$C368))</f>
        <v/>
      </c>
      <c r="F368" s="39" t="str">
        <f>IF($E368="","",(VLOOKUP($B368,DADOS!$C$2:$I1014,7,0)))</f>
        <v/>
      </c>
      <c r="G368" s="40" t="str">
        <f t="shared" si="2"/>
        <v/>
      </c>
      <c r="H368" s="41"/>
      <c r="I368" s="42"/>
      <c r="J368" s="42"/>
      <c r="K368" s="42"/>
      <c r="L368" s="42"/>
      <c r="M368" s="42"/>
      <c r="N368" s="42"/>
      <c r="O368" s="42"/>
      <c r="P368" s="42"/>
      <c r="Q368" s="42"/>
      <c r="R368" s="42"/>
      <c r="S368" s="42"/>
      <c r="T368" s="42"/>
      <c r="U368" s="42"/>
      <c r="V368" s="42"/>
      <c r="W368" s="42"/>
      <c r="X368" s="42"/>
      <c r="Y368" s="42"/>
      <c r="Z368" s="42"/>
      <c r="AA368" s="42"/>
    </row>
    <row r="369">
      <c r="A369" s="36" t="str">
        <f>IF($B369="","",VLOOKUP($B369,DADOS!$C$2:$I1014,2,0))</f>
        <v/>
      </c>
      <c r="B369" s="37"/>
      <c r="C369" s="36"/>
      <c r="D369" s="38" t="str">
        <f>IF($B369="","",SUM(VLOOKUP($B369,DADOS!$C$2:$I1014,4,0)*$C369))</f>
        <v/>
      </c>
      <c r="E369" s="38" t="str">
        <f>IF($B369="","",SUM(VLOOKUP($B369,DADOS!$C$2:$I1014,6,0)*$C369))</f>
        <v/>
      </c>
      <c r="F369" s="39" t="str">
        <f>IF($E369="","",(VLOOKUP($B369,DADOS!$C$2:$I1014,7,0)))</f>
        <v/>
      </c>
      <c r="G369" s="40" t="str">
        <f t="shared" si="2"/>
        <v/>
      </c>
      <c r="H369" s="41"/>
      <c r="I369" s="42"/>
      <c r="J369" s="42"/>
      <c r="K369" s="42"/>
      <c r="L369" s="42"/>
      <c r="M369" s="42"/>
      <c r="N369" s="42"/>
      <c r="O369" s="42"/>
      <c r="P369" s="42"/>
      <c r="Q369" s="42"/>
      <c r="R369" s="42"/>
      <c r="S369" s="42"/>
      <c r="T369" s="42"/>
      <c r="U369" s="42"/>
      <c r="V369" s="42"/>
      <c r="W369" s="42"/>
      <c r="X369" s="42"/>
      <c r="Y369" s="42"/>
      <c r="Z369" s="42"/>
      <c r="AA369" s="42"/>
    </row>
    <row r="370">
      <c r="A370" s="36" t="str">
        <f>IF($B370="","",VLOOKUP($B370,DADOS!$C$2:$I1014,2,0))</f>
        <v/>
      </c>
      <c r="B370" s="37"/>
      <c r="C370" s="36"/>
      <c r="D370" s="38" t="str">
        <f>IF($B370="","",SUM(VLOOKUP($B370,DADOS!$C$2:$I1014,4,0)*$C370))</f>
        <v/>
      </c>
      <c r="E370" s="38" t="str">
        <f>IF($B370="","",SUM(VLOOKUP($B370,DADOS!$C$2:$I1014,6,0)*$C370))</f>
        <v/>
      </c>
      <c r="F370" s="39" t="str">
        <f>IF($E370="","",(VLOOKUP($B370,DADOS!$C$2:$I1014,7,0)))</f>
        <v/>
      </c>
      <c r="G370" s="40" t="str">
        <f t="shared" si="2"/>
        <v/>
      </c>
      <c r="H370" s="41"/>
      <c r="I370" s="42"/>
      <c r="J370" s="42"/>
      <c r="K370" s="42"/>
      <c r="L370" s="42"/>
      <c r="M370" s="42"/>
      <c r="N370" s="42"/>
      <c r="O370" s="42"/>
      <c r="P370" s="42"/>
      <c r="Q370" s="42"/>
      <c r="R370" s="42"/>
      <c r="S370" s="42"/>
      <c r="T370" s="42"/>
      <c r="U370" s="42"/>
      <c r="V370" s="42"/>
      <c r="W370" s="42"/>
      <c r="X370" s="42"/>
      <c r="Y370" s="42"/>
      <c r="Z370" s="42"/>
      <c r="AA370" s="42"/>
    </row>
    <row r="371">
      <c r="A371" s="36" t="str">
        <f>IF($B371="","",VLOOKUP($B371,DADOS!$C$2:$I1014,2,0))</f>
        <v/>
      </c>
      <c r="B371" s="37"/>
      <c r="C371" s="36"/>
      <c r="D371" s="38" t="str">
        <f>IF($B371="","",SUM(VLOOKUP($B371,DADOS!$C$2:$I1014,4,0)*$C371))</f>
        <v/>
      </c>
      <c r="E371" s="38" t="str">
        <f>IF($B371="","",SUM(VLOOKUP($B371,DADOS!$C$2:$I1014,6,0)*$C371))</f>
        <v/>
      </c>
      <c r="F371" s="39" t="str">
        <f>IF($E371="","",(VLOOKUP($B371,DADOS!$C$2:$I1014,7,0)))</f>
        <v/>
      </c>
      <c r="G371" s="40" t="str">
        <f t="shared" si="2"/>
        <v/>
      </c>
      <c r="H371" s="41"/>
      <c r="I371" s="42"/>
      <c r="J371" s="42"/>
      <c r="K371" s="42"/>
      <c r="L371" s="42"/>
      <c r="M371" s="42"/>
      <c r="N371" s="42"/>
      <c r="O371" s="42"/>
      <c r="P371" s="42"/>
      <c r="Q371" s="42"/>
      <c r="R371" s="42"/>
      <c r="S371" s="42"/>
      <c r="T371" s="42"/>
      <c r="U371" s="42"/>
      <c r="V371" s="42"/>
      <c r="W371" s="42"/>
      <c r="X371" s="42"/>
      <c r="Y371" s="42"/>
      <c r="Z371" s="42"/>
      <c r="AA371" s="42"/>
    </row>
    <row r="372">
      <c r="A372" s="36" t="str">
        <f>IF($B372="","",VLOOKUP($B372,DADOS!$C$2:$I1014,2,0))</f>
        <v/>
      </c>
      <c r="B372" s="37"/>
      <c r="C372" s="36"/>
      <c r="D372" s="38" t="str">
        <f>IF($B372="","",SUM(VLOOKUP($B372,DADOS!$C$2:$I1014,4,0)*$C372))</f>
        <v/>
      </c>
      <c r="E372" s="38" t="str">
        <f>IF($B372="","",SUM(VLOOKUP($B372,DADOS!$C$2:$I1014,6,0)*$C372))</f>
        <v/>
      </c>
      <c r="F372" s="39" t="str">
        <f>IF($E372="","",(VLOOKUP($B372,DADOS!$C$2:$I1014,7,0)))</f>
        <v/>
      </c>
      <c r="G372" s="40" t="str">
        <f t="shared" si="2"/>
        <v/>
      </c>
      <c r="H372" s="41"/>
      <c r="I372" s="42"/>
      <c r="J372" s="42"/>
      <c r="K372" s="42"/>
      <c r="L372" s="42"/>
      <c r="M372" s="42"/>
      <c r="N372" s="42"/>
      <c r="O372" s="42"/>
      <c r="P372" s="42"/>
      <c r="Q372" s="42"/>
      <c r="R372" s="42"/>
      <c r="S372" s="42"/>
      <c r="T372" s="42"/>
      <c r="U372" s="42"/>
      <c r="V372" s="42"/>
      <c r="W372" s="42"/>
      <c r="X372" s="42"/>
      <c r="Y372" s="42"/>
      <c r="Z372" s="42"/>
      <c r="AA372" s="42"/>
    </row>
    <row r="373">
      <c r="A373" s="36" t="str">
        <f>IF($B373="","",VLOOKUP($B373,DADOS!$C$2:$I1014,2,0))</f>
        <v/>
      </c>
      <c r="B373" s="37"/>
      <c r="C373" s="36"/>
      <c r="D373" s="38" t="str">
        <f>IF($B373="","",SUM(VLOOKUP($B373,DADOS!$C$2:$I1014,4,0)*$C373))</f>
        <v/>
      </c>
      <c r="E373" s="38" t="str">
        <f>IF($B373="","",SUM(VLOOKUP($B373,DADOS!$C$2:$I1014,6,0)*$C373))</f>
        <v/>
      </c>
      <c r="F373" s="39" t="str">
        <f>IF($E373="","",(VLOOKUP($B373,DADOS!$C$2:$I1014,7,0)))</f>
        <v/>
      </c>
      <c r="G373" s="40" t="str">
        <f t="shared" si="2"/>
        <v/>
      </c>
      <c r="H373" s="41"/>
      <c r="I373" s="42"/>
      <c r="J373" s="42"/>
      <c r="K373" s="42"/>
      <c r="L373" s="42"/>
      <c r="M373" s="42"/>
      <c r="N373" s="42"/>
      <c r="O373" s="42"/>
      <c r="P373" s="42"/>
      <c r="Q373" s="42"/>
      <c r="R373" s="42"/>
      <c r="S373" s="42"/>
      <c r="T373" s="42"/>
      <c r="U373" s="42"/>
      <c r="V373" s="42"/>
      <c r="W373" s="42"/>
      <c r="X373" s="42"/>
      <c r="Y373" s="42"/>
      <c r="Z373" s="42"/>
      <c r="AA373" s="42"/>
    </row>
    <row r="374">
      <c r="A374" s="36" t="str">
        <f>IF($B374="","",VLOOKUP($B374,DADOS!$C$2:$I1014,2,0))</f>
        <v/>
      </c>
      <c r="B374" s="37"/>
      <c r="C374" s="36"/>
      <c r="D374" s="38" t="str">
        <f>IF($B374="","",SUM(VLOOKUP($B374,DADOS!$C$2:$I1014,4,0)*$C374))</f>
        <v/>
      </c>
      <c r="E374" s="38" t="str">
        <f>IF($B374="","",SUM(VLOOKUP($B374,DADOS!$C$2:$I1014,6,0)*$C374))</f>
        <v/>
      </c>
      <c r="F374" s="39" t="str">
        <f>IF($E374="","",(VLOOKUP($B374,DADOS!$C$2:$I1014,7,0)))</f>
        <v/>
      </c>
      <c r="G374" s="40" t="str">
        <f t="shared" si="2"/>
        <v/>
      </c>
      <c r="H374" s="41"/>
      <c r="I374" s="42"/>
      <c r="J374" s="42"/>
      <c r="K374" s="42"/>
      <c r="L374" s="42"/>
      <c r="M374" s="42"/>
      <c r="N374" s="42"/>
      <c r="O374" s="42"/>
      <c r="P374" s="42"/>
      <c r="Q374" s="42"/>
      <c r="R374" s="42"/>
      <c r="S374" s="42"/>
      <c r="T374" s="42"/>
      <c r="U374" s="42"/>
      <c r="V374" s="42"/>
      <c r="W374" s="42"/>
      <c r="X374" s="42"/>
      <c r="Y374" s="42"/>
      <c r="Z374" s="42"/>
      <c r="AA374" s="42"/>
    </row>
    <row r="375">
      <c r="A375" s="36" t="str">
        <f>IF($B375="","",VLOOKUP($B375,DADOS!$C$2:$I1014,2,0))</f>
        <v/>
      </c>
      <c r="B375" s="37"/>
      <c r="C375" s="36"/>
      <c r="D375" s="38" t="str">
        <f>IF($B375="","",SUM(VLOOKUP($B375,DADOS!$C$2:$I1014,4,0)*$C375))</f>
        <v/>
      </c>
      <c r="E375" s="38" t="str">
        <f>IF($B375="","",SUM(VLOOKUP($B375,DADOS!$C$2:$I1014,6,0)*$C375))</f>
        <v/>
      </c>
      <c r="F375" s="39" t="str">
        <f>IF($E375="","",(VLOOKUP($B375,DADOS!$C$2:$I1014,7,0)))</f>
        <v/>
      </c>
      <c r="G375" s="40" t="str">
        <f t="shared" si="2"/>
        <v/>
      </c>
      <c r="H375" s="41"/>
      <c r="I375" s="42"/>
      <c r="J375" s="42"/>
      <c r="K375" s="42"/>
      <c r="L375" s="42"/>
      <c r="M375" s="42"/>
      <c r="N375" s="42"/>
      <c r="O375" s="42"/>
      <c r="P375" s="42"/>
      <c r="Q375" s="42"/>
      <c r="R375" s="42"/>
      <c r="S375" s="42"/>
      <c r="T375" s="42"/>
      <c r="U375" s="42"/>
      <c r="V375" s="42"/>
      <c r="W375" s="42"/>
      <c r="X375" s="42"/>
      <c r="Y375" s="42"/>
      <c r="Z375" s="42"/>
      <c r="AA375" s="42"/>
    </row>
    <row r="376">
      <c r="A376" s="36" t="str">
        <f>IF($B376="","",VLOOKUP($B376,DADOS!$C$2:$I1014,2,0))</f>
        <v/>
      </c>
      <c r="B376" s="37"/>
      <c r="C376" s="36"/>
      <c r="D376" s="38" t="str">
        <f>IF($B376="","",SUM(VLOOKUP($B376,DADOS!$C$2:$I1014,4,0)*$C376))</f>
        <v/>
      </c>
      <c r="E376" s="38" t="str">
        <f>IF($B376="","",SUM(VLOOKUP($B376,DADOS!$C$2:$I1014,6,0)*$C376))</f>
        <v/>
      </c>
      <c r="F376" s="39" t="str">
        <f>IF($E376="","",(VLOOKUP($B376,DADOS!$C$2:$I1014,7,0)))</f>
        <v/>
      </c>
      <c r="G376" s="40" t="str">
        <f t="shared" si="2"/>
        <v/>
      </c>
      <c r="H376" s="41"/>
      <c r="I376" s="42"/>
      <c r="J376" s="42"/>
      <c r="K376" s="42"/>
      <c r="L376" s="42"/>
      <c r="M376" s="42"/>
      <c r="N376" s="42"/>
      <c r="O376" s="42"/>
      <c r="P376" s="42"/>
      <c r="Q376" s="42"/>
      <c r="R376" s="42"/>
      <c r="S376" s="42"/>
      <c r="T376" s="42"/>
      <c r="U376" s="42"/>
      <c r="V376" s="42"/>
      <c r="W376" s="42"/>
      <c r="X376" s="42"/>
      <c r="Y376" s="42"/>
      <c r="Z376" s="42"/>
      <c r="AA376" s="42"/>
    </row>
    <row r="377">
      <c r="A377" s="36" t="str">
        <f>IF($B377="","",VLOOKUP($B377,DADOS!$C$2:$I1014,2,0))</f>
        <v/>
      </c>
      <c r="B377" s="37"/>
      <c r="C377" s="36"/>
      <c r="D377" s="38" t="str">
        <f>IF($B377="","",SUM(VLOOKUP($B377,DADOS!$C$2:$I1014,4,0)*$C377))</f>
        <v/>
      </c>
      <c r="E377" s="38" t="str">
        <f>IF($B377="","",SUM(VLOOKUP($B377,DADOS!$C$2:$I1014,6,0)*$C377))</f>
        <v/>
      </c>
      <c r="F377" s="39" t="str">
        <f>IF($E377="","",(VLOOKUP($B377,DADOS!$C$2:$I1014,7,0)))</f>
        <v/>
      </c>
      <c r="G377" s="40" t="str">
        <f t="shared" si="2"/>
        <v/>
      </c>
      <c r="H377" s="41"/>
      <c r="I377" s="42"/>
      <c r="J377" s="42"/>
      <c r="K377" s="42"/>
      <c r="L377" s="42"/>
      <c r="M377" s="42"/>
      <c r="N377" s="42"/>
      <c r="O377" s="42"/>
      <c r="P377" s="42"/>
      <c r="Q377" s="42"/>
      <c r="R377" s="42"/>
      <c r="S377" s="42"/>
      <c r="T377" s="42"/>
      <c r="U377" s="42"/>
      <c r="V377" s="42"/>
      <c r="W377" s="42"/>
      <c r="X377" s="42"/>
      <c r="Y377" s="42"/>
      <c r="Z377" s="42"/>
      <c r="AA377" s="42"/>
    </row>
    <row r="378">
      <c r="A378" s="36" t="str">
        <f>IF($B378="","",VLOOKUP($B378,DADOS!$C$2:$I1014,2,0))</f>
        <v/>
      </c>
      <c r="B378" s="37"/>
      <c r="C378" s="36"/>
      <c r="D378" s="38" t="str">
        <f>IF($B378="","",SUM(VLOOKUP($B378,DADOS!$C$2:$I1014,4,0)*$C378))</f>
        <v/>
      </c>
      <c r="E378" s="38" t="str">
        <f>IF($B378="","",SUM(VLOOKUP($B378,DADOS!$C$2:$I1014,6,0)*$C378))</f>
        <v/>
      </c>
      <c r="F378" s="39" t="str">
        <f>IF($E378="","",(VLOOKUP($B378,DADOS!$C$2:$I1014,7,0)))</f>
        <v/>
      </c>
      <c r="G378" s="40" t="str">
        <f t="shared" si="2"/>
        <v/>
      </c>
      <c r="H378" s="41"/>
      <c r="I378" s="42"/>
      <c r="J378" s="42"/>
      <c r="K378" s="42"/>
      <c r="L378" s="42"/>
      <c r="M378" s="42"/>
      <c r="N378" s="42"/>
      <c r="O378" s="42"/>
      <c r="P378" s="42"/>
      <c r="Q378" s="42"/>
      <c r="R378" s="42"/>
      <c r="S378" s="42"/>
      <c r="T378" s="42"/>
      <c r="U378" s="42"/>
      <c r="V378" s="42"/>
      <c r="W378" s="42"/>
      <c r="X378" s="42"/>
      <c r="Y378" s="42"/>
      <c r="Z378" s="42"/>
      <c r="AA378" s="42"/>
    </row>
    <row r="379">
      <c r="A379" s="36" t="str">
        <f>IF($B379="","",VLOOKUP($B379,DADOS!$C$2:$I1014,2,0))</f>
        <v/>
      </c>
      <c r="B379" s="37"/>
      <c r="C379" s="36"/>
      <c r="D379" s="38" t="str">
        <f>IF($B379="","",SUM(VLOOKUP($B379,DADOS!$C$2:$I1014,4,0)*$C379))</f>
        <v/>
      </c>
      <c r="E379" s="38" t="str">
        <f>IF($B379="","",SUM(VLOOKUP($B379,DADOS!$C$2:$I1014,6,0)*$C379))</f>
        <v/>
      </c>
      <c r="F379" s="39" t="str">
        <f>IF($E379="","",(VLOOKUP($B379,DADOS!$C$2:$I1014,7,0)))</f>
        <v/>
      </c>
      <c r="G379" s="40" t="str">
        <f t="shared" si="2"/>
        <v/>
      </c>
      <c r="H379" s="41"/>
      <c r="I379" s="42"/>
      <c r="J379" s="42"/>
      <c r="K379" s="42"/>
      <c r="L379" s="42"/>
      <c r="M379" s="42"/>
      <c r="N379" s="42"/>
      <c r="O379" s="42"/>
      <c r="P379" s="42"/>
      <c r="Q379" s="42"/>
      <c r="R379" s="42"/>
      <c r="S379" s="42"/>
      <c r="T379" s="42"/>
      <c r="U379" s="42"/>
      <c r="V379" s="42"/>
      <c r="W379" s="42"/>
      <c r="X379" s="42"/>
      <c r="Y379" s="42"/>
      <c r="Z379" s="42"/>
      <c r="AA379" s="42"/>
    </row>
    <row r="380">
      <c r="A380" s="36" t="str">
        <f>IF($B380="","",VLOOKUP($B380,DADOS!$C$2:$I1014,2,0))</f>
        <v/>
      </c>
      <c r="B380" s="37"/>
      <c r="C380" s="36"/>
      <c r="D380" s="38" t="str">
        <f>IF($B380="","",SUM(VLOOKUP($B380,DADOS!$C$2:$I1014,4,0)*$C380))</f>
        <v/>
      </c>
      <c r="E380" s="38" t="str">
        <f>IF($B380="","",SUM(VLOOKUP($B380,DADOS!$C$2:$I1014,6,0)*$C380))</f>
        <v/>
      </c>
      <c r="F380" s="39" t="str">
        <f>IF($E380="","",(VLOOKUP($B380,DADOS!$C$2:$I1014,7,0)))</f>
        <v/>
      </c>
      <c r="G380" s="40" t="str">
        <f t="shared" si="2"/>
        <v/>
      </c>
      <c r="H380" s="41"/>
      <c r="I380" s="42"/>
      <c r="J380" s="42"/>
      <c r="K380" s="42"/>
      <c r="L380" s="42"/>
      <c r="M380" s="42"/>
      <c r="N380" s="42"/>
      <c r="O380" s="42"/>
      <c r="P380" s="42"/>
      <c r="Q380" s="42"/>
      <c r="R380" s="42"/>
      <c r="S380" s="42"/>
      <c r="T380" s="42"/>
      <c r="U380" s="42"/>
      <c r="V380" s="42"/>
      <c r="W380" s="42"/>
      <c r="X380" s="42"/>
      <c r="Y380" s="42"/>
      <c r="Z380" s="42"/>
      <c r="AA380" s="42"/>
    </row>
    <row r="381">
      <c r="A381" s="36" t="str">
        <f>IF($B381="","",VLOOKUP($B381,DADOS!$C$2:$I1014,2,0))</f>
        <v/>
      </c>
      <c r="B381" s="37"/>
      <c r="C381" s="36"/>
      <c r="D381" s="38" t="str">
        <f>IF($B381="","",SUM(VLOOKUP($B381,DADOS!$C$2:$I1014,4,0)*$C381))</f>
        <v/>
      </c>
      <c r="E381" s="38" t="str">
        <f>IF($B381="","",SUM(VLOOKUP($B381,DADOS!$C$2:$I1014,6,0)*$C381))</f>
        <v/>
      </c>
      <c r="F381" s="39" t="str">
        <f>IF($E381="","",(VLOOKUP($B381,DADOS!$C$2:$I1014,7,0)))</f>
        <v/>
      </c>
      <c r="G381" s="40" t="str">
        <f t="shared" si="2"/>
        <v/>
      </c>
      <c r="H381" s="41"/>
      <c r="I381" s="42"/>
      <c r="J381" s="42"/>
      <c r="K381" s="42"/>
      <c r="L381" s="42"/>
      <c r="M381" s="42"/>
      <c r="N381" s="42"/>
      <c r="O381" s="42"/>
      <c r="P381" s="42"/>
      <c r="Q381" s="42"/>
      <c r="R381" s="42"/>
      <c r="S381" s="42"/>
      <c r="T381" s="42"/>
      <c r="U381" s="42"/>
      <c r="V381" s="42"/>
      <c r="W381" s="42"/>
      <c r="X381" s="42"/>
      <c r="Y381" s="42"/>
      <c r="Z381" s="42"/>
      <c r="AA381" s="42"/>
    </row>
    <row r="382">
      <c r="A382" s="36" t="str">
        <f>IF($B382="","",VLOOKUP($B382,DADOS!$C$2:$I1014,2,0))</f>
        <v/>
      </c>
      <c r="B382" s="37"/>
      <c r="C382" s="36"/>
      <c r="D382" s="38" t="str">
        <f>IF($B382="","",SUM(VLOOKUP($B382,DADOS!$C$2:$I1014,4,0)*$C382))</f>
        <v/>
      </c>
      <c r="E382" s="38" t="str">
        <f>IF($B382="","",SUM(VLOOKUP($B382,DADOS!$C$2:$I1014,6,0)*$C382))</f>
        <v/>
      </c>
      <c r="F382" s="39" t="str">
        <f>IF($E382="","",(VLOOKUP($B382,DADOS!$C$2:$I1014,7,0)))</f>
        <v/>
      </c>
      <c r="G382" s="40" t="str">
        <f t="shared" si="2"/>
        <v/>
      </c>
      <c r="H382" s="41"/>
      <c r="I382" s="42"/>
      <c r="J382" s="42"/>
      <c r="K382" s="42"/>
      <c r="L382" s="42"/>
      <c r="M382" s="42"/>
      <c r="N382" s="42"/>
      <c r="O382" s="42"/>
      <c r="P382" s="42"/>
      <c r="Q382" s="42"/>
      <c r="R382" s="42"/>
      <c r="S382" s="42"/>
      <c r="T382" s="42"/>
      <c r="U382" s="42"/>
      <c r="V382" s="42"/>
      <c r="W382" s="42"/>
      <c r="X382" s="42"/>
      <c r="Y382" s="42"/>
      <c r="Z382" s="42"/>
      <c r="AA382" s="42"/>
    </row>
    <row r="383">
      <c r="A383" s="36" t="str">
        <f>IF($B383="","",VLOOKUP($B383,DADOS!$C$2:$I1014,2,0))</f>
        <v/>
      </c>
      <c r="B383" s="37"/>
      <c r="C383" s="36"/>
      <c r="D383" s="38" t="str">
        <f>IF($B383="","",SUM(VLOOKUP($B383,DADOS!$C$2:$I1014,4,0)*$C383))</f>
        <v/>
      </c>
      <c r="E383" s="38" t="str">
        <f>IF($B383="","",SUM(VLOOKUP($B383,DADOS!$C$2:$I1014,6,0)*$C383))</f>
        <v/>
      </c>
      <c r="F383" s="39" t="str">
        <f>IF($E383="","",(VLOOKUP($B383,DADOS!$C$2:$I1014,7,0)))</f>
        <v/>
      </c>
      <c r="G383" s="40" t="str">
        <f t="shared" si="2"/>
        <v/>
      </c>
      <c r="H383" s="41"/>
      <c r="I383" s="42"/>
      <c r="J383" s="42"/>
      <c r="K383" s="42"/>
      <c r="L383" s="42"/>
      <c r="M383" s="42"/>
      <c r="N383" s="42"/>
      <c r="O383" s="42"/>
      <c r="P383" s="42"/>
      <c r="Q383" s="42"/>
      <c r="R383" s="42"/>
      <c r="S383" s="42"/>
      <c r="T383" s="42"/>
      <c r="U383" s="42"/>
      <c r="V383" s="42"/>
      <c r="W383" s="42"/>
      <c r="X383" s="42"/>
      <c r="Y383" s="42"/>
      <c r="Z383" s="42"/>
      <c r="AA383" s="42"/>
    </row>
    <row r="384">
      <c r="A384" s="36" t="str">
        <f>IF($B384="","",VLOOKUP($B384,DADOS!$C$2:$I1014,2,0))</f>
        <v/>
      </c>
      <c r="B384" s="37"/>
      <c r="C384" s="36"/>
      <c r="D384" s="38" t="str">
        <f>IF($B384="","",SUM(VLOOKUP($B384,DADOS!$C$2:$I1014,4,0)*$C384))</f>
        <v/>
      </c>
      <c r="E384" s="38" t="str">
        <f>IF($B384="","",SUM(VLOOKUP($B384,DADOS!$C$2:$I1014,6,0)*$C384))</f>
        <v/>
      </c>
      <c r="F384" s="39" t="str">
        <f>IF($E384="","",(VLOOKUP($B384,DADOS!$C$2:$I1014,7,0)))</f>
        <v/>
      </c>
      <c r="G384" s="40" t="str">
        <f t="shared" si="2"/>
        <v/>
      </c>
      <c r="H384" s="41"/>
      <c r="I384" s="42"/>
      <c r="J384" s="42"/>
      <c r="K384" s="42"/>
      <c r="L384" s="42"/>
      <c r="M384" s="42"/>
      <c r="N384" s="42"/>
      <c r="O384" s="42"/>
      <c r="P384" s="42"/>
      <c r="Q384" s="42"/>
      <c r="R384" s="42"/>
      <c r="S384" s="42"/>
      <c r="T384" s="42"/>
      <c r="U384" s="42"/>
      <c r="V384" s="42"/>
      <c r="W384" s="42"/>
      <c r="X384" s="42"/>
      <c r="Y384" s="42"/>
      <c r="Z384" s="42"/>
      <c r="AA384" s="42"/>
    </row>
    <row r="385">
      <c r="A385" s="36" t="str">
        <f>IF($B385="","",VLOOKUP($B385,DADOS!$C$2:$I1014,2,0))</f>
        <v/>
      </c>
      <c r="B385" s="37"/>
      <c r="C385" s="36"/>
      <c r="D385" s="38" t="str">
        <f>IF($B385="","",SUM(VLOOKUP($B385,DADOS!$C$2:$I1014,4,0)*$C385))</f>
        <v/>
      </c>
      <c r="E385" s="38" t="str">
        <f>IF($B385="","",SUM(VLOOKUP($B385,DADOS!$C$2:$I1014,6,0)*$C385))</f>
        <v/>
      </c>
      <c r="F385" s="39" t="str">
        <f>IF($E385="","",(VLOOKUP($B385,DADOS!$C$2:$I1014,7,0)))</f>
        <v/>
      </c>
      <c r="G385" s="40" t="str">
        <f t="shared" si="2"/>
        <v/>
      </c>
      <c r="H385" s="41"/>
      <c r="I385" s="42"/>
      <c r="J385" s="42"/>
      <c r="K385" s="42"/>
      <c r="L385" s="42"/>
      <c r="M385" s="42"/>
      <c r="N385" s="42"/>
      <c r="O385" s="42"/>
      <c r="P385" s="42"/>
      <c r="Q385" s="42"/>
      <c r="R385" s="42"/>
      <c r="S385" s="42"/>
      <c r="T385" s="42"/>
      <c r="U385" s="42"/>
      <c r="V385" s="42"/>
      <c r="W385" s="42"/>
      <c r="X385" s="42"/>
      <c r="Y385" s="42"/>
      <c r="Z385" s="42"/>
      <c r="AA385" s="42"/>
    </row>
    <row r="386">
      <c r="A386" s="36" t="str">
        <f>IF($B386="","",VLOOKUP($B386,DADOS!$C$2:$I1014,2,0))</f>
        <v/>
      </c>
      <c r="B386" s="37"/>
      <c r="C386" s="36"/>
      <c r="D386" s="38" t="str">
        <f>IF($B386="","",SUM(VLOOKUP($B386,DADOS!$C$2:$I1014,4,0)*$C386))</f>
        <v/>
      </c>
      <c r="E386" s="38" t="str">
        <f>IF($B386="","",SUM(VLOOKUP($B386,DADOS!$C$2:$I1014,6,0)*$C386))</f>
        <v/>
      </c>
      <c r="F386" s="39" t="str">
        <f>IF($E386="","",(VLOOKUP($B386,DADOS!$C$2:$I1014,7,0)))</f>
        <v/>
      </c>
      <c r="G386" s="40" t="str">
        <f t="shared" si="2"/>
        <v/>
      </c>
      <c r="H386" s="41"/>
      <c r="I386" s="42"/>
      <c r="J386" s="42"/>
      <c r="K386" s="42"/>
      <c r="L386" s="42"/>
      <c r="M386" s="42"/>
      <c r="N386" s="42"/>
      <c r="O386" s="42"/>
      <c r="P386" s="42"/>
      <c r="Q386" s="42"/>
      <c r="R386" s="42"/>
      <c r="S386" s="42"/>
      <c r="T386" s="42"/>
      <c r="U386" s="42"/>
      <c r="V386" s="42"/>
      <c r="W386" s="42"/>
      <c r="X386" s="42"/>
      <c r="Y386" s="42"/>
      <c r="Z386" s="42"/>
      <c r="AA386" s="42"/>
    </row>
    <row r="387">
      <c r="A387" s="36" t="str">
        <f>IF($B387="","",VLOOKUP($B387,DADOS!$C$2:$I1014,2,0))</f>
        <v/>
      </c>
      <c r="B387" s="37"/>
      <c r="C387" s="36"/>
      <c r="D387" s="38" t="str">
        <f>IF($B387="","",SUM(VLOOKUP($B387,DADOS!$C$2:$I1014,4,0)*$C387))</f>
        <v/>
      </c>
      <c r="E387" s="38" t="str">
        <f>IF($B387="","",SUM(VLOOKUP($B387,DADOS!$C$2:$I1014,6,0)*$C387))</f>
        <v/>
      </c>
      <c r="F387" s="39" t="str">
        <f>IF($E387="","",(VLOOKUP($B387,DADOS!$C$2:$I1014,7,0)))</f>
        <v/>
      </c>
      <c r="G387" s="40" t="str">
        <f t="shared" si="2"/>
        <v/>
      </c>
      <c r="H387" s="41"/>
      <c r="I387" s="42"/>
      <c r="J387" s="42"/>
      <c r="K387" s="42"/>
      <c r="L387" s="42"/>
      <c r="M387" s="42"/>
      <c r="N387" s="42"/>
      <c r="O387" s="42"/>
      <c r="P387" s="42"/>
      <c r="Q387" s="42"/>
      <c r="R387" s="42"/>
      <c r="S387" s="42"/>
      <c r="T387" s="42"/>
      <c r="U387" s="42"/>
      <c r="V387" s="42"/>
      <c r="W387" s="42"/>
      <c r="X387" s="42"/>
      <c r="Y387" s="42"/>
      <c r="Z387" s="42"/>
      <c r="AA387" s="42"/>
    </row>
    <row r="388">
      <c r="A388" s="36" t="str">
        <f>IF($B388="","",VLOOKUP($B388,DADOS!$C$2:$I1014,2,0))</f>
        <v/>
      </c>
      <c r="B388" s="37"/>
      <c r="C388" s="36"/>
      <c r="D388" s="38" t="str">
        <f>IF($B388="","",SUM(VLOOKUP($B388,DADOS!$C$2:$I1014,4,0)*$C388))</f>
        <v/>
      </c>
      <c r="E388" s="38" t="str">
        <f>IF($B388="","",SUM(VLOOKUP($B388,DADOS!$C$2:$I1014,6,0)*$C388))</f>
        <v/>
      </c>
      <c r="F388" s="39" t="str">
        <f>IF($E388="","",(VLOOKUP($B388,DADOS!$C$2:$I1014,7,0)))</f>
        <v/>
      </c>
      <c r="G388" s="40" t="str">
        <f t="shared" si="2"/>
        <v/>
      </c>
      <c r="H388" s="41"/>
      <c r="I388" s="42"/>
      <c r="J388" s="42"/>
      <c r="K388" s="42"/>
      <c r="L388" s="42"/>
      <c r="M388" s="42"/>
      <c r="N388" s="42"/>
      <c r="O388" s="42"/>
      <c r="P388" s="42"/>
      <c r="Q388" s="42"/>
      <c r="R388" s="42"/>
      <c r="S388" s="42"/>
      <c r="T388" s="42"/>
      <c r="U388" s="42"/>
      <c r="V388" s="42"/>
      <c r="W388" s="42"/>
      <c r="X388" s="42"/>
      <c r="Y388" s="42"/>
      <c r="Z388" s="42"/>
      <c r="AA388" s="42"/>
    </row>
    <row r="389">
      <c r="A389" s="36" t="str">
        <f>IF($B389="","",VLOOKUP($B389,DADOS!$C$2:$I1014,2,0))</f>
        <v/>
      </c>
      <c r="B389" s="37"/>
      <c r="C389" s="36"/>
      <c r="D389" s="38" t="str">
        <f>IF($B389="","",SUM(VLOOKUP($B389,DADOS!$C$2:$I1014,4,0)*$C389))</f>
        <v/>
      </c>
      <c r="E389" s="38" t="str">
        <f>IF($B389="","",SUM(VLOOKUP($B389,DADOS!$C$2:$I1014,6,0)*$C389))</f>
        <v/>
      </c>
      <c r="F389" s="39" t="str">
        <f>IF($E389="","",(VLOOKUP($B389,DADOS!$C$2:$I1014,7,0)))</f>
        <v/>
      </c>
      <c r="G389" s="40" t="str">
        <f t="shared" si="2"/>
        <v/>
      </c>
      <c r="H389" s="41"/>
      <c r="I389" s="42"/>
      <c r="J389" s="42"/>
      <c r="K389" s="42"/>
      <c r="L389" s="42"/>
      <c r="M389" s="42"/>
      <c r="N389" s="42"/>
      <c r="O389" s="42"/>
      <c r="P389" s="42"/>
      <c r="Q389" s="42"/>
      <c r="R389" s="42"/>
      <c r="S389" s="42"/>
      <c r="T389" s="42"/>
      <c r="U389" s="42"/>
      <c r="V389" s="42"/>
      <c r="W389" s="42"/>
      <c r="X389" s="42"/>
      <c r="Y389" s="42"/>
      <c r="Z389" s="42"/>
      <c r="AA389" s="42"/>
    </row>
    <row r="390">
      <c r="A390" s="36" t="str">
        <f>IF($B390="","",VLOOKUP($B390,DADOS!$C$2:$I1014,2,0))</f>
        <v/>
      </c>
      <c r="B390" s="37"/>
      <c r="C390" s="36"/>
      <c r="D390" s="38" t="str">
        <f>IF($B390="","",SUM(VLOOKUP($B390,DADOS!$C$2:$I1014,4,0)*$C390))</f>
        <v/>
      </c>
      <c r="E390" s="38" t="str">
        <f>IF($B390="","",SUM(VLOOKUP($B390,DADOS!$C$2:$I1014,6,0)*$C390))</f>
        <v/>
      </c>
      <c r="F390" s="39" t="str">
        <f>IF($E390="","",(VLOOKUP($B390,DADOS!$C$2:$I1014,7,0)))</f>
        <v/>
      </c>
      <c r="G390" s="40" t="str">
        <f t="shared" si="2"/>
        <v/>
      </c>
      <c r="H390" s="41"/>
      <c r="I390" s="42"/>
      <c r="J390" s="42"/>
      <c r="K390" s="42"/>
      <c r="L390" s="42"/>
      <c r="M390" s="42"/>
      <c r="N390" s="42"/>
      <c r="O390" s="42"/>
      <c r="P390" s="42"/>
      <c r="Q390" s="42"/>
      <c r="R390" s="42"/>
      <c r="S390" s="42"/>
      <c r="T390" s="42"/>
      <c r="U390" s="42"/>
      <c r="V390" s="42"/>
      <c r="W390" s="42"/>
      <c r="X390" s="42"/>
      <c r="Y390" s="42"/>
      <c r="Z390" s="42"/>
      <c r="AA390" s="42"/>
    </row>
    <row r="391">
      <c r="A391" s="36" t="str">
        <f>IF($B391="","",VLOOKUP($B391,DADOS!$C$2:$I1014,2,0))</f>
        <v/>
      </c>
      <c r="B391" s="37"/>
      <c r="C391" s="36"/>
      <c r="D391" s="38" t="str">
        <f>IF($B391="","",SUM(VLOOKUP($B391,DADOS!$C$2:$I1014,4,0)*$C391))</f>
        <v/>
      </c>
      <c r="E391" s="38" t="str">
        <f>IF($B391="","",SUM(VLOOKUP($B391,DADOS!$C$2:$I1014,6,0)*$C391))</f>
        <v/>
      </c>
      <c r="F391" s="39" t="str">
        <f>IF($E391="","",(VLOOKUP($B391,DADOS!$C$2:$I1014,7,0)))</f>
        <v/>
      </c>
      <c r="G391" s="40" t="str">
        <f t="shared" si="2"/>
        <v/>
      </c>
      <c r="H391" s="41"/>
      <c r="I391" s="42"/>
      <c r="J391" s="42"/>
      <c r="K391" s="42"/>
      <c r="L391" s="42"/>
      <c r="M391" s="42"/>
      <c r="N391" s="42"/>
      <c r="O391" s="42"/>
      <c r="P391" s="42"/>
      <c r="Q391" s="42"/>
      <c r="R391" s="42"/>
      <c r="S391" s="42"/>
      <c r="T391" s="42"/>
      <c r="U391" s="42"/>
      <c r="V391" s="42"/>
      <c r="W391" s="42"/>
      <c r="X391" s="42"/>
      <c r="Y391" s="42"/>
      <c r="Z391" s="42"/>
      <c r="AA391" s="42"/>
    </row>
    <row r="392">
      <c r="A392" s="36" t="str">
        <f>IF($B392="","",VLOOKUP($B392,DADOS!$C$2:$I1014,2,0))</f>
        <v/>
      </c>
      <c r="B392" s="37"/>
      <c r="C392" s="36"/>
      <c r="D392" s="38" t="str">
        <f>IF($B392="","",SUM(VLOOKUP($B392,DADOS!$C$2:$I1014,4,0)*$C392))</f>
        <v/>
      </c>
      <c r="E392" s="38" t="str">
        <f>IF($B392="","",SUM(VLOOKUP($B392,DADOS!$C$2:$I1014,6,0)*$C392))</f>
        <v/>
      </c>
      <c r="F392" s="39" t="str">
        <f>IF($E392="","",(VLOOKUP($B392,DADOS!$C$2:$I1014,7,0)))</f>
        <v/>
      </c>
      <c r="G392" s="40" t="str">
        <f t="shared" si="2"/>
        <v/>
      </c>
      <c r="H392" s="41"/>
      <c r="I392" s="42"/>
      <c r="J392" s="42"/>
      <c r="K392" s="42"/>
      <c r="L392" s="42"/>
      <c r="M392" s="42"/>
      <c r="N392" s="42"/>
      <c r="O392" s="42"/>
      <c r="P392" s="42"/>
      <c r="Q392" s="42"/>
      <c r="R392" s="42"/>
      <c r="S392" s="42"/>
      <c r="T392" s="42"/>
      <c r="U392" s="42"/>
      <c r="V392" s="42"/>
      <c r="W392" s="42"/>
      <c r="X392" s="42"/>
      <c r="Y392" s="42"/>
      <c r="Z392" s="42"/>
      <c r="AA392" s="42"/>
    </row>
    <row r="393">
      <c r="A393" s="36" t="str">
        <f>IF($B393="","",VLOOKUP($B393,DADOS!$C$2:$I1014,2,0))</f>
        <v/>
      </c>
      <c r="B393" s="37"/>
      <c r="C393" s="36"/>
      <c r="D393" s="38" t="str">
        <f>IF($B393="","",SUM(VLOOKUP($B393,DADOS!$C$2:$I1014,4,0)*$C393))</f>
        <v/>
      </c>
      <c r="E393" s="38" t="str">
        <f>IF($B393="","",SUM(VLOOKUP($B393,DADOS!$C$2:$I1014,6,0)*$C393))</f>
        <v/>
      </c>
      <c r="F393" s="39" t="str">
        <f>IF($E393="","",(VLOOKUP($B393,DADOS!$C$2:$I1014,7,0)))</f>
        <v/>
      </c>
      <c r="G393" s="40" t="str">
        <f t="shared" si="2"/>
        <v/>
      </c>
      <c r="H393" s="41"/>
      <c r="I393" s="42"/>
      <c r="J393" s="42"/>
      <c r="K393" s="42"/>
      <c r="L393" s="42"/>
      <c r="M393" s="42"/>
      <c r="N393" s="42"/>
      <c r="O393" s="42"/>
      <c r="P393" s="42"/>
      <c r="Q393" s="42"/>
      <c r="R393" s="42"/>
      <c r="S393" s="42"/>
      <c r="T393" s="42"/>
      <c r="U393" s="42"/>
      <c r="V393" s="42"/>
      <c r="W393" s="42"/>
      <c r="X393" s="42"/>
      <c r="Y393" s="42"/>
      <c r="Z393" s="42"/>
      <c r="AA393" s="42"/>
    </row>
    <row r="394">
      <c r="A394" s="36" t="str">
        <f>IF($B394="","",VLOOKUP($B394,DADOS!$C$2:$I1014,2,0))</f>
        <v/>
      </c>
      <c r="B394" s="37"/>
      <c r="C394" s="36"/>
      <c r="D394" s="38" t="str">
        <f>IF($B394="","",SUM(VLOOKUP($B394,DADOS!$C$2:$I1014,4,0)*$C394))</f>
        <v/>
      </c>
      <c r="E394" s="38" t="str">
        <f>IF($B394="","",SUM(VLOOKUP($B394,DADOS!$C$2:$I1014,6,0)*$C394))</f>
        <v/>
      </c>
      <c r="F394" s="39" t="str">
        <f>IF($E394="","",(VLOOKUP($B394,DADOS!$C$2:$I1014,7,0)))</f>
        <v/>
      </c>
      <c r="G394" s="40" t="str">
        <f t="shared" si="2"/>
        <v/>
      </c>
      <c r="H394" s="41"/>
      <c r="I394" s="42"/>
      <c r="J394" s="42"/>
      <c r="K394" s="42"/>
      <c r="L394" s="42"/>
      <c r="M394" s="42"/>
      <c r="N394" s="42"/>
      <c r="O394" s="42"/>
      <c r="P394" s="42"/>
      <c r="Q394" s="42"/>
      <c r="R394" s="42"/>
      <c r="S394" s="42"/>
      <c r="T394" s="42"/>
      <c r="U394" s="42"/>
      <c r="V394" s="42"/>
      <c r="W394" s="42"/>
      <c r="X394" s="42"/>
      <c r="Y394" s="42"/>
      <c r="Z394" s="42"/>
      <c r="AA394" s="42"/>
    </row>
    <row r="395">
      <c r="A395" s="36" t="str">
        <f>IF($B395="","",VLOOKUP($B395,DADOS!$C$2:$I1014,2,0))</f>
        <v/>
      </c>
      <c r="B395" s="37"/>
      <c r="C395" s="36"/>
      <c r="D395" s="38" t="str">
        <f>IF($B395="","",SUM(VLOOKUP($B395,DADOS!$C$2:$I1014,4,0)*$C395))</f>
        <v/>
      </c>
      <c r="E395" s="38" t="str">
        <f>IF($B395="","",SUM(VLOOKUP($B395,DADOS!$C$2:$I1014,6,0)*$C395))</f>
        <v/>
      </c>
      <c r="F395" s="39" t="str">
        <f>IF($E395="","",(VLOOKUP($B395,DADOS!$C$2:$I1014,7,0)))</f>
        <v/>
      </c>
      <c r="G395" s="40" t="str">
        <f t="shared" si="2"/>
        <v/>
      </c>
      <c r="H395" s="41"/>
      <c r="I395" s="42"/>
      <c r="J395" s="42"/>
      <c r="K395" s="42"/>
      <c r="L395" s="42"/>
      <c r="M395" s="42"/>
      <c r="N395" s="42"/>
      <c r="O395" s="42"/>
      <c r="P395" s="42"/>
      <c r="Q395" s="42"/>
      <c r="R395" s="42"/>
      <c r="S395" s="42"/>
      <c r="T395" s="42"/>
      <c r="U395" s="42"/>
      <c r="V395" s="42"/>
      <c r="W395" s="42"/>
      <c r="X395" s="42"/>
      <c r="Y395" s="42"/>
      <c r="Z395" s="42"/>
      <c r="AA395" s="42"/>
    </row>
    <row r="396">
      <c r="A396" s="36" t="str">
        <f>IF($B396="","",VLOOKUP($B396,DADOS!$C$2:$I1014,2,0))</f>
        <v/>
      </c>
      <c r="B396" s="37"/>
      <c r="C396" s="36"/>
      <c r="D396" s="38" t="str">
        <f>IF($B396="","",SUM(VLOOKUP($B396,DADOS!$C$2:$I1014,4,0)*$C396))</f>
        <v/>
      </c>
      <c r="E396" s="38" t="str">
        <f>IF($B396="","",SUM(VLOOKUP($B396,DADOS!$C$2:$I1014,6,0)*$C396))</f>
        <v/>
      </c>
      <c r="F396" s="39" t="str">
        <f>IF($E396="","",(VLOOKUP($B396,DADOS!$C$2:$I1014,7,0)))</f>
        <v/>
      </c>
      <c r="G396" s="40" t="str">
        <f t="shared" si="2"/>
        <v/>
      </c>
      <c r="H396" s="41"/>
      <c r="I396" s="42"/>
      <c r="J396" s="42"/>
      <c r="K396" s="42"/>
      <c r="L396" s="42"/>
      <c r="M396" s="42"/>
      <c r="N396" s="42"/>
      <c r="O396" s="42"/>
      <c r="P396" s="42"/>
      <c r="Q396" s="42"/>
      <c r="R396" s="42"/>
      <c r="S396" s="42"/>
      <c r="T396" s="42"/>
      <c r="U396" s="42"/>
      <c r="V396" s="42"/>
      <c r="W396" s="42"/>
      <c r="X396" s="42"/>
      <c r="Y396" s="42"/>
      <c r="Z396" s="42"/>
      <c r="AA396" s="42"/>
    </row>
    <row r="397">
      <c r="A397" s="36" t="str">
        <f>IF($B397="","",VLOOKUP($B397,DADOS!$C$2:$I1014,2,0))</f>
        <v/>
      </c>
      <c r="B397" s="37"/>
      <c r="C397" s="36"/>
      <c r="D397" s="38" t="str">
        <f>IF($B397="","",SUM(VLOOKUP($B397,DADOS!$C$2:$I1014,4,0)*$C397))</f>
        <v/>
      </c>
      <c r="E397" s="38" t="str">
        <f>IF($B397="","",SUM(VLOOKUP($B397,DADOS!$C$2:$I1014,6,0)*$C397))</f>
        <v/>
      </c>
      <c r="F397" s="39" t="str">
        <f>IF($E397="","",(VLOOKUP($B397,DADOS!$C$2:$I1014,7,0)))</f>
        <v/>
      </c>
      <c r="G397" s="40" t="str">
        <f t="shared" si="2"/>
        <v/>
      </c>
      <c r="H397" s="41"/>
      <c r="I397" s="42"/>
      <c r="J397" s="42"/>
      <c r="K397" s="42"/>
      <c r="L397" s="42"/>
      <c r="M397" s="42"/>
      <c r="N397" s="42"/>
      <c r="O397" s="42"/>
      <c r="P397" s="42"/>
      <c r="Q397" s="42"/>
      <c r="R397" s="42"/>
      <c r="S397" s="42"/>
      <c r="T397" s="42"/>
      <c r="U397" s="42"/>
      <c r="V397" s="42"/>
      <c r="W397" s="42"/>
      <c r="X397" s="42"/>
      <c r="Y397" s="42"/>
      <c r="Z397" s="42"/>
      <c r="AA397" s="42"/>
    </row>
    <row r="398">
      <c r="A398" s="36" t="str">
        <f>IF($B398="","",VLOOKUP($B398,DADOS!$C$2:$I1014,2,0))</f>
        <v/>
      </c>
      <c r="B398" s="37"/>
      <c r="C398" s="36"/>
      <c r="D398" s="38" t="str">
        <f>IF($B398="","",SUM(VLOOKUP($B398,DADOS!$C$2:$I1014,4,0)*$C398))</f>
        <v/>
      </c>
      <c r="E398" s="38" t="str">
        <f>IF($B398="","",SUM(VLOOKUP($B398,DADOS!$C$2:$I1014,6,0)*$C398))</f>
        <v/>
      </c>
      <c r="F398" s="39" t="str">
        <f>IF($E398="","",(VLOOKUP($B398,DADOS!$C$2:$I1014,7,0)))</f>
        <v/>
      </c>
      <c r="G398" s="40" t="str">
        <f t="shared" si="2"/>
        <v/>
      </c>
      <c r="H398" s="41"/>
      <c r="I398" s="42"/>
      <c r="J398" s="42"/>
      <c r="K398" s="42"/>
      <c r="L398" s="42"/>
      <c r="M398" s="42"/>
      <c r="N398" s="42"/>
      <c r="O398" s="42"/>
      <c r="P398" s="42"/>
      <c r="Q398" s="42"/>
      <c r="R398" s="42"/>
      <c r="S398" s="42"/>
      <c r="T398" s="42"/>
      <c r="U398" s="42"/>
      <c r="V398" s="42"/>
      <c r="W398" s="42"/>
      <c r="X398" s="42"/>
      <c r="Y398" s="42"/>
      <c r="Z398" s="42"/>
      <c r="AA398" s="42"/>
    </row>
    <row r="399">
      <c r="A399" s="36" t="str">
        <f>IF($B399="","",VLOOKUP($B399,DADOS!$C$2:$I1014,2,0))</f>
        <v/>
      </c>
      <c r="B399" s="37"/>
      <c r="C399" s="36"/>
      <c r="D399" s="38" t="str">
        <f>IF($B399="","",SUM(VLOOKUP($B399,DADOS!$C$2:$I1014,4,0)*$C399))</f>
        <v/>
      </c>
      <c r="E399" s="38" t="str">
        <f>IF($B399="","",SUM(VLOOKUP($B399,DADOS!$C$2:$I1014,6,0)*$C399))</f>
        <v/>
      </c>
      <c r="F399" s="39" t="str">
        <f>IF($E399="","",(VLOOKUP($B399,DADOS!$C$2:$I1014,7,0)))</f>
        <v/>
      </c>
      <c r="G399" s="40" t="str">
        <f t="shared" si="2"/>
        <v/>
      </c>
      <c r="H399" s="41"/>
      <c r="I399" s="42"/>
      <c r="J399" s="42"/>
      <c r="K399" s="42"/>
      <c r="L399" s="42"/>
      <c r="M399" s="42"/>
      <c r="N399" s="42"/>
      <c r="O399" s="42"/>
      <c r="P399" s="42"/>
      <c r="Q399" s="42"/>
      <c r="R399" s="42"/>
      <c r="S399" s="42"/>
      <c r="T399" s="42"/>
      <c r="U399" s="42"/>
      <c r="V399" s="42"/>
      <c r="W399" s="42"/>
      <c r="X399" s="42"/>
      <c r="Y399" s="42"/>
      <c r="Z399" s="42"/>
      <c r="AA399" s="42"/>
    </row>
    <row r="400">
      <c r="A400" s="36" t="str">
        <f>IF($B400="","",VLOOKUP($B400,DADOS!$C$2:$I1014,2,0))</f>
        <v/>
      </c>
      <c r="B400" s="37"/>
      <c r="C400" s="36"/>
      <c r="D400" s="38" t="str">
        <f>IF($B400="","",SUM(VLOOKUP($B400,DADOS!$C$2:$I1014,4,0)*$C400))</f>
        <v/>
      </c>
      <c r="E400" s="38" t="str">
        <f>IF($B400="","",SUM(VLOOKUP($B400,DADOS!$C$2:$I1014,6,0)*$C400))</f>
        <v/>
      </c>
      <c r="F400" s="39" t="str">
        <f>IF($E400="","",(VLOOKUP($B400,DADOS!$C$2:$I1014,7,0)))</f>
        <v/>
      </c>
      <c r="G400" s="40" t="str">
        <f t="shared" si="2"/>
        <v/>
      </c>
      <c r="H400" s="41"/>
      <c r="I400" s="42"/>
      <c r="J400" s="42"/>
      <c r="K400" s="42"/>
      <c r="L400" s="42"/>
      <c r="M400" s="42"/>
      <c r="N400" s="42"/>
      <c r="O400" s="42"/>
      <c r="P400" s="42"/>
      <c r="Q400" s="42"/>
      <c r="R400" s="42"/>
      <c r="S400" s="42"/>
      <c r="T400" s="42"/>
      <c r="U400" s="42"/>
      <c r="V400" s="42"/>
      <c r="W400" s="42"/>
      <c r="X400" s="42"/>
      <c r="Y400" s="42"/>
      <c r="Z400" s="42"/>
      <c r="AA400" s="42"/>
    </row>
    <row r="401">
      <c r="A401" s="36" t="str">
        <f>IF($B401="","",VLOOKUP($B401,DADOS!$C$2:$I1014,2,0))</f>
        <v/>
      </c>
      <c r="B401" s="37"/>
      <c r="C401" s="36"/>
      <c r="D401" s="38" t="str">
        <f>IF($B401="","",SUM(VLOOKUP($B401,DADOS!$C$2:$I1014,4,0)*$C401))</f>
        <v/>
      </c>
      <c r="E401" s="38" t="str">
        <f>IF($B401="","",SUM(VLOOKUP($B401,DADOS!$C$2:$I1014,6,0)*$C401))</f>
        <v/>
      </c>
      <c r="F401" s="39" t="str">
        <f>IF($E401="","",(VLOOKUP($B401,DADOS!$C$2:$I1014,7,0)))</f>
        <v/>
      </c>
      <c r="G401" s="40" t="str">
        <f t="shared" si="2"/>
        <v/>
      </c>
      <c r="H401" s="41"/>
      <c r="I401" s="42"/>
      <c r="J401" s="42"/>
      <c r="K401" s="42"/>
      <c r="L401" s="42"/>
      <c r="M401" s="42"/>
      <c r="N401" s="42"/>
      <c r="O401" s="42"/>
      <c r="P401" s="42"/>
      <c r="Q401" s="42"/>
      <c r="R401" s="42"/>
      <c r="S401" s="42"/>
      <c r="T401" s="42"/>
      <c r="U401" s="42"/>
      <c r="V401" s="42"/>
      <c r="W401" s="42"/>
      <c r="X401" s="42"/>
      <c r="Y401" s="42"/>
      <c r="Z401" s="42"/>
      <c r="AA401" s="42"/>
    </row>
    <row r="402">
      <c r="A402" s="36" t="str">
        <f>IF($B402="","",VLOOKUP($B402,DADOS!$C$2:$I1014,2,0))</f>
        <v/>
      </c>
      <c r="B402" s="37"/>
      <c r="C402" s="36"/>
      <c r="D402" s="38" t="str">
        <f>IF($B402="","",SUM(VLOOKUP($B402,DADOS!$C$2:$I1014,4,0)*$C402))</f>
        <v/>
      </c>
      <c r="E402" s="38" t="str">
        <f>IF($B402="","",SUM(VLOOKUP($B402,DADOS!$C$2:$I1014,6,0)*$C402))</f>
        <v/>
      </c>
      <c r="F402" s="39" t="str">
        <f>IF($E402="","",(VLOOKUP($B402,DADOS!$C$2:$I1014,7,0)))</f>
        <v/>
      </c>
      <c r="G402" s="40" t="str">
        <f t="shared" si="2"/>
        <v/>
      </c>
      <c r="H402" s="41"/>
      <c r="I402" s="42"/>
      <c r="J402" s="42"/>
      <c r="K402" s="42"/>
      <c r="L402" s="42"/>
      <c r="M402" s="42"/>
      <c r="N402" s="42"/>
      <c r="O402" s="42"/>
      <c r="P402" s="42"/>
      <c r="Q402" s="42"/>
      <c r="R402" s="42"/>
      <c r="S402" s="42"/>
      <c r="T402" s="42"/>
      <c r="U402" s="42"/>
      <c r="V402" s="42"/>
      <c r="W402" s="42"/>
      <c r="X402" s="42"/>
      <c r="Y402" s="42"/>
      <c r="Z402" s="42"/>
      <c r="AA402" s="42"/>
    </row>
    <row r="403">
      <c r="A403" s="36" t="str">
        <f>IF($B403="","",VLOOKUP($B403,DADOS!$C$2:$I1014,2,0))</f>
        <v/>
      </c>
      <c r="B403" s="37"/>
      <c r="C403" s="36"/>
      <c r="D403" s="38" t="str">
        <f>IF($B403="","",SUM(VLOOKUP($B403,DADOS!$C$2:$I1014,4,0)*$C403))</f>
        <v/>
      </c>
      <c r="E403" s="38" t="str">
        <f>IF($B403="","",SUM(VLOOKUP($B403,DADOS!$C$2:$I1014,6,0)*$C403))</f>
        <v/>
      </c>
      <c r="F403" s="39" t="str">
        <f>IF($E403="","",(VLOOKUP($B403,DADOS!$C$2:$I1014,7,0)))</f>
        <v/>
      </c>
      <c r="G403" s="40" t="str">
        <f t="shared" si="2"/>
        <v/>
      </c>
      <c r="H403" s="41"/>
      <c r="I403" s="42"/>
      <c r="J403" s="42"/>
      <c r="K403" s="42"/>
      <c r="L403" s="42"/>
      <c r="M403" s="42"/>
      <c r="N403" s="42"/>
      <c r="O403" s="42"/>
      <c r="P403" s="42"/>
      <c r="Q403" s="42"/>
      <c r="R403" s="42"/>
      <c r="S403" s="42"/>
      <c r="T403" s="42"/>
      <c r="U403" s="42"/>
      <c r="V403" s="42"/>
      <c r="W403" s="42"/>
      <c r="X403" s="42"/>
      <c r="Y403" s="42"/>
      <c r="Z403" s="42"/>
      <c r="AA403" s="42"/>
    </row>
    <row r="404">
      <c r="A404" s="36" t="str">
        <f>IF($B404="","",VLOOKUP($B404,DADOS!$C$2:$I1014,2,0))</f>
        <v/>
      </c>
      <c r="B404" s="37"/>
      <c r="C404" s="36"/>
      <c r="D404" s="38" t="str">
        <f>IF($B404="","",SUM(VLOOKUP($B404,DADOS!$C$2:$I1014,4,0)*$C404))</f>
        <v/>
      </c>
      <c r="E404" s="38" t="str">
        <f>IF($B404="","",SUM(VLOOKUP($B404,DADOS!$C$2:$I1014,6,0)*$C404))</f>
        <v/>
      </c>
      <c r="F404" s="39" t="str">
        <f>IF($E404="","",(VLOOKUP($B404,DADOS!$C$2:$I1014,7,0)))</f>
        <v/>
      </c>
      <c r="G404" s="40" t="str">
        <f t="shared" si="2"/>
        <v/>
      </c>
      <c r="H404" s="41"/>
      <c r="I404" s="42"/>
      <c r="J404" s="42"/>
      <c r="K404" s="42"/>
      <c r="L404" s="42"/>
      <c r="M404" s="42"/>
      <c r="N404" s="42"/>
      <c r="O404" s="42"/>
      <c r="P404" s="42"/>
      <c r="Q404" s="42"/>
      <c r="R404" s="42"/>
      <c r="S404" s="42"/>
      <c r="T404" s="42"/>
      <c r="U404" s="42"/>
      <c r="V404" s="42"/>
      <c r="W404" s="42"/>
      <c r="X404" s="42"/>
      <c r="Y404" s="42"/>
      <c r="Z404" s="42"/>
      <c r="AA404" s="42"/>
    </row>
    <row r="405">
      <c r="A405" s="36" t="str">
        <f>IF($B405="","",VLOOKUP($B405,DADOS!$C$2:$I1014,2,0))</f>
        <v/>
      </c>
      <c r="B405" s="37"/>
      <c r="C405" s="36"/>
      <c r="D405" s="38" t="str">
        <f>IF($B405="","",SUM(VLOOKUP($B405,DADOS!$C$2:$I1014,4,0)*$C405))</f>
        <v/>
      </c>
      <c r="E405" s="38" t="str">
        <f>IF($B405="","",SUM(VLOOKUP($B405,DADOS!$C$2:$I1014,6,0)*$C405))</f>
        <v/>
      </c>
      <c r="F405" s="39" t="str">
        <f>IF($E405="","",(VLOOKUP($B405,DADOS!$C$2:$I1014,7,0)))</f>
        <v/>
      </c>
      <c r="G405" s="40" t="str">
        <f t="shared" si="2"/>
        <v/>
      </c>
      <c r="H405" s="41"/>
      <c r="I405" s="42"/>
      <c r="J405" s="42"/>
      <c r="K405" s="42"/>
      <c r="L405" s="42"/>
      <c r="M405" s="42"/>
      <c r="N405" s="42"/>
      <c r="O405" s="42"/>
      <c r="P405" s="42"/>
      <c r="Q405" s="42"/>
      <c r="R405" s="42"/>
      <c r="S405" s="42"/>
      <c r="T405" s="42"/>
      <c r="U405" s="42"/>
      <c r="V405" s="42"/>
      <c r="W405" s="42"/>
      <c r="X405" s="42"/>
      <c r="Y405" s="42"/>
      <c r="Z405" s="42"/>
      <c r="AA405" s="42"/>
    </row>
    <row r="406">
      <c r="A406" s="36" t="str">
        <f>IF($B406="","",VLOOKUP($B406,DADOS!$C$2:$I1014,2,0))</f>
        <v/>
      </c>
      <c r="B406" s="37"/>
      <c r="C406" s="36"/>
      <c r="D406" s="38" t="str">
        <f>IF($B406="","",SUM(VLOOKUP($B406,DADOS!$C$2:$I1014,4,0)*$C406))</f>
        <v/>
      </c>
      <c r="E406" s="38" t="str">
        <f>IF($B406="","",SUM(VLOOKUP($B406,DADOS!$C$2:$I1014,6,0)*$C406))</f>
        <v/>
      </c>
      <c r="F406" s="39" t="str">
        <f>IF($E406="","",(VLOOKUP($B406,DADOS!$C$2:$I1014,7,0)))</f>
        <v/>
      </c>
      <c r="G406" s="40" t="str">
        <f t="shared" si="2"/>
        <v/>
      </c>
      <c r="H406" s="41"/>
      <c r="I406" s="42"/>
      <c r="J406" s="42"/>
      <c r="K406" s="42"/>
      <c r="L406" s="42"/>
      <c r="M406" s="42"/>
      <c r="N406" s="42"/>
      <c r="O406" s="42"/>
      <c r="P406" s="42"/>
      <c r="Q406" s="42"/>
      <c r="R406" s="42"/>
      <c r="S406" s="42"/>
      <c r="T406" s="42"/>
      <c r="U406" s="42"/>
      <c r="V406" s="42"/>
      <c r="W406" s="42"/>
      <c r="X406" s="42"/>
      <c r="Y406" s="42"/>
      <c r="Z406" s="42"/>
      <c r="AA406" s="42"/>
    </row>
    <row r="407">
      <c r="A407" s="36" t="str">
        <f>IF($B407="","",VLOOKUP($B407,DADOS!$C$2:$I1014,2,0))</f>
        <v/>
      </c>
      <c r="B407" s="37"/>
      <c r="C407" s="36"/>
      <c r="D407" s="38" t="str">
        <f>IF($B407="","",SUM(VLOOKUP($B407,DADOS!$C$2:$I1014,4,0)*$C407))</f>
        <v/>
      </c>
      <c r="E407" s="38" t="str">
        <f>IF($B407="","",SUM(VLOOKUP($B407,DADOS!$C$2:$I1014,6,0)*$C407))</f>
        <v/>
      </c>
      <c r="F407" s="39" t="str">
        <f>IF($E407="","",(VLOOKUP($B407,DADOS!$C$2:$I1014,7,0)))</f>
        <v/>
      </c>
      <c r="G407" s="40" t="str">
        <f t="shared" si="2"/>
        <v/>
      </c>
      <c r="H407" s="41"/>
      <c r="I407" s="42"/>
      <c r="J407" s="42"/>
      <c r="K407" s="42"/>
      <c r="L407" s="42"/>
      <c r="M407" s="42"/>
      <c r="N407" s="42"/>
      <c r="O407" s="42"/>
      <c r="P407" s="42"/>
      <c r="Q407" s="42"/>
      <c r="R407" s="42"/>
      <c r="S407" s="42"/>
      <c r="T407" s="42"/>
      <c r="U407" s="42"/>
      <c r="V407" s="42"/>
      <c r="W407" s="42"/>
      <c r="X407" s="42"/>
      <c r="Y407" s="42"/>
      <c r="Z407" s="42"/>
      <c r="AA407" s="42"/>
    </row>
    <row r="408">
      <c r="A408" s="36" t="str">
        <f>IF($B408="","",VLOOKUP($B408,DADOS!$C$2:$I1014,2,0))</f>
        <v/>
      </c>
      <c r="B408" s="37"/>
      <c r="C408" s="36"/>
      <c r="D408" s="38" t="str">
        <f>IF($B408="","",SUM(VLOOKUP($B408,DADOS!$C$2:$I1014,4,0)*$C408))</f>
        <v/>
      </c>
      <c r="E408" s="38" t="str">
        <f>IF($B408="","",SUM(VLOOKUP($B408,DADOS!$C$2:$I1014,6,0)*$C408))</f>
        <v/>
      </c>
      <c r="F408" s="39" t="str">
        <f>IF($E408="","",(VLOOKUP($B408,DADOS!$C$2:$I1014,7,0)))</f>
        <v/>
      </c>
      <c r="G408" s="40" t="str">
        <f t="shared" si="2"/>
        <v/>
      </c>
      <c r="H408" s="41"/>
      <c r="I408" s="42"/>
      <c r="J408" s="42"/>
      <c r="K408" s="42"/>
      <c r="L408" s="42"/>
      <c r="M408" s="42"/>
      <c r="N408" s="42"/>
      <c r="O408" s="42"/>
      <c r="P408" s="42"/>
      <c r="Q408" s="42"/>
      <c r="R408" s="42"/>
      <c r="S408" s="42"/>
      <c r="T408" s="42"/>
      <c r="U408" s="42"/>
      <c r="V408" s="42"/>
      <c r="W408" s="42"/>
      <c r="X408" s="42"/>
      <c r="Y408" s="42"/>
      <c r="Z408" s="42"/>
      <c r="AA408" s="42"/>
    </row>
    <row r="409">
      <c r="A409" s="36" t="str">
        <f>IF($B409="","",VLOOKUP($B409,DADOS!$C$2:$I1014,2,0))</f>
        <v/>
      </c>
      <c r="B409" s="37"/>
      <c r="C409" s="36"/>
      <c r="D409" s="38" t="str">
        <f>IF($B409="","",SUM(VLOOKUP($B409,DADOS!$C$2:$I1014,4,0)*$C409))</f>
        <v/>
      </c>
      <c r="E409" s="38" t="str">
        <f>IF($B409="","",SUM(VLOOKUP($B409,DADOS!$C$2:$I1014,6,0)*$C409))</f>
        <v/>
      </c>
      <c r="F409" s="39" t="str">
        <f>IF($E409="","",(VLOOKUP($B409,DADOS!$C$2:$I1014,7,0)))</f>
        <v/>
      </c>
      <c r="G409" s="40" t="str">
        <f t="shared" si="2"/>
        <v/>
      </c>
      <c r="H409" s="41"/>
      <c r="I409" s="42"/>
      <c r="J409" s="42"/>
      <c r="K409" s="42"/>
      <c r="L409" s="42"/>
      <c r="M409" s="42"/>
      <c r="N409" s="42"/>
      <c r="O409" s="42"/>
      <c r="P409" s="42"/>
      <c r="Q409" s="42"/>
      <c r="R409" s="42"/>
      <c r="S409" s="42"/>
      <c r="T409" s="42"/>
      <c r="U409" s="42"/>
      <c r="V409" s="42"/>
      <c r="W409" s="42"/>
      <c r="X409" s="42"/>
      <c r="Y409" s="42"/>
      <c r="Z409" s="42"/>
      <c r="AA409" s="42"/>
    </row>
    <row r="410">
      <c r="A410" s="36" t="str">
        <f>IF($B410="","",VLOOKUP($B410,DADOS!$C$2:$I1014,2,0))</f>
        <v/>
      </c>
      <c r="B410" s="37"/>
      <c r="C410" s="36"/>
      <c r="D410" s="38" t="str">
        <f>IF($B410="","",SUM(VLOOKUP($B410,DADOS!$C$2:$I1014,4,0)*$C410))</f>
        <v/>
      </c>
      <c r="E410" s="38" t="str">
        <f>IF($B410="","",SUM(VLOOKUP($B410,DADOS!$C$2:$I1014,6,0)*$C410))</f>
        <v/>
      </c>
      <c r="F410" s="39" t="str">
        <f>IF($E410="","",(VLOOKUP($B410,DADOS!$C$2:$I1014,7,0)))</f>
        <v/>
      </c>
      <c r="G410" s="40" t="str">
        <f t="shared" si="2"/>
        <v/>
      </c>
      <c r="H410" s="41"/>
      <c r="I410" s="42"/>
      <c r="J410" s="42"/>
      <c r="K410" s="42"/>
      <c r="L410" s="42"/>
      <c r="M410" s="42"/>
      <c r="N410" s="42"/>
      <c r="O410" s="42"/>
      <c r="P410" s="42"/>
      <c r="Q410" s="42"/>
      <c r="R410" s="42"/>
      <c r="S410" s="42"/>
      <c r="T410" s="42"/>
      <c r="U410" s="42"/>
      <c r="V410" s="42"/>
      <c r="W410" s="42"/>
      <c r="X410" s="42"/>
      <c r="Y410" s="42"/>
      <c r="Z410" s="42"/>
      <c r="AA410" s="42"/>
    </row>
    <row r="411">
      <c r="A411" s="36" t="str">
        <f>IF($B411="","",VLOOKUP($B411,DADOS!$C$2:$I1014,2,0))</f>
        <v/>
      </c>
      <c r="B411" s="37"/>
      <c r="C411" s="36"/>
      <c r="D411" s="38" t="str">
        <f>IF($B411="","",SUM(VLOOKUP($B411,DADOS!$C$2:$I1014,4,0)*$C411))</f>
        <v/>
      </c>
      <c r="E411" s="38" t="str">
        <f>IF($B411="","",SUM(VLOOKUP($B411,DADOS!$C$2:$I1014,6,0)*$C411))</f>
        <v/>
      </c>
      <c r="F411" s="39" t="str">
        <f>IF($E411="","",(VLOOKUP($B411,DADOS!$C$2:$I1014,7,0)))</f>
        <v/>
      </c>
      <c r="G411" s="40" t="str">
        <f t="shared" si="2"/>
        <v/>
      </c>
      <c r="H411" s="41"/>
      <c r="I411" s="42"/>
      <c r="J411" s="42"/>
      <c r="K411" s="42"/>
      <c r="L411" s="42"/>
      <c r="M411" s="42"/>
      <c r="N411" s="42"/>
      <c r="O411" s="42"/>
      <c r="P411" s="42"/>
      <c r="Q411" s="42"/>
      <c r="R411" s="42"/>
      <c r="S411" s="42"/>
      <c r="T411" s="42"/>
      <c r="U411" s="42"/>
      <c r="V411" s="42"/>
      <c r="W411" s="42"/>
      <c r="X411" s="42"/>
      <c r="Y411" s="42"/>
      <c r="Z411" s="42"/>
      <c r="AA411" s="42"/>
    </row>
    <row r="412">
      <c r="A412" s="36" t="str">
        <f>IF($B412="","",VLOOKUP($B412,DADOS!$C$2:$I1014,2,0))</f>
        <v/>
      </c>
      <c r="B412" s="37"/>
      <c r="C412" s="36"/>
      <c r="D412" s="38" t="str">
        <f>IF($B412="","",SUM(VLOOKUP($B412,DADOS!$C$2:$I1014,4,0)*$C412))</f>
        <v/>
      </c>
      <c r="E412" s="38" t="str">
        <f>IF($B412="","",SUM(VLOOKUP($B412,DADOS!$C$2:$I1014,6,0)*$C412))</f>
        <v/>
      </c>
      <c r="F412" s="39" t="str">
        <f>IF($E412="","",(VLOOKUP($B412,DADOS!$C$2:$I1014,7,0)))</f>
        <v/>
      </c>
      <c r="G412" s="40" t="str">
        <f t="shared" si="2"/>
        <v/>
      </c>
      <c r="H412" s="41"/>
      <c r="I412" s="42"/>
      <c r="J412" s="42"/>
      <c r="K412" s="42"/>
      <c r="L412" s="42"/>
      <c r="M412" s="42"/>
      <c r="N412" s="42"/>
      <c r="O412" s="42"/>
      <c r="P412" s="42"/>
      <c r="Q412" s="42"/>
      <c r="R412" s="42"/>
      <c r="S412" s="42"/>
      <c r="T412" s="42"/>
      <c r="U412" s="42"/>
      <c r="V412" s="42"/>
      <c r="W412" s="42"/>
      <c r="X412" s="42"/>
      <c r="Y412" s="42"/>
      <c r="Z412" s="42"/>
      <c r="AA412" s="42"/>
    </row>
    <row r="413">
      <c r="A413" s="36" t="str">
        <f>IF($B413="","",VLOOKUP($B413,DADOS!$C$2:$I1014,2,0))</f>
        <v/>
      </c>
      <c r="B413" s="37"/>
      <c r="C413" s="36"/>
      <c r="D413" s="38" t="str">
        <f>IF($B413="","",SUM(VLOOKUP($B413,DADOS!$C$2:$I1014,4,0)*$C413))</f>
        <v/>
      </c>
      <c r="E413" s="38" t="str">
        <f>IF($B413="","",SUM(VLOOKUP($B413,DADOS!$C$2:$I1014,6,0)*$C413))</f>
        <v/>
      </c>
      <c r="F413" s="39" t="str">
        <f>IF($E413="","",(VLOOKUP($B413,DADOS!$C$2:$I1014,7,0)))</f>
        <v/>
      </c>
      <c r="G413" s="40" t="str">
        <f t="shared" si="2"/>
        <v/>
      </c>
      <c r="H413" s="41"/>
      <c r="I413" s="42"/>
      <c r="J413" s="42"/>
      <c r="K413" s="42"/>
      <c r="L413" s="42"/>
      <c r="M413" s="42"/>
      <c r="N413" s="42"/>
      <c r="O413" s="42"/>
      <c r="P413" s="42"/>
      <c r="Q413" s="42"/>
      <c r="R413" s="42"/>
      <c r="S413" s="42"/>
      <c r="T413" s="42"/>
      <c r="U413" s="42"/>
      <c r="V413" s="42"/>
      <c r="W413" s="42"/>
      <c r="X413" s="42"/>
      <c r="Y413" s="42"/>
      <c r="Z413" s="42"/>
      <c r="AA413" s="42"/>
    </row>
    <row r="414">
      <c r="A414" s="36" t="str">
        <f>IF($B414="","",VLOOKUP($B414,DADOS!$C$2:$I1014,2,0))</f>
        <v/>
      </c>
      <c r="B414" s="37"/>
      <c r="C414" s="36"/>
      <c r="D414" s="38" t="str">
        <f>IF($B414="","",SUM(VLOOKUP($B414,DADOS!$C$2:$I1014,4,0)*$C414))</f>
        <v/>
      </c>
      <c r="E414" s="38" t="str">
        <f>IF($B414="","",SUM(VLOOKUP($B414,DADOS!$C$2:$I1014,6,0)*$C414))</f>
        <v/>
      </c>
      <c r="F414" s="39" t="str">
        <f>IF($E414="","",(VLOOKUP($B414,DADOS!$C$2:$I1014,7,0)))</f>
        <v/>
      </c>
      <c r="G414" s="40" t="str">
        <f t="shared" si="2"/>
        <v/>
      </c>
      <c r="H414" s="41"/>
      <c r="I414" s="42"/>
      <c r="J414" s="42"/>
      <c r="K414" s="42"/>
      <c r="L414" s="42"/>
      <c r="M414" s="42"/>
      <c r="N414" s="42"/>
      <c r="O414" s="42"/>
      <c r="P414" s="42"/>
      <c r="Q414" s="42"/>
      <c r="R414" s="42"/>
      <c r="S414" s="42"/>
      <c r="T414" s="42"/>
      <c r="U414" s="42"/>
      <c r="V414" s="42"/>
      <c r="W414" s="42"/>
      <c r="X414" s="42"/>
      <c r="Y414" s="42"/>
      <c r="Z414" s="42"/>
      <c r="AA414" s="42"/>
    </row>
    <row r="415">
      <c r="A415" s="36" t="str">
        <f>IF($B415="","",VLOOKUP($B415,DADOS!$C$2:$I1014,2,0))</f>
        <v/>
      </c>
      <c r="B415" s="37"/>
      <c r="C415" s="36"/>
      <c r="D415" s="38" t="str">
        <f>IF($B415="","",SUM(VLOOKUP($B415,DADOS!$C$2:$I1014,4,0)*$C415))</f>
        <v/>
      </c>
      <c r="E415" s="38" t="str">
        <f>IF($B415="","",SUM(VLOOKUP($B415,DADOS!$C$2:$I1014,6,0)*$C415))</f>
        <v/>
      </c>
      <c r="F415" s="39" t="str">
        <f>IF($E415="","",(VLOOKUP($B415,DADOS!$C$2:$I1014,7,0)))</f>
        <v/>
      </c>
      <c r="G415" s="40" t="str">
        <f t="shared" si="2"/>
        <v/>
      </c>
      <c r="H415" s="41"/>
      <c r="I415" s="42"/>
      <c r="J415" s="42"/>
      <c r="K415" s="42"/>
      <c r="L415" s="42"/>
      <c r="M415" s="42"/>
      <c r="N415" s="42"/>
      <c r="O415" s="42"/>
      <c r="P415" s="42"/>
      <c r="Q415" s="42"/>
      <c r="R415" s="42"/>
      <c r="S415" s="42"/>
      <c r="T415" s="42"/>
      <c r="U415" s="42"/>
      <c r="V415" s="42"/>
      <c r="W415" s="42"/>
      <c r="X415" s="42"/>
      <c r="Y415" s="42"/>
      <c r="Z415" s="42"/>
      <c r="AA415" s="42"/>
    </row>
    <row r="416">
      <c r="A416" s="36" t="str">
        <f>IF($B416="","",VLOOKUP($B416,DADOS!$C$2:$I1014,2,0))</f>
        <v/>
      </c>
      <c r="B416" s="37"/>
      <c r="C416" s="36"/>
      <c r="D416" s="38" t="str">
        <f>IF($B416="","",SUM(VLOOKUP($B416,DADOS!$C$2:$I1014,4,0)*$C416))</f>
        <v/>
      </c>
      <c r="E416" s="38" t="str">
        <f>IF($B416="","",SUM(VLOOKUP($B416,DADOS!$C$2:$I1014,6,0)*$C416))</f>
        <v/>
      </c>
      <c r="F416" s="39" t="str">
        <f>IF($E416="","",(VLOOKUP($B416,DADOS!$C$2:$I1014,7,0)))</f>
        <v/>
      </c>
      <c r="G416" s="40" t="str">
        <f t="shared" si="2"/>
        <v/>
      </c>
      <c r="H416" s="41"/>
      <c r="I416" s="42"/>
      <c r="J416" s="42"/>
      <c r="K416" s="42"/>
      <c r="L416" s="42"/>
      <c r="M416" s="42"/>
      <c r="N416" s="42"/>
      <c r="O416" s="42"/>
      <c r="P416" s="42"/>
      <c r="Q416" s="42"/>
      <c r="R416" s="42"/>
      <c r="S416" s="42"/>
      <c r="T416" s="42"/>
      <c r="U416" s="42"/>
      <c r="V416" s="42"/>
      <c r="W416" s="42"/>
      <c r="X416" s="42"/>
      <c r="Y416" s="42"/>
      <c r="Z416" s="42"/>
      <c r="AA416" s="42"/>
    </row>
    <row r="417">
      <c r="A417" s="36" t="str">
        <f>IF($B417="","",VLOOKUP($B417,DADOS!$C$2:$I1014,2,0))</f>
        <v/>
      </c>
      <c r="B417" s="37"/>
      <c r="C417" s="36"/>
      <c r="D417" s="38" t="str">
        <f>IF($B417="","",SUM(VLOOKUP($B417,DADOS!$C$2:$I1014,4,0)*$C417))</f>
        <v/>
      </c>
      <c r="E417" s="38" t="str">
        <f>IF($B417="","",SUM(VLOOKUP($B417,DADOS!$C$2:$I1014,6,0)*$C417))</f>
        <v/>
      </c>
      <c r="F417" s="39" t="str">
        <f>IF($E417="","",(VLOOKUP($B417,DADOS!$C$2:$I1014,7,0)))</f>
        <v/>
      </c>
      <c r="G417" s="40" t="str">
        <f t="shared" si="2"/>
        <v/>
      </c>
      <c r="H417" s="41"/>
      <c r="I417" s="42"/>
      <c r="J417" s="42"/>
      <c r="K417" s="42"/>
      <c r="L417" s="42"/>
      <c r="M417" s="42"/>
      <c r="N417" s="42"/>
      <c r="O417" s="42"/>
      <c r="P417" s="42"/>
      <c r="Q417" s="42"/>
      <c r="R417" s="42"/>
      <c r="S417" s="42"/>
      <c r="T417" s="42"/>
      <c r="U417" s="42"/>
      <c r="V417" s="42"/>
      <c r="W417" s="42"/>
      <c r="X417" s="42"/>
      <c r="Y417" s="42"/>
      <c r="Z417" s="42"/>
      <c r="AA417" s="42"/>
    </row>
    <row r="418">
      <c r="A418" s="36" t="str">
        <f>IF($B418="","",VLOOKUP($B418,DADOS!$C$2:$I1014,2,0))</f>
        <v/>
      </c>
      <c r="B418" s="37"/>
      <c r="C418" s="36"/>
      <c r="D418" s="38" t="str">
        <f>IF($B418="","",SUM(VLOOKUP($B418,DADOS!$C$2:$I1014,4,0)*$C418))</f>
        <v/>
      </c>
      <c r="E418" s="38" t="str">
        <f>IF($B418="","",SUM(VLOOKUP($B418,DADOS!$C$2:$I1014,6,0)*$C418))</f>
        <v/>
      </c>
      <c r="F418" s="39" t="str">
        <f>IF($E418="","",(VLOOKUP($B418,DADOS!$C$2:$I1014,7,0)))</f>
        <v/>
      </c>
      <c r="G418" s="40" t="str">
        <f t="shared" si="2"/>
        <v/>
      </c>
      <c r="H418" s="41"/>
      <c r="I418" s="42"/>
      <c r="J418" s="42"/>
      <c r="K418" s="42"/>
      <c r="L418" s="42"/>
      <c r="M418" s="42"/>
      <c r="N418" s="42"/>
      <c r="O418" s="42"/>
      <c r="P418" s="42"/>
      <c r="Q418" s="42"/>
      <c r="R418" s="42"/>
      <c r="S418" s="42"/>
      <c r="T418" s="42"/>
      <c r="U418" s="42"/>
      <c r="V418" s="42"/>
      <c r="W418" s="42"/>
      <c r="X418" s="42"/>
      <c r="Y418" s="42"/>
      <c r="Z418" s="42"/>
      <c r="AA418" s="42"/>
    </row>
    <row r="419">
      <c r="A419" s="36" t="str">
        <f>IF($B419="","",VLOOKUP($B419,DADOS!$C$2:$I1014,2,0))</f>
        <v/>
      </c>
      <c r="B419" s="37"/>
      <c r="C419" s="36"/>
      <c r="D419" s="38" t="str">
        <f>IF($B419="","",SUM(VLOOKUP($B419,DADOS!$C$2:$I1014,4,0)*$C419))</f>
        <v/>
      </c>
      <c r="E419" s="38" t="str">
        <f>IF($B419="","",SUM(VLOOKUP($B419,DADOS!$C$2:$I1014,6,0)*$C419))</f>
        <v/>
      </c>
      <c r="F419" s="39" t="str">
        <f>IF($E419="","",(VLOOKUP($B419,DADOS!$C$2:$I1014,7,0)))</f>
        <v/>
      </c>
      <c r="G419" s="40" t="str">
        <f t="shared" si="2"/>
        <v/>
      </c>
      <c r="H419" s="41"/>
      <c r="I419" s="42"/>
      <c r="J419" s="42"/>
      <c r="K419" s="42"/>
      <c r="L419" s="42"/>
      <c r="M419" s="42"/>
      <c r="N419" s="42"/>
      <c r="O419" s="42"/>
      <c r="P419" s="42"/>
      <c r="Q419" s="42"/>
      <c r="R419" s="42"/>
      <c r="S419" s="42"/>
      <c r="T419" s="42"/>
      <c r="U419" s="42"/>
      <c r="V419" s="42"/>
      <c r="W419" s="42"/>
      <c r="X419" s="42"/>
      <c r="Y419" s="42"/>
      <c r="Z419" s="42"/>
      <c r="AA419" s="42"/>
    </row>
    <row r="420">
      <c r="A420" s="36" t="str">
        <f>IF($B420="","",VLOOKUP($B420,DADOS!$C$2:$I1014,2,0))</f>
        <v/>
      </c>
      <c r="B420" s="37"/>
      <c r="C420" s="36"/>
      <c r="D420" s="38" t="str">
        <f>IF($B420="","",SUM(VLOOKUP($B420,DADOS!$C$2:$I1014,4,0)*$C420))</f>
        <v/>
      </c>
      <c r="E420" s="38" t="str">
        <f>IF($B420="","",SUM(VLOOKUP($B420,DADOS!$C$2:$I1014,6,0)*$C420))</f>
        <v/>
      </c>
      <c r="F420" s="39" t="str">
        <f>IF($E420="","",(VLOOKUP($B420,DADOS!$C$2:$I1014,7,0)))</f>
        <v/>
      </c>
      <c r="G420" s="40" t="str">
        <f t="shared" si="2"/>
        <v/>
      </c>
      <c r="H420" s="41"/>
      <c r="I420" s="42"/>
      <c r="J420" s="42"/>
      <c r="K420" s="42"/>
      <c r="L420" s="42"/>
      <c r="M420" s="42"/>
      <c r="N420" s="42"/>
      <c r="O420" s="42"/>
      <c r="P420" s="42"/>
      <c r="Q420" s="42"/>
      <c r="R420" s="42"/>
      <c r="S420" s="42"/>
      <c r="T420" s="42"/>
      <c r="U420" s="42"/>
      <c r="V420" s="42"/>
      <c r="W420" s="42"/>
      <c r="X420" s="42"/>
      <c r="Y420" s="42"/>
      <c r="Z420" s="42"/>
      <c r="AA420" s="42"/>
    </row>
    <row r="421">
      <c r="A421" s="36" t="str">
        <f>IF($B421="","",VLOOKUP($B421,DADOS!$C$2:$I1014,2,0))</f>
        <v/>
      </c>
      <c r="B421" s="37"/>
      <c r="C421" s="36"/>
      <c r="D421" s="38" t="str">
        <f>IF($B421="","",SUM(VLOOKUP($B421,DADOS!$C$2:$I1014,4,0)*$C421))</f>
        <v/>
      </c>
      <c r="E421" s="38" t="str">
        <f>IF($B421="","",SUM(VLOOKUP($B421,DADOS!$C$2:$I1014,6,0)*$C421))</f>
        <v/>
      </c>
      <c r="F421" s="39" t="str">
        <f>IF($E421="","",(VLOOKUP($B421,DADOS!$C$2:$I1014,7,0)))</f>
        <v/>
      </c>
      <c r="G421" s="40" t="str">
        <f t="shared" si="2"/>
        <v/>
      </c>
      <c r="H421" s="41"/>
      <c r="I421" s="42"/>
      <c r="J421" s="42"/>
      <c r="K421" s="42"/>
      <c r="L421" s="42"/>
      <c r="M421" s="42"/>
      <c r="N421" s="42"/>
      <c r="O421" s="42"/>
      <c r="P421" s="42"/>
      <c r="Q421" s="42"/>
      <c r="R421" s="42"/>
      <c r="S421" s="42"/>
      <c r="T421" s="42"/>
      <c r="U421" s="42"/>
      <c r="V421" s="42"/>
      <c r="W421" s="42"/>
      <c r="X421" s="42"/>
      <c r="Y421" s="42"/>
      <c r="Z421" s="42"/>
      <c r="AA421" s="42"/>
    </row>
    <row r="422">
      <c r="A422" s="36" t="str">
        <f>IF($B422="","",VLOOKUP($B422,DADOS!$C$2:$I1014,2,0))</f>
        <v/>
      </c>
      <c r="B422" s="37"/>
      <c r="C422" s="36"/>
      <c r="D422" s="38" t="str">
        <f>IF($B422="","",SUM(VLOOKUP($B422,DADOS!$C$2:$I1014,4,0)*$C422))</f>
        <v/>
      </c>
      <c r="E422" s="38" t="str">
        <f>IF($B422="","",SUM(VLOOKUP($B422,DADOS!$C$2:$I1014,6,0)*$C422))</f>
        <v/>
      </c>
      <c r="F422" s="39" t="str">
        <f>IF($E422="","",(VLOOKUP($B422,DADOS!$C$2:$I1014,7,0)))</f>
        <v/>
      </c>
      <c r="G422" s="40" t="str">
        <f t="shared" si="2"/>
        <v/>
      </c>
      <c r="H422" s="41"/>
      <c r="I422" s="42"/>
      <c r="J422" s="42"/>
      <c r="K422" s="42"/>
      <c r="L422" s="42"/>
      <c r="M422" s="42"/>
      <c r="N422" s="42"/>
      <c r="O422" s="42"/>
      <c r="P422" s="42"/>
      <c r="Q422" s="42"/>
      <c r="R422" s="42"/>
      <c r="S422" s="42"/>
      <c r="T422" s="42"/>
      <c r="U422" s="42"/>
      <c r="V422" s="42"/>
      <c r="W422" s="42"/>
      <c r="X422" s="42"/>
      <c r="Y422" s="42"/>
      <c r="Z422" s="42"/>
      <c r="AA422" s="42"/>
    </row>
    <row r="423">
      <c r="A423" s="36" t="str">
        <f>IF($B423="","",VLOOKUP($B423,DADOS!$C$2:$I1014,2,0))</f>
        <v/>
      </c>
      <c r="B423" s="37"/>
      <c r="C423" s="36"/>
      <c r="D423" s="38" t="str">
        <f>IF($B423="","",SUM(VLOOKUP($B423,DADOS!$C$2:$I1014,4,0)*$C423))</f>
        <v/>
      </c>
      <c r="E423" s="38" t="str">
        <f>IF($B423="","",SUM(VLOOKUP($B423,DADOS!$C$2:$I1014,6,0)*$C423))</f>
        <v/>
      </c>
      <c r="F423" s="39" t="str">
        <f>IF($E423="","",(VLOOKUP($B423,DADOS!$C$2:$I1014,7,0)))</f>
        <v/>
      </c>
      <c r="G423" s="40" t="str">
        <f t="shared" si="2"/>
        <v/>
      </c>
      <c r="H423" s="41"/>
      <c r="I423" s="42"/>
      <c r="J423" s="42"/>
      <c r="K423" s="42"/>
      <c r="L423" s="42"/>
      <c r="M423" s="42"/>
      <c r="N423" s="42"/>
      <c r="O423" s="42"/>
      <c r="P423" s="42"/>
      <c r="Q423" s="42"/>
      <c r="R423" s="42"/>
      <c r="S423" s="42"/>
      <c r="T423" s="42"/>
      <c r="U423" s="42"/>
      <c r="V423" s="42"/>
      <c r="W423" s="42"/>
      <c r="X423" s="42"/>
      <c r="Y423" s="42"/>
      <c r="Z423" s="42"/>
      <c r="AA423" s="42"/>
    </row>
    <row r="424">
      <c r="A424" s="36" t="str">
        <f>IF($B424="","",VLOOKUP($B424,DADOS!$C$2:$I1014,2,0))</f>
        <v/>
      </c>
      <c r="B424" s="37"/>
      <c r="C424" s="36"/>
      <c r="D424" s="38" t="str">
        <f>IF($B424="","",SUM(VLOOKUP($B424,DADOS!$C$2:$I1014,4,0)*$C424))</f>
        <v/>
      </c>
      <c r="E424" s="38" t="str">
        <f>IF($B424="","",SUM(VLOOKUP($B424,DADOS!$C$2:$I1014,6,0)*$C424))</f>
        <v/>
      </c>
      <c r="F424" s="39" t="str">
        <f>IF($E424="","",(VLOOKUP($B424,DADOS!$C$2:$I1014,7,0)))</f>
        <v/>
      </c>
      <c r="G424" s="40" t="str">
        <f t="shared" si="2"/>
        <v/>
      </c>
      <c r="H424" s="41"/>
      <c r="I424" s="42"/>
      <c r="J424" s="42"/>
      <c r="K424" s="42"/>
      <c r="L424" s="42"/>
      <c r="M424" s="42"/>
      <c r="N424" s="42"/>
      <c r="O424" s="42"/>
      <c r="P424" s="42"/>
      <c r="Q424" s="42"/>
      <c r="R424" s="42"/>
      <c r="S424" s="42"/>
      <c r="T424" s="42"/>
      <c r="U424" s="42"/>
      <c r="V424" s="42"/>
      <c r="W424" s="42"/>
      <c r="X424" s="42"/>
      <c r="Y424" s="42"/>
      <c r="Z424" s="42"/>
      <c r="AA424" s="42"/>
    </row>
    <row r="425">
      <c r="A425" s="36" t="str">
        <f>IF($B425="","",VLOOKUP($B425,DADOS!$C$2:$I1014,2,0))</f>
        <v/>
      </c>
      <c r="B425" s="37"/>
      <c r="C425" s="36"/>
      <c r="D425" s="38" t="str">
        <f>IF($B425="","",SUM(VLOOKUP($B425,DADOS!$C$2:$I1014,4,0)*$C425))</f>
        <v/>
      </c>
      <c r="E425" s="38" t="str">
        <f>IF($B425="","",SUM(VLOOKUP($B425,DADOS!$C$2:$I1014,6,0)*$C425))</f>
        <v/>
      </c>
      <c r="F425" s="39" t="str">
        <f>IF($E425="","",(VLOOKUP($B425,DADOS!$C$2:$I1014,7,0)))</f>
        <v/>
      </c>
      <c r="G425" s="40" t="str">
        <f t="shared" si="2"/>
        <v/>
      </c>
      <c r="H425" s="41"/>
      <c r="I425" s="42"/>
      <c r="J425" s="42"/>
      <c r="K425" s="42"/>
      <c r="L425" s="42"/>
      <c r="M425" s="42"/>
      <c r="N425" s="42"/>
      <c r="O425" s="42"/>
      <c r="P425" s="42"/>
      <c r="Q425" s="42"/>
      <c r="R425" s="42"/>
      <c r="S425" s="42"/>
      <c r="T425" s="42"/>
      <c r="U425" s="42"/>
      <c r="V425" s="42"/>
      <c r="W425" s="42"/>
      <c r="X425" s="42"/>
      <c r="Y425" s="42"/>
      <c r="Z425" s="42"/>
      <c r="AA425" s="42"/>
    </row>
    <row r="426">
      <c r="A426" s="36" t="str">
        <f>IF($B426="","",VLOOKUP($B426,DADOS!$C$2:$I1014,2,0))</f>
        <v/>
      </c>
      <c r="B426" s="37"/>
      <c r="C426" s="36"/>
      <c r="D426" s="38" t="str">
        <f>IF($B426="","",SUM(VLOOKUP($B426,DADOS!$C$2:$I1014,4,0)*$C426))</f>
        <v/>
      </c>
      <c r="E426" s="38" t="str">
        <f>IF($B426="","",SUM(VLOOKUP($B426,DADOS!$C$2:$I1014,6,0)*$C426))</f>
        <v/>
      </c>
      <c r="F426" s="39" t="str">
        <f>IF($E426="","",(VLOOKUP($B426,DADOS!$C$2:$I1014,7,0)))</f>
        <v/>
      </c>
      <c r="G426" s="40" t="str">
        <f t="shared" si="2"/>
        <v/>
      </c>
      <c r="H426" s="41"/>
      <c r="I426" s="42"/>
      <c r="J426" s="42"/>
      <c r="K426" s="42"/>
      <c r="L426" s="42"/>
      <c r="M426" s="42"/>
      <c r="N426" s="42"/>
      <c r="O426" s="42"/>
      <c r="P426" s="42"/>
      <c r="Q426" s="42"/>
      <c r="R426" s="42"/>
      <c r="S426" s="42"/>
      <c r="T426" s="42"/>
      <c r="U426" s="42"/>
      <c r="V426" s="42"/>
      <c r="W426" s="42"/>
      <c r="X426" s="42"/>
      <c r="Y426" s="42"/>
      <c r="Z426" s="42"/>
      <c r="AA426" s="42"/>
    </row>
    <row r="427">
      <c r="A427" s="36" t="str">
        <f>IF($B427="","",VLOOKUP($B427,DADOS!$C$2:$I1014,2,0))</f>
        <v/>
      </c>
      <c r="B427" s="37"/>
      <c r="C427" s="36"/>
      <c r="D427" s="38" t="str">
        <f>IF($B427="","",SUM(VLOOKUP($B427,DADOS!$C$2:$I1014,4,0)*$C427))</f>
        <v/>
      </c>
      <c r="E427" s="38" t="str">
        <f>IF($B427="","",SUM(VLOOKUP($B427,DADOS!$C$2:$I1014,6,0)*$C427))</f>
        <v/>
      </c>
      <c r="F427" s="39" t="str">
        <f>IF($E427="","",(VLOOKUP($B427,DADOS!$C$2:$I1014,7,0)))</f>
        <v/>
      </c>
      <c r="G427" s="40" t="str">
        <f t="shared" si="2"/>
        <v/>
      </c>
      <c r="H427" s="41"/>
      <c r="I427" s="42"/>
      <c r="J427" s="42"/>
      <c r="K427" s="42"/>
      <c r="L427" s="42"/>
      <c r="M427" s="42"/>
      <c r="N427" s="42"/>
      <c r="O427" s="42"/>
      <c r="P427" s="42"/>
      <c r="Q427" s="42"/>
      <c r="R427" s="42"/>
      <c r="S427" s="42"/>
      <c r="T427" s="42"/>
      <c r="U427" s="42"/>
      <c r="V427" s="42"/>
      <c r="W427" s="42"/>
      <c r="X427" s="42"/>
      <c r="Y427" s="42"/>
      <c r="Z427" s="42"/>
      <c r="AA427" s="42"/>
    </row>
    <row r="428">
      <c r="A428" s="36" t="str">
        <f>IF($B428="","",VLOOKUP($B428,DADOS!$C$2:$I1014,2,0))</f>
        <v/>
      </c>
      <c r="B428" s="37"/>
      <c r="C428" s="36"/>
      <c r="D428" s="38" t="str">
        <f>IF($B428="","",SUM(VLOOKUP($B428,DADOS!$C$2:$I1014,4,0)*$C428))</f>
        <v/>
      </c>
      <c r="E428" s="38" t="str">
        <f>IF($B428="","",SUM(VLOOKUP($B428,DADOS!$C$2:$I1014,6,0)*$C428))</f>
        <v/>
      </c>
      <c r="F428" s="39" t="str">
        <f>IF($E428="","",(VLOOKUP($B428,DADOS!$C$2:$I1014,7,0)))</f>
        <v/>
      </c>
      <c r="G428" s="40" t="str">
        <f t="shared" si="2"/>
        <v/>
      </c>
      <c r="H428" s="41"/>
      <c r="I428" s="42"/>
      <c r="J428" s="42"/>
      <c r="K428" s="42"/>
      <c r="L428" s="42"/>
      <c r="M428" s="42"/>
      <c r="N428" s="42"/>
      <c r="O428" s="42"/>
      <c r="P428" s="42"/>
      <c r="Q428" s="42"/>
      <c r="R428" s="42"/>
      <c r="S428" s="42"/>
      <c r="T428" s="42"/>
      <c r="U428" s="42"/>
      <c r="V428" s="42"/>
      <c r="W428" s="42"/>
      <c r="X428" s="42"/>
      <c r="Y428" s="42"/>
      <c r="Z428" s="42"/>
      <c r="AA428" s="42"/>
    </row>
    <row r="429">
      <c r="A429" s="36" t="str">
        <f>IF($B429="","",VLOOKUP($B429,DADOS!$C$2:$I1014,2,0))</f>
        <v/>
      </c>
      <c r="B429" s="37"/>
      <c r="C429" s="36"/>
      <c r="D429" s="38" t="str">
        <f>IF($B429="","",SUM(VLOOKUP($B429,DADOS!$C$2:$I1014,4,0)*$C429))</f>
        <v/>
      </c>
      <c r="E429" s="38" t="str">
        <f>IF($B429="","",SUM(VLOOKUP($B429,DADOS!$C$2:$I1014,6,0)*$C429))</f>
        <v/>
      </c>
      <c r="F429" s="39" t="str">
        <f>IF($E429="","",(VLOOKUP($B429,DADOS!$C$2:$I1014,7,0)))</f>
        <v/>
      </c>
      <c r="G429" s="40" t="str">
        <f t="shared" si="2"/>
        <v/>
      </c>
      <c r="H429" s="41"/>
      <c r="I429" s="42"/>
      <c r="J429" s="42"/>
      <c r="K429" s="42"/>
      <c r="L429" s="42"/>
      <c r="M429" s="42"/>
      <c r="N429" s="42"/>
      <c r="O429" s="42"/>
      <c r="P429" s="42"/>
      <c r="Q429" s="42"/>
      <c r="R429" s="42"/>
      <c r="S429" s="42"/>
      <c r="T429" s="42"/>
      <c r="U429" s="42"/>
      <c r="V429" s="42"/>
      <c r="W429" s="42"/>
      <c r="X429" s="42"/>
      <c r="Y429" s="42"/>
      <c r="Z429" s="42"/>
      <c r="AA429" s="42"/>
    </row>
    <row r="430">
      <c r="A430" s="36" t="str">
        <f>IF($B430="","",VLOOKUP($B430,DADOS!$C$2:$I1014,2,0))</f>
        <v/>
      </c>
      <c r="B430" s="37"/>
      <c r="C430" s="36"/>
      <c r="D430" s="38" t="str">
        <f>IF($B430="","",SUM(VLOOKUP($B430,DADOS!$C$2:$I1014,4,0)*$C430))</f>
        <v/>
      </c>
      <c r="E430" s="38" t="str">
        <f>IF($B430="","",SUM(VLOOKUP($B430,DADOS!$C$2:$I1014,6,0)*$C430))</f>
        <v/>
      </c>
      <c r="F430" s="39" t="str">
        <f>IF($E430="","",(VLOOKUP($B430,DADOS!$C$2:$I1014,7,0)))</f>
        <v/>
      </c>
      <c r="G430" s="40" t="str">
        <f t="shared" si="2"/>
        <v/>
      </c>
      <c r="H430" s="41"/>
      <c r="I430" s="42"/>
      <c r="J430" s="42"/>
      <c r="K430" s="42"/>
      <c r="L430" s="42"/>
      <c r="M430" s="42"/>
      <c r="N430" s="42"/>
      <c r="O430" s="42"/>
      <c r="P430" s="42"/>
      <c r="Q430" s="42"/>
      <c r="R430" s="42"/>
      <c r="S430" s="42"/>
      <c r="T430" s="42"/>
      <c r="U430" s="42"/>
      <c r="V430" s="42"/>
      <c r="W430" s="42"/>
      <c r="X430" s="42"/>
      <c r="Y430" s="42"/>
      <c r="Z430" s="42"/>
      <c r="AA430" s="42"/>
    </row>
    <row r="431">
      <c r="A431" s="36" t="str">
        <f>IF($B431="","",VLOOKUP($B431,DADOS!$C$2:$I1014,2,0))</f>
        <v/>
      </c>
      <c r="B431" s="37"/>
      <c r="C431" s="36"/>
      <c r="D431" s="38" t="str">
        <f>IF($B431="","",SUM(VLOOKUP($B431,DADOS!$C$2:$I1014,4,0)*$C431))</f>
        <v/>
      </c>
      <c r="E431" s="38" t="str">
        <f>IF($B431="","",SUM(VLOOKUP($B431,DADOS!$C$2:$I1014,6,0)*$C431))</f>
        <v/>
      </c>
      <c r="F431" s="39" t="str">
        <f>IF($E431="","",(VLOOKUP($B431,DADOS!$C$2:$I1014,7,0)))</f>
        <v/>
      </c>
      <c r="G431" s="40" t="str">
        <f t="shared" si="2"/>
        <v/>
      </c>
      <c r="H431" s="41"/>
      <c r="I431" s="42"/>
      <c r="J431" s="42"/>
      <c r="K431" s="42"/>
      <c r="L431" s="42"/>
      <c r="M431" s="42"/>
      <c r="N431" s="42"/>
      <c r="O431" s="42"/>
      <c r="P431" s="42"/>
      <c r="Q431" s="42"/>
      <c r="R431" s="42"/>
      <c r="S431" s="42"/>
      <c r="T431" s="42"/>
      <c r="U431" s="42"/>
      <c r="V431" s="42"/>
      <c r="W431" s="42"/>
      <c r="X431" s="42"/>
      <c r="Y431" s="42"/>
      <c r="Z431" s="42"/>
      <c r="AA431" s="42"/>
    </row>
    <row r="432">
      <c r="A432" s="36" t="str">
        <f>IF($B432="","",VLOOKUP($B432,DADOS!$C$2:$I1014,2,0))</f>
        <v/>
      </c>
      <c r="B432" s="37"/>
      <c r="C432" s="36"/>
      <c r="D432" s="38" t="str">
        <f>IF($B432="","",SUM(VLOOKUP($B432,DADOS!$C$2:$I1014,4,0)*$C432))</f>
        <v/>
      </c>
      <c r="E432" s="38" t="str">
        <f>IF($B432="","",SUM(VLOOKUP($B432,DADOS!$C$2:$I1014,6,0)*$C432))</f>
        <v/>
      </c>
      <c r="F432" s="39" t="str">
        <f>IF($E432="","",(VLOOKUP($B432,DADOS!$C$2:$I1014,7,0)))</f>
        <v/>
      </c>
      <c r="G432" s="40" t="str">
        <f t="shared" si="2"/>
        <v/>
      </c>
      <c r="H432" s="41"/>
      <c r="I432" s="42"/>
      <c r="J432" s="42"/>
      <c r="K432" s="42"/>
      <c r="L432" s="42"/>
      <c r="M432" s="42"/>
      <c r="N432" s="42"/>
      <c r="O432" s="42"/>
      <c r="P432" s="42"/>
      <c r="Q432" s="42"/>
      <c r="R432" s="42"/>
      <c r="S432" s="42"/>
      <c r="T432" s="42"/>
      <c r="U432" s="42"/>
      <c r="V432" s="42"/>
      <c r="W432" s="42"/>
      <c r="X432" s="42"/>
      <c r="Y432" s="42"/>
      <c r="Z432" s="42"/>
      <c r="AA432" s="42"/>
    </row>
    <row r="433">
      <c r="A433" s="36" t="str">
        <f>IF($B433="","",VLOOKUP($B433,DADOS!$C$2:$I1014,2,0))</f>
        <v/>
      </c>
      <c r="B433" s="37"/>
      <c r="C433" s="36"/>
      <c r="D433" s="38" t="str">
        <f>IF($B433="","",SUM(VLOOKUP($B433,DADOS!$C$2:$I1014,4,0)*$C433))</f>
        <v/>
      </c>
      <c r="E433" s="38" t="str">
        <f>IF($B433="","",SUM(VLOOKUP($B433,DADOS!$C$2:$I1014,6,0)*$C433))</f>
        <v/>
      </c>
      <c r="F433" s="39" t="str">
        <f>IF($E433="","",(VLOOKUP($B433,DADOS!$C$2:$I1014,7,0)))</f>
        <v/>
      </c>
      <c r="G433" s="40" t="str">
        <f t="shared" si="2"/>
        <v/>
      </c>
      <c r="H433" s="41"/>
      <c r="I433" s="42"/>
      <c r="J433" s="42"/>
      <c r="K433" s="42"/>
      <c r="L433" s="42"/>
      <c r="M433" s="42"/>
      <c r="N433" s="42"/>
      <c r="O433" s="42"/>
      <c r="P433" s="42"/>
      <c r="Q433" s="42"/>
      <c r="R433" s="42"/>
      <c r="S433" s="42"/>
      <c r="T433" s="42"/>
      <c r="U433" s="42"/>
      <c r="V433" s="42"/>
      <c r="W433" s="42"/>
      <c r="X433" s="42"/>
      <c r="Y433" s="42"/>
      <c r="Z433" s="42"/>
      <c r="AA433" s="42"/>
    </row>
    <row r="434">
      <c r="A434" s="36" t="str">
        <f>IF($B434="","",VLOOKUP($B434,DADOS!$C$2:$I1014,2,0))</f>
        <v/>
      </c>
      <c r="B434" s="37"/>
      <c r="C434" s="36"/>
      <c r="D434" s="38" t="str">
        <f>IF($B434="","",SUM(VLOOKUP($B434,DADOS!$C$2:$I1014,4,0)*$C434))</f>
        <v/>
      </c>
      <c r="E434" s="38" t="str">
        <f>IF($B434="","",SUM(VLOOKUP($B434,DADOS!$C$2:$I1014,6,0)*$C434))</f>
        <v/>
      </c>
      <c r="F434" s="39" t="str">
        <f>IF($E434="","",(VLOOKUP($B434,DADOS!$C$2:$I1014,7,0)))</f>
        <v/>
      </c>
      <c r="G434" s="40" t="str">
        <f t="shared" si="2"/>
        <v/>
      </c>
      <c r="H434" s="41"/>
      <c r="I434" s="42"/>
      <c r="J434" s="42"/>
      <c r="K434" s="42"/>
      <c r="L434" s="42"/>
      <c r="M434" s="42"/>
      <c r="N434" s="42"/>
      <c r="O434" s="42"/>
      <c r="P434" s="42"/>
      <c r="Q434" s="42"/>
      <c r="R434" s="42"/>
      <c r="S434" s="42"/>
      <c r="T434" s="42"/>
      <c r="U434" s="42"/>
      <c r="V434" s="42"/>
      <c r="W434" s="42"/>
      <c r="X434" s="42"/>
      <c r="Y434" s="42"/>
      <c r="Z434" s="42"/>
      <c r="AA434" s="42"/>
    </row>
    <row r="435">
      <c r="A435" s="36" t="str">
        <f>IF($B435="","",VLOOKUP($B435,DADOS!$C$2:$I1014,2,0))</f>
        <v/>
      </c>
      <c r="B435" s="37"/>
      <c r="C435" s="36"/>
      <c r="D435" s="38" t="str">
        <f>IF($B435="","",SUM(VLOOKUP($B435,DADOS!$C$2:$I1014,4,0)*$C435))</f>
        <v/>
      </c>
      <c r="E435" s="38" t="str">
        <f>IF($B435="","",SUM(VLOOKUP($B435,DADOS!$C$2:$I1014,6,0)*$C435))</f>
        <v/>
      </c>
      <c r="F435" s="39" t="str">
        <f>IF($E435="","",(VLOOKUP($B435,DADOS!$C$2:$I1014,7,0)))</f>
        <v/>
      </c>
      <c r="G435" s="40" t="str">
        <f t="shared" si="2"/>
        <v/>
      </c>
      <c r="H435" s="41"/>
      <c r="I435" s="42"/>
      <c r="J435" s="42"/>
      <c r="K435" s="42"/>
      <c r="L435" s="42"/>
      <c r="M435" s="42"/>
      <c r="N435" s="42"/>
      <c r="O435" s="42"/>
      <c r="P435" s="42"/>
      <c r="Q435" s="42"/>
      <c r="R435" s="42"/>
      <c r="S435" s="42"/>
      <c r="T435" s="42"/>
      <c r="U435" s="42"/>
      <c r="V435" s="42"/>
      <c r="W435" s="42"/>
      <c r="X435" s="42"/>
      <c r="Y435" s="42"/>
      <c r="Z435" s="42"/>
      <c r="AA435" s="42"/>
    </row>
    <row r="436">
      <c r="A436" s="36" t="str">
        <f>IF($B436="","",VLOOKUP($B436,DADOS!$C$2:$I1014,2,0))</f>
        <v/>
      </c>
      <c r="B436" s="37"/>
      <c r="C436" s="36"/>
      <c r="D436" s="38" t="str">
        <f>IF($B436="","",SUM(VLOOKUP($B436,DADOS!$C$2:$I1014,4,0)*$C436))</f>
        <v/>
      </c>
      <c r="E436" s="38" t="str">
        <f>IF($B436="","",SUM(VLOOKUP($B436,DADOS!$C$2:$I1014,6,0)*$C436))</f>
        <v/>
      </c>
      <c r="F436" s="39" t="str">
        <f>IF($E436="","",(VLOOKUP($B436,DADOS!$C$2:$I1014,7,0)))</f>
        <v/>
      </c>
      <c r="G436" s="40" t="str">
        <f t="shared" si="2"/>
        <v/>
      </c>
      <c r="H436" s="41"/>
      <c r="I436" s="42"/>
      <c r="J436" s="42"/>
      <c r="K436" s="42"/>
      <c r="L436" s="42"/>
      <c r="M436" s="42"/>
      <c r="N436" s="42"/>
      <c r="O436" s="42"/>
      <c r="P436" s="42"/>
      <c r="Q436" s="42"/>
      <c r="R436" s="42"/>
      <c r="S436" s="42"/>
      <c r="T436" s="42"/>
      <c r="U436" s="42"/>
      <c r="V436" s="42"/>
      <c r="W436" s="42"/>
      <c r="X436" s="42"/>
      <c r="Y436" s="42"/>
      <c r="Z436" s="42"/>
      <c r="AA436" s="42"/>
    </row>
    <row r="437">
      <c r="A437" s="36" t="str">
        <f>IF($B437="","",VLOOKUP($B437,DADOS!$C$2:$I1014,2,0))</f>
        <v/>
      </c>
      <c r="B437" s="37"/>
      <c r="C437" s="36"/>
      <c r="D437" s="38" t="str">
        <f>IF($B437="","",SUM(VLOOKUP($B437,DADOS!$C$2:$I1014,4,0)*$C437))</f>
        <v/>
      </c>
      <c r="E437" s="38" t="str">
        <f>IF($B437="","",SUM(VLOOKUP($B437,DADOS!$C$2:$I1014,6,0)*$C437))</f>
        <v/>
      </c>
      <c r="F437" s="39" t="str">
        <f>IF($E437="","",(VLOOKUP($B437,DADOS!$C$2:$I1014,7,0)))</f>
        <v/>
      </c>
      <c r="G437" s="40" t="str">
        <f t="shared" si="2"/>
        <v/>
      </c>
      <c r="H437" s="41"/>
      <c r="I437" s="42"/>
      <c r="J437" s="42"/>
      <c r="K437" s="42"/>
      <c r="L437" s="42"/>
      <c r="M437" s="42"/>
      <c r="N437" s="42"/>
      <c r="O437" s="42"/>
      <c r="P437" s="42"/>
      <c r="Q437" s="42"/>
      <c r="R437" s="42"/>
      <c r="S437" s="42"/>
      <c r="T437" s="42"/>
      <c r="U437" s="42"/>
      <c r="V437" s="42"/>
      <c r="W437" s="42"/>
      <c r="X437" s="42"/>
      <c r="Y437" s="42"/>
      <c r="Z437" s="42"/>
      <c r="AA437" s="42"/>
    </row>
    <row r="438">
      <c r="A438" s="36" t="str">
        <f>IF($B438="","",VLOOKUP($B438,DADOS!$C$2:$I1014,2,0))</f>
        <v/>
      </c>
      <c r="B438" s="37"/>
      <c r="C438" s="36"/>
      <c r="D438" s="38" t="str">
        <f>IF($B438="","",SUM(VLOOKUP($B438,DADOS!$C$2:$I1014,4,0)*$C438))</f>
        <v/>
      </c>
      <c r="E438" s="38" t="str">
        <f>IF($B438="","",SUM(VLOOKUP($B438,DADOS!$C$2:$I1014,6,0)*$C438))</f>
        <v/>
      </c>
      <c r="F438" s="39" t="str">
        <f>IF($E438="","",(VLOOKUP($B438,DADOS!$C$2:$I1014,7,0)))</f>
        <v/>
      </c>
      <c r="G438" s="40" t="str">
        <f t="shared" si="2"/>
        <v/>
      </c>
      <c r="H438" s="41"/>
      <c r="I438" s="42"/>
      <c r="J438" s="42"/>
      <c r="K438" s="42"/>
      <c r="L438" s="42"/>
      <c r="M438" s="42"/>
      <c r="N438" s="42"/>
      <c r="O438" s="42"/>
      <c r="P438" s="42"/>
      <c r="Q438" s="42"/>
      <c r="R438" s="42"/>
      <c r="S438" s="42"/>
      <c r="T438" s="42"/>
      <c r="U438" s="42"/>
      <c r="V438" s="42"/>
      <c r="W438" s="42"/>
      <c r="X438" s="42"/>
      <c r="Y438" s="42"/>
      <c r="Z438" s="42"/>
      <c r="AA438" s="42"/>
    </row>
    <row r="439">
      <c r="A439" s="36" t="str">
        <f>IF($B439="","",VLOOKUP($B439,DADOS!$C$2:$I1014,2,0))</f>
        <v/>
      </c>
      <c r="B439" s="37"/>
      <c r="C439" s="36"/>
      <c r="D439" s="38" t="str">
        <f>IF($B439="","",SUM(VLOOKUP($B439,DADOS!$C$2:$I1014,4,0)*$C439))</f>
        <v/>
      </c>
      <c r="E439" s="38" t="str">
        <f>IF($B439="","",SUM(VLOOKUP($B439,DADOS!$C$2:$I1014,6,0)*$C439))</f>
        <v/>
      </c>
      <c r="F439" s="39" t="str">
        <f>IF($E439="","",(VLOOKUP($B439,DADOS!$C$2:$I1014,7,0)))</f>
        <v/>
      </c>
      <c r="G439" s="40" t="str">
        <f t="shared" si="2"/>
        <v/>
      </c>
      <c r="H439" s="41"/>
      <c r="I439" s="42"/>
      <c r="J439" s="42"/>
      <c r="K439" s="42"/>
      <c r="L439" s="42"/>
      <c r="M439" s="42"/>
      <c r="N439" s="42"/>
      <c r="O439" s="42"/>
      <c r="P439" s="42"/>
      <c r="Q439" s="42"/>
      <c r="R439" s="42"/>
      <c r="S439" s="42"/>
      <c r="T439" s="42"/>
      <c r="U439" s="42"/>
      <c r="V439" s="42"/>
      <c r="W439" s="42"/>
      <c r="X439" s="42"/>
      <c r="Y439" s="42"/>
      <c r="Z439" s="42"/>
      <c r="AA439" s="42"/>
    </row>
    <row r="440">
      <c r="A440" s="36" t="str">
        <f>IF($B440="","",VLOOKUP($B440,DADOS!$C$2:$I1014,2,0))</f>
        <v/>
      </c>
      <c r="B440" s="37"/>
      <c r="C440" s="36"/>
      <c r="D440" s="38" t="str">
        <f>IF($B440="","",SUM(VLOOKUP($B440,DADOS!$C$2:$I1014,4,0)*$C440))</f>
        <v/>
      </c>
      <c r="E440" s="38" t="str">
        <f>IF($B440="","",SUM(VLOOKUP($B440,DADOS!$C$2:$I1014,6,0)*$C440))</f>
        <v/>
      </c>
      <c r="F440" s="39" t="str">
        <f>IF($E440="","",(VLOOKUP($B440,DADOS!$C$2:$I1014,7,0)))</f>
        <v/>
      </c>
      <c r="G440" s="40" t="str">
        <f t="shared" si="2"/>
        <v/>
      </c>
      <c r="H440" s="41"/>
      <c r="I440" s="42"/>
      <c r="J440" s="42"/>
      <c r="K440" s="42"/>
      <c r="L440" s="42"/>
      <c r="M440" s="42"/>
      <c r="N440" s="42"/>
      <c r="O440" s="42"/>
      <c r="P440" s="42"/>
      <c r="Q440" s="42"/>
      <c r="R440" s="42"/>
      <c r="S440" s="42"/>
      <c r="T440" s="42"/>
      <c r="U440" s="42"/>
      <c r="V440" s="42"/>
      <c r="W440" s="42"/>
      <c r="X440" s="42"/>
      <c r="Y440" s="42"/>
      <c r="Z440" s="42"/>
      <c r="AA440" s="42"/>
    </row>
    <row r="441">
      <c r="A441" s="36" t="str">
        <f>IF($B441="","",VLOOKUP($B441,DADOS!$C$2:$I1014,2,0))</f>
        <v/>
      </c>
      <c r="B441" s="37"/>
      <c r="C441" s="36"/>
      <c r="D441" s="38" t="str">
        <f>IF($B441="","",SUM(VLOOKUP($B441,DADOS!$C$2:$I1014,4,0)*$C441))</f>
        <v/>
      </c>
      <c r="E441" s="38" t="str">
        <f>IF($B441="","",SUM(VLOOKUP($B441,DADOS!$C$2:$I1014,6,0)*$C441))</f>
        <v/>
      </c>
      <c r="F441" s="39" t="str">
        <f>IF($E441="","",(VLOOKUP($B441,DADOS!$C$2:$I1014,7,0)))</f>
        <v/>
      </c>
      <c r="G441" s="40" t="str">
        <f t="shared" si="2"/>
        <v/>
      </c>
      <c r="H441" s="41"/>
      <c r="I441" s="42"/>
      <c r="J441" s="42"/>
      <c r="K441" s="42"/>
      <c r="L441" s="42"/>
      <c r="M441" s="42"/>
      <c r="N441" s="42"/>
      <c r="O441" s="42"/>
      <c r="P441" s="42"/>
      <c r="Q441" s="42"/>
      <c r="R441" s="42"/>
      <c r="S441" s="42"/>
      <c r="T441" s="42"/>
      <c r="U441" s="42"/>
      <c r="V441" s="42"/>
      <c r="W441" s="42"/>
      <c r="X441" s="42"/>
      <c r="Y441" s="42"/>
      <c r="Z441" s="42"/>
      <c r="AA441" s="42"/>
    </row>
    <row r="442">
      <c r="A442" s="36" t="str">
        <f>IF($B442="","",VLOOKUP($B442,DADOS!$C$2:$I1014,2,0))</f>
        <v/>
      </c>
      <c r="B442" s="37"/>
      <c r="C442" s="36"/>
      <c r="D442" s="38" t="str">
        <f>IF($B442="","",SUM(VLOOKUP($B442,DADOS!$C$2:$I1014,4,0)*$C442))</f>
        <v/>
      </c>
      <c r="E442" s="38" t="str">
        <f>IF($B442="","",SUM(VLOOKUP($B442,DADOS!$C$2:$I1014,6,0)*$C442))</f>
        <v/>
      </c>
      <c r="F442" s="39" t="str">
        <f>IF($E442="","",(VLOOKUP($B442,DADOS!$C$2:$I1014,7,0)))</f>
        <v/>
      </c>
      <c r="G442" s="40" t="str">
        <f t="shared" si="2"/>
        <v/>
      </c>
      <c r="H442" s="41"/>
      <c r="I442" s="42"/>
      <c r="J442" s="42"/>
      <c r="K442" s="42"/>
      <c r="L442" s="42"/>
      <c r="M442" s="42"/>
      <c r="N442" s="42"/>
      <c r="O442" s="42"/>
      <c r="P442" s="42"/>
      <c r="Q442" s="42"/>
      <c r="R442" s="42"/>
      <c r="S442" s="42"/>
      <c r="T442" s="42"/>
      <c r="U442" s="42"/>
      <c r="V442" s="42"/>
      <c r="W442" s="42"/>
      <c r="X442" s="42"/>
      <c r="Y442" s="42"/>
      <c r="Z442" s="42"/>
      <c r="AA442" s="42"/>
    </row>
    <row r="443">
      <c r="A443" s="36" t="str">
        <f>IF($B443="","",VLOOKUP($B443,DADOS!$C$2:$I1014,2,0))</f>
        <v/>
      </c>
      <c r="B443" s="37"/>
      <c r="C443" s="36"/>
      <c r="D443" s="38" t="str">
        <f>IF($B443="","",SUM(VLOOKUP($B443,DADOS!$C$2:$I1014,4,0)*$C443))</f>
        <v/>
      </c>
      <c r="E443" s="38" t="str">
        <f>IF($B443="","",SUM(VLOOKUP($B443,DADOS!$C$2:$I1014,6,0)*$C443))</f>
        <v/>
      </c>
      <c r="F443" s="39" t="str">
        <f>IF($E443="","",(VLOOKUP($B443,DADOS!$C$2:$I1014,7,0)))</f>
        <v/>
      </c>
      <c r="G443" s="40" t="str">
        <f t="shared" si="2"/>
        <v/>
      </c>
      <c r="H443" s="41"/>
      <c r="I443" s="42"/>
      <c r="J443" s="42"/>
      <c r="K443" s="42"/>
      <c r="L443" s="42"/>
      <c r="M443" s="42"/>
      <c r="N443" s="42"/>
      <c r="O443" s="42"/>
      <c r="P443" s="42"/>
      <c r="Q443" s="42"/>
      <c r="R443" s="42"/>
      <c r="S443" s="42"/>
      <c r="T443" s="42"/>
      <c r="U443" s="42"/>
      <c r="V443" s="42"/>
      <c r="W443" s="42"/>
      <c r="X443" s="42"/>
      <c r="Y443" s="42"/>
      <c r="Z443" s="42"/>
      <c r="AA443" s="42"/>
    </row>
    <row r="444">
      <c r="A444" s="36" t="str">
        <f>IF($B444="","",VLOOKUP($B444,DADOS!$C$2:$I1014,2,0))</f>
        <v/>
      </c>
      <c r="B444" s="37"/>
      <c r="C444" s="36"/>
      <c r="D444" s="38" t="str">
        <f>IF($B444="","",SUM(VLOOKUP($B444,DADOS!$C$2:$I1014,4,0)*$C444))</f>
        <v/>
      </c>
      <c r="E444" s="38" t="str">
        <f>IF($B444="","",SUM(VLOOKUP($B444,DADOS!$C$2:$I1014,6,0)*$C444))</f>
        <v/>
      </c>
      <c r="F444" s="39" t="str">
        <f>IF($E444="","",(VLOOKUP($B444,DADOS!$C$2:$I1014,7,0)))</f>
        <v/>
      </c>
      <c r="G444" s="40" t="str">
        <f t="shared" si="2"/>
        <v/>
      </c>
      <c r="H444" s="41"/>
      <c r="I444" s="42"/>
      <c r="J444" s="42"/>
      <c r="K444" s="42"/>
      <c r="L444" s="42"/>
      <c r="M444" s="42"/>
      <c r="N444" s="42"/>
      <c r="O444" s="42"/>
      <c r="P444" s="42"/>
      <c r="Q444" s="42"/>
      <c r="R444" s="42"/>
      <c r="S444" s="42"/>
      <c r="T444" s="42"/>
      <c r="U444" s="42"/>
      <c r="V444" s="42"/>
      <c r="W444" s="42"/>
      <c r="X444" s="42"/>
      <c r="Y444" s="42"/>
      <c r="Z444" s="42"/>
      <c r="AA444" s="42"/>
    </row>
    <row r="445">
      <c r="A445" s="36" t="str">
        <f>IF($B445="","",VLOOKUP($B445,DADOS!$C$2:$I1014,2,0))</f>
        <v/>
      </c>
      <c r="B445" s="37"/>
      <c r="C445" s="36"/>
      <c r="D445" s="38" t="str">
        <f>IF($B445="","",SUM(VLOOKUP($B445,DADOS!$C$2:$I1014,4,0)*$C445))</f>
        <v/>
      </c>
      <c r="E445" s="38" t="str">
        <f>IF($B445="","",SUM(VLOOKUP($B445,DADOS!$C$2:$I1014,6,0)*$C445))</f>
        <v/>
      </c>
      <c r="F445" s="39" t="str">
        <f>IF($E445="","",(VLOOKUP($B445,DADOS!$C$2:$I1014,7,0)))</f>
        <v/>
      </c>
      <c r="G445" s="40" t="str">
        <f t="shared" si="2"/>
        <v/>
      </c>
      <c r="H445" s="41"/>
      <c r="I445" s="42"/>
      <c r="J445" s="42"/>
      <c r="K445" s="42"/>
      <c r="L445" s="42"/>
      <c r="M445" s="42"/>
      <c r="N445" s="42"/>
      <c r="O445" s="42"/>
      <c r="P445" s="42"/>
      <c r="Q445" s="42"/>
      <c r="R445" s="42"/>
      <c r="S445" s="42"/>
      <c r="T445" s="42"/>
      <c r="U445" s="42"/>
      <c r="V445" s="42"/>
      <c r="W445" s="42"/>
      <c r="X445" s="42"/>
      <c r="Y445" s="42"/>
      <c r="Z445" s="42"/>
      <c r="AA445" s="42"/>
    </row>
    <row r="446">
      <c r="A446" s="36" t="str">
        <f>IF($B446="","",VLOOKUP($B446,DADOS!$C$2:$I1014,2,0))</f>
        <v/>
      </c>
      <c r="B446" s="37"/>
      <c r="C446" s="36"/>
      <c r="D446" s="38" t="str">
        <f>IF($B446="","",SUM(VLOOKUP($B446,DADOS!$C$2:$I1014,4,0)*$C446))</f>
        <v/>
      </c>
      <c r="E446" s="38" t="str">
        <f>IF($B446="","",SUM(VLOOKUP($B446,DADOS!$C$2:$I1014,6,0)*$C446))</f>
        <v/>
      </c>
      <c r="F446" s="39" t="str">
        <f>IF($E446="","",(VLOOKUP($B446,DADOS!$C$2:$I1014,7,0)))</f>
        <v/>
      </c>
      <c r="G446" s="40" t="str">
        <f t="shared" si="2"/>
        <v/>
      </c>
      <c r="H446" s="41"/>
      <c r="I446" s="42"/>
      <c r="J446" s="42"/>
      <c r="K446" s="42"/>
      <c r="L446" s="42"/>
      <c r="M446" s="42"/>
      <c r="N446" s="42"/>
      <c r="O446" s="42"/>
      <c r="P446" s="42"/>
      <c r="Q446" s="42"/>
      <c r="R446" s="42"/>
      <c r="S446" s="42"/>
      <c r="T446" s="42"/>
      <c r="U446" s="42"/>
      <c r="V446" s="42"/>
      <c r="W446" s="42"/>
      <c r="X446" s="42"/>
      <c r="Y446" s="42"/>
      <c r="Z446" s="42"/>
      <c r="AA446" s="42"/>
    </row>
    <row r="447">
      <c r="A447" s="36" t="str">
        <f>IF($B447="","",VLOOKUP($B447,DADOS!$C$2:$I1014,2,0))</f>
        <v/>
      </c>
      <c r="B447" s="37"/>
      <c r="C447" s="36"/>
      <c r="D447" s="38" t="str">
        <f>IF($B447="","",SUM(VLOOKUP($B447,DADOS!$C$2:$I1014,4,0)*$C447))</f>
        <v/>
      </c>
      <c r="E447" s="38" t="str">
        <f>IF($B447="","",SUM(VLOOKUP($B447,DADOS!$C$2:$I1014,6,0)*$C447))</f>
        <v/>
      </c>
      <c r="F447" s="39" t="str">
        <f>IF($E447="","",(VLOOKUP($B447,DADOS!$C$2:$I1014,7,0)))</f>
        <v/>
      </c>
      <c r="G447" s="40" t="str">
        <f t="shared" si="2"/>
        <v/>
      </c>
      <c r="H447" s="41"/>
      <c r="I447" s="42"/>
      <c r="J447" s="42"/>
      <c r="K447" s="42"/>
      <c r="L447" s="42"/>
      <c r="M447" s="42"/>
      <c r="N447" s="42"/>
      <c r="O447" s="42"/>
      <c r="P447" s="42"/>
      <c r="Q447" s="42"/>
      <c r="R447" s="42"/>
      <c r="S447" s="42"/>
      <c r="T447" s="42"/>
      <c r="U447" s="42"/>
      <c r="V447" s="42"/>
      <c r="W447" s="42"/>
      <c r="X447" s="42"/>
      <c r="Y447" s="42"/>
      <c r="Z447" s="42"/>
      <c r="AA447" s="42"/>
    </row>
    <row r="448">
      <c r="A448" s="36" t="str">
        <f>IF($B448="","",VLOOKUP($B448,DADOS!$C$2:$I1014,2,0))</f>
        <v/>
      </c>
      <c r="B448" s="37"/>
      <c r="C448" s="36"/>
      <c r="D448" s="38" t="str">
        <f>IF($B448="","",SUM(VLOOKUP($B448,DADOS!$C$2:$I1014,4,0)*$C448))</f>
        <v/>
      </c>
      <c r="E448" s="38" t="str">
        <f>IF($B448="","",SUM(VLOOKUP($B448,DADOS!$C$2:$I1014,6,0)*$C448))</f>
        <v/>
      </c>
      <c r="F448" s="39" t="str">
        <f>IF($E448="","",(VLOOKUP($B448,DADOS!$C$2:$I1014,7,0)))</f>
        <v/>
      </c>
      <c r="G448" s="40" t="str">
        <f t="shared" si="2"/>
        <v/>
      </c>
      <c r="H448" s="41"/>
      <c r="I448" s="42"/>
      <c r="J448" s="42"/>
      <c r="K448" s="42"/>
      <c r="L448" s="42"/>
      <c r="M448" s="42"/>
      <c r="N448" s="42"/>
      <c r="O448" s="42"/>
      <c r="P448" s="42"/>
      <c r="Q448" s="42"/>
      <c r="R448" s="42"/>
      <c r="S448" s="42"/>
      <c r="T448" s="42"/>
      <c r="U448" s="42"/>
      <c r="V448" s="42"/>
      <c r="W448" s="42"/>
      <c r="X448" s="42"/>
      <c r="Y448" s="42"/>
      <c r="Z448" s="42"/>
      <c r="AA448" s="42"/>
    </row>
    <row r="449">
      <c r="A449" s="36" t="str">
        <f>IF($B449="","",VLOOKUP($B449,DADOS!$C$2:$I1014,2,0))</f>
        <v/>
      </c>
      <c r="B449" s="37"/>
      <c r="C449" s="36"/>
      <c r="D449" s="38" t="str">
        <f>IF($B449="","",SUM(VLOOKUP($B449,DADOS!$C$2:$I1014,4,0)*$C449))</f>
        <v/>
      </c>
      <c r="E449" s="38" t="str">
        <f>IF($B449="","",SUM(VLOOKUP($B449,DADOS!$C$2:$I1014,6,0)*$C449))</f>
        <v/>
      </c>
      <c r="F449" s="39" t="str">
        <f>IF($E449="","",(VLOOKUP($B449,DADOS!$C$2:$I1014,7,0)))</f>
        <v/>
      </c>
      <c r="G449" s="40" t="str">
        <f t="shared" si="2"/>
        <v/>
      </c>
      <c r="H449" s="41"/>
      <c r="I449" s="42"/>
      <c r="J449" s="42"/>
      <c r="K449" s="42"/>
      <c r="L449" s="42"/>
      <c r="M449" s="42"/>
      <c r="N449" s="42"/>
      <c r="O449" s="42"/>
      <c r="P449" s="42"/>
      <c r="Q449" s="42"/>
      <c r="R449" s="42"/>
      <c r="S449" s="42"/>
      <c r="T449" s="42"/>
      <c r="U449" s="42"/>
      <c r="V449" s="42"/>
      <c r="W449" s="42"/>
      <c r="X449" s="42"/>
      <c r="Y449" s="42"/>
      <c r="Z449" s="42"/>
      <c r="AA449" s="42"/>
    </row>
    <row r="450">
      <c r="A450" s="36" t="str">
        <f>IF($B450="","",VLOOKUP($B450,DADOS!$C$2:$I1014,2,0))</f>
        <v/>
      </c>
      <c r="B450" s="37"/>
      <c r="C450" s="36"/>
      <c r="D450" s="38" t="str">
        <f>IF($B450="","",SUM(VLOOKUP($B450,DADOS!$C$2:$I1014,4,0)*$C450))</f>
        <v/>
      </c>
      <c r="E450" s="38" t="str">
        <f>IF($B450="","",SUM(VLOOKUP($B450,DADOS!$C$2:$I1014,6,0)*$C450))</f>
        <v/>
      </c>
      <c r="F450" s="39" t="str">
        <f>IF($E450="","",(VLOOKUP($B450,DADOS!$C$2:$I1014,7,0)))</f>
        <v/>
      </c>
      <c r="G450" s="40" t="str">
        <f t="shared" si="2"/>
        <v/>
      </c>
      <c r="H450" s="41"/>
      <c r="I450" s="42"/>
      <c r="J450" s="42"/>
      <c r="K450" s="42"/>
      <c r="L450" s="42"/>
      <c r="M450" s="42"/>
      <c r="N450" s="42"/>
      <c r="O450" s="42"/>
      <c r="P450" s="42"/>
      <c r="Q450" s="42"/>
      <c r="R450" s="42"/>
      <c r="S450" s="42"/>
      <c r="T450" s="42"/>
      <c r="U450" s="42"/>
      <c r="V450" s="42"/>
      <c r="W450" s="42"/>
      <c r="X450" s="42"/>
      <c r="Y450" s="42"/>
      <c r="Z450" s="42"/>
      <c r="AA450" s="42"/>
    </row>
    <row r="451">
      <c r="A451" s="36" t="str">
        <f>IF($B451="","",VLOOKUP($B451,DADOS!$C$2:$I1014,2,0))</f>
        <v/>
      </c>
      <c r="B451" s="37"/>
      <c r="C451" s="36"/>
      <c r="D451" s="38" t="str">
        <f>IF($B451="","",SUM(VLOOKUP($B451,DADOS!$C$2:$I1014,4,0)*$C451))</f>
        <v/>
      </c>
      <c r="E451" s="38" t="str">
        <f>IF($B451="","",SUM(VLOOKUP($B451,DADOS!$C$2:$I1014,6,0)*$C451))</f>
        <v/>
      </c>
      <c r="F451" s="39" t="str">
        <f>IF($E451="","",(VLOOKUP($B451,DADOS!$C$2:$I1014,7,0)))</f>
        <v/>
      </c>
      <c r="G451" s="40" t="str">
        <f t="shared" si="2"/>
        <v/>
      </c>
      <c r="H451" s="41"/>
      <c r="I451" s="42"/>
      <c r="J451" s="42"/>
      <c r="K451" s="42"/>
      <c r="L451" s="42"/>
      <c r="M451" s="42"/>
      <c r="N451" s="42"/>
      <c r="O451" s="42"/>
      <c r="P451" s="42"/>
      <c r="Q451" s="42"/>
      <c r="R451" s="42"/>
      <c r="S451" s="42"/>
      <c r="T451" s="42"/>
      <c r="U451" s="42"/>
      <c r="V451" s="42"/>
      <c r="W451" s="42"/>
      <c r="X451" s="42"/>
      <c r="Y451" s="42"/>
      <c r="Z451" s="42"/>
      <c r="AA451" s="42"/>
    </row>
    <row r="452">
      <c r="A452" s="36" t="str">
        <f>IF($B452="","",VLOOKUP($B452,DADOS!$C$2:$I1014,2,0))</f>
        <v/>
      </c>
      <c r="B452" s="37"/>
      <c r="C452" s="36"/>
      <c r="D452" s="38" t="str">
        <f>IF($B452="","",SUM(VLOOKUP($B452,DADOS!$C$2:$I1014,4,0)*$C452))</f>
        <v/>
      </c>
      <c r="E452" s="38" t="str">
        <f>IF($B452="","",SUM(VLOOKUP($B452,DADOS!$C$2:$I1014,6,0)*$C452))</f>
        <v/>
      </c>
      <c r="F452" s="39" t="str">
        <f>IF($E452="","",(VLOOKUP($B452,DADOS!$C$2:$I1014,7,0)))</f>
        <v/>
      </c>
      <c r="G452" s="40" t="str">
        <f t="shared" si="2"/>
        <v/>
      </c>
      <c r="H452" s="41"/>
      <c r="I452" s="42"/>
      <c r="J452" s="42"/>
      <c r="K452" s="42"/>
      <c r="L452" s="42"/>
      <c r="M452" s="42"/>
      <c r="N452" s="42"/>
      <c r="O452" s="42"/>
      <c r="P452" s="42"/>
      <c r="Q452" s="42"/>
      <c r="R452" s="42"/>
      <c r="S452" s="42"/>
      <c r="T452" s="42"/>
      <c r="U452" s="42"/>
      <c r="V452" s="42"/>
      <c r="W452" s="42"/>
      <c r="X452" s="42"/>
      <c r="Y452" s="42"/>
      <c r="Z452" s="42"/>
      <c r="AA452" s="42"/>
    </row>
    <row r="453">
      <c r="A453" s="36" t="str">
        <f>IF($B453="","",VLOOKUP($B453,DADOS!$C$2:$I1014,2,0))</f>
        <v/>
      </c>
      <c r="B453" s="37"/>
      <c r="C453" s="36"/>
      <c r="D453" s="38" t="str">
        <f>IF($B453="","",SUM(VLOOKUP($B453,DADOS!$C$2:$I1014,4,0)*$C453))</f>
        <v/>
      </c>
      <c r="E453" s="38" t="str">
        <f>IF($B453="","",SUM(VLOOKUP($B453,DADOS!$C$2:$I1014,6,0)*$C453))</f>
        <v/>
      </c>
      <c r="F453" s="39" t="str">
        <f>IF($E453="","",(VLOOKUP($B453,DADOS!$C$2:$I1014,7,0)))</f>
        <v/>
      </c>
      <c r="G453" s="40" t="str">
        <f t="shared" si="2"/>
        <v/>
      </c>
      <c r="H453" s="41"/>
      <c r="I453" s="42"/>
      <c r="J453" s="42"/>
      <c r="K453" s="42"/>
      <c r="L453" s="42"/>
      <c r="M453" s="42"/>
      <c r="N453" s="42"/>
      <c r="O453" s="42"/>
      <c r="P453" s="42"/>
      <c r="Q453" s="42"/>
      <c r="R453" s="42"/>
      <c r="S453" s="42"/>
      <c r="T453" s="42"/>
      <c r="U453" s="42"/>
      <c r="V453" s="42"/>
      <c r="W453" s="42"/>
      <c r="X453" s="42"/>
      <c r="Y453" s="42"/>
      <c r="Z453" s="42"/>
      <c r="AA453" s="42"/>
    </row>
    <row r="454">
      <c r="A454" s="36" t="str">
        <f>IF($B454="","",VLOOKUP($B454,DADOS!$C$2:$I1014,2,0))</f>
        <v/>
      </c>
      <c r="B454" s="37"/>
      <c r="C454" s="36"/>
      <c r="D454" s="38" t="str">
        <f>IF($B454="","",SUM(VLOOKUP($B454,DADOS!$C$2:$I1014,4,0)*$C454))</f>
        <v/>
      </c>
      <c r="E454" s="38" t="str">
        <f>IF($B454="","",SUM(VLOOKUP($B454,DADOS!$C$2:$I1014,6,0)*$C454))</f>
        <v/>
      </c>
      <c r="F454" s="39" t="str">
        <f>IF($E454="","",(VLOOKUP($B454,DADOS!$C$2:$I1014,7,0)))</f>
        <v/>
      </c>
      <c r="G454" s="40" t="str">
        <f t="shared" si="2"/>
        <v/>
      </c>
      <c r="H454" s="41"/>
      <c r="I454" s="42"/>
      <c r="J454" s="42"/>
      <c r="K454" s="42"/>
      <c r="L454" s="42"/>
      <c r="M454" s="42"/>
      <c r="N454" s="42"/>
      <c r="O454" s="42"/>
      <c r="P454" s="42"/>
      <c r="Q454" s="42"/>
      <c r="R454" s="42"/>
      <c r="S454" s="42"/>
      <c r="T454" s="42"/>
      <c r="U454" s="42"/>
      <c r="V454" s="42"/>
      <c r="W454" s="42"/>
      <c r="X454" s="42"/>
      <c r="Y454" s="42"/>
      <c r="Z454" s="42"/>
      <c r="AA454" s="42"/>
    </row>
    <row r="455">
      <c r="A455" s="36" t="str">
        <f>IF($B455="","",VLOOKUP($B455,DADOS!$C$2:$I1014,2,0))</f>
        <v/>
      </c>
      <c r="B455" s="37"/>
      <c r="C455" s="36"/>
      <c r="D455" s="38" t="str">
        <f>IF($B455="","",SUM(VLOOKUP($B455,DADOS!$C$2:$I1014,4,0)*$C455))</f>
        <v/>
      </c>
      <c r="E455" s="38" t="str">
        <f>IF($B455="","",SUM(VLOOKUP($B455,DADOS!$C$2:$I1014,6,0)*$C455))</f>
        <v/>
      </c>
      <c r="F455" s="39" t="str">
        <f>IF($E455="","",(VLOOKUP($B455,DADOS!$C$2:$I1014,7,0)))</f>
        <v/>
      </c>
      <c r="G455" s="40" t="str">
        <f t="shared" si="2"/>
        <v/>
      </c>
      <c r="H455" s="41"/>
      <c r="I455" s="42"/>
      <c r="J455" s="42"/>
      <c r="K455" s="42"/>
      <c r="L455" s="42"/>
      <c r="M455" s="42"/>
      <c r="N455" s="42"/>
      <c r="O455" s="42"/>
      <c r="P455" s="42"/>
      <c r="Q455" s="42"/>
      <c r="R455" s="42"/>
      <c r="S455" s="42"/>
      <c r="T455" s="42"/>
      <c r="U455" s="42"/>
      <c r="V455" s="42"/>
      <c r="W455" s="42"/>
      <c r="X455" s="42"/>
      <c r="Y455" s="42"/>
      <c r="Z455" s="42"/>
      <c r="AA455" s="42"/>
    </row>
    <row r="456">
      <c r="A456" s="36" t="str">
        <f>IF($B456="","",VLOOKUP($B456,DADOS!$C$2:$I1014,2,0))</f>
        <v/>
      </c>
      <c r="B456" s="37"/>
      <c r="C456" s="36"/>
      <c r="D456" s="38" t="str">
        <f>IF($B456="","",SUM(VLOOKUP($B456,DADOS!$C$2:$I1014,4,0)*$C456))</f>
        <v/>
      </c>
      <c r="E456" s="38" t="str">
        <f>IF($B456="","",SUM(VLOOKUP($B456,DADOS!$C$2:$I1014,6,0)*$C456))</f>
        <v/>
      </c>
      <c r="F456" s="39" t="str">
        <f>IF($E456="","",(VLOOKUP($B456,DADOS!$C$2:$I1014,7,0)))</f>
        <v/>
      </c>
      <c r="G456" s="40" t="str">
        <f t="shared" si="2"/>
        <v/>
      </c>
      <c r="H456" s="41"/>
      <c r="I456" s="42"/>
      <c r="J456" s="42"/>
      <c r="K456" s="42"/>
      <c r="L456" s="42"/>
      <c r="M456" s="42"/>
      <c r="N456" s="42"/>
      <c r="O456" s="42"/>
      <c r="P456" s="42"/>
      <c r="Q456" s="42"/>
      <c r="R456" s="42"/>
      <c r="S456" s="42"/>
      <c r="T456" s="42"/>
      <c r="U456" s="42"/>
      <c r="V456" s="42"/>
      <c r="W456" s="42"/>
      <c r="X456" s="42"/>
      <c r="Y456" s="42"/>
      <c r="Z456" s="42"/>
      <c r="AA456" s="42"/>
    </row>
    <row r="457">
      <c r="A457" s="36" t="str">
        <f>IF($B457="","",VLOOKUP($B457,DADOS!$C$2:$I1014,2,0))</f>
        <v/>
      </c>
      <c r="B457" s="37"/>
      <c r="C457" s="36"/>
      <c r="D457" s="38" t="str">
        <f>IF($B457="","",SUM(VLOOKUP($B457,DADOS!$C$2:$I1014,4,0)*$C457))</f>
        <v/>
      </c>
      <c r="E457" s="38" t="str">
        <f>IF($B457="","",SUM(VLOOKUP($B457,DADOS!$C$2:$I1014,6,0)*$C457))</f>
        <v/>
      </c>
      <c r="F457" s="39" t="str">
        <f>IF($E457="","",(VLOOKUP($B457,DADOS!$C$2:$I1014,7,0)))</f>
        <v/>
      </c>
      <c r="G457" s="40" t="str">
        <f t="shared" si="2"/>
        <v/>
      </c>
      <c r="H457" s="41"/>
      <c r="I457" s="42"/>
      <c r="J457" s="42"/>
      <c r="K457" s="42"/>
      <c r="L457" s="42"/>
      <c r="M457" s="42"/>
      <c r="N457" s="42"/>
      <c r="O457" s="42"/>
      <c r="P457" s="42"/>
      <c r="Q457" s="42"/>
      <c r="R457" s="42"/>
      <c r="S457" s="42"/>
      <c r="T457" s="42"/>
      <c r="U457" s="42"/>
      <c r="V457" s="42"/>
      <c r="W457" s="42"/>
      <c r="X457" s="42"/>
      <c r="Y457" s="42"/>
      <c r="Z457" s="42"/>
      <c r="AA457" s="42"/>
    </row>
    <row r="458">
      <c r="A458" s="36" t="str">
        <f>IF($B458="","",VLOOKUP($B458,DADOS!$C$2:$I1014,2,0))</f>
        <v/>
      </c>
      <c r="B458" s="37"/>
      <c r="C458" s="36"/>
      <c r="D458" s="38" t="str">
        <f>IF($B458="","",SUM(VLOOKUP($B458,DADOS!$C$2:$I1014,4,0)*$C458))</f>
        <v/>
      </c>
      <c r="E458" s="38" t="str">
        <f>IF($B458="","",SUM(VLOOKUP($B458,DADOS!$C$2:$I1014,6,0)*$C458))</f>
        <v/>
      </c>
      <c r="F458" s="39" t="str">
        <f>IF($E458="","",(VLOOKUP($B458,DADOS!$C$2:$I1014,7,0)))</f>
        <v/>
      </c>
      <c r="G458" s="40" t="str">
        <f t="shared" si="2"/>
        <v/>
      </c>
      <c r="H458" s="41"/>
      <c r="I458" s="42"/>
      <c r="J458" s="42"/>
      <c r="K458" s="42"/>
      <c r="L458" s="42"/>
      <c r="M458" s="42"/>
      <c r="N458" s="42"/>
      <c r="O458" s="42"/>
      <c r="P458" s="42"/>
      <c r="Q458" s="42"/>
      <c r="R458" s="42"/>
      <c r="S458" s="42"/>
      <c r="T458" s="42"/>
      <c r="U458" s="42"/>
      <c r="V458" s="42"/>
      <c r="W458" s="42"/>
      <c r="X458" s="42"/>
      <c r="Y458" s="42"/>
      <c r="Z458" s="42"/>
      <c r="AA458" s="42"/>
    </row>
    <row r="459">
      <c r="A459" s="36" t="str">
        <f>IF($B459="","",VLOOKUP($B459,DADOS!$C$2:$I1014,2,0))</f>
        <v/>
      </c>
      <c r="B459" s="37"/>
      <c r="C459" s="36"/>
      <c r="D459" s="38" t="str">
        <f>IF($B459="","",SUM(VLOOKUP($B459,DADOS!$C$2:$I1014,4,0)*$C459))</f>
        <v/>
      </c>
      <c r="E459" s="38" t="str">
        <f>IF($B459="","",SUM(VLOOKUP($B459,DADOS!$C$2:$I1014,6,0)*$C459))</f>
        <v/>
      </c>
      <c r="F459" s="39" t="str">
        <f>IF($E459="","",(VLOOKUP($B459,DADOS!$C$2:$I1014,7,0)))</f>
        <v/>
      </c>
      <c r="G459" s="40" t="str">
        <f t="shared" si="2"/>
        <v/>
      </c>
      <c r="H459" s="41"/>
      <c r="I459" s="42"/>
      <c r="J459" s="42"/>
      <c r="K459" s="42"/>
      <c r="L459" s="42"/>
      <c r="M459" s="42"/>
      <c r="N459" s="42"/>
      <c r="O459" s="42"/>
      <c r="P459" s="42"/>
      <c r="Q459" s="42"/>
      <c r="R459" s="42"/>
      <c r="S459" s="42"/>
      <c r="T459" s="42"/>
      <c r="U459" s="42"/>
      <c r="V459" s="42"/>
      <c r="W459" s="42"/>
      <c r="X459" s="42"/>
      <c r="Y459" s="42"/>
      <c r="Z459" s="42"/>
      <c r="AA459" s="42"/>
    </row>
    <row r="460">
      <c r="A460" s="36" t="str">
        <f>IF($B460="","",VLOOKUP($B460,DADOS!$C$2:$I1014,2,0))</f>
        <v/>
      </c>
      <c r="B460" s="37"/>
      <c r="C460" s="36"/>
      <c r="D460" s="38" t="str">
        <f>IF($B460="","",SUM(VLOOKUP($B460,DADOS!$C$2:$I1014,4,0)*$C460))</f>
        <v/>
      </c>
      <c r="E460" s="38" t="str">
        <f>IF($B460="","",SUM(VLOOKUP($B460,DADOS!$C$2:$I1014,6,0)*$C460))</f>
        <v/>
      </c>
      <c r="F460" s="39" t="str">
        <f>IF($E460="","",(VLOOKUP($B460,DADOS!$C$2:$I1014,7,0)))</f>
        <v/>
      </c>
      <c r="G460" s="40" t="str">
        <f t="shared" si="2"/>
        <v/>
      </c>
      <c r="H460" s="41"/>
      <c r="I460" s="42"/>
      <c r="J460" s="42"/>
      <c r="K460" s="42"/>
      <c r="L460" s="42"/>
      <c r="M460" s="42"/>
      <c r="N460" s="42"/>
      <c r="O460" s="42"/>
      <c r="P460" s="42"/>
      <c r="Q460" s="42"/>
      <c r="R460" s="42"/>
      <c r="S460" s="42"/>
      <c r="T460" s="42"/>
      <c r="U460" s="42"/>
      <c r="V460" s="42"/>
      <c r="W460" s="42"/>
      <c r="X460" s="42"/>
      <c r="Y460" s="42"/>
      <c r="Z460" s="42"/>
      <c r="AA460" s="42"/>
    </row>
    <row r="461">
      <c r="A461" s="36" t="str">
        <f>IF($B461="","",VLOOKUP($B461,DADOS!$C$2:$I1014,2,0))</f>
        <v/>
      </c>
      <c r="B461" s="37"/>
      <c r="C461" s="36"/>
      <c r="D461" s="38" t="str">
        <f>IF($B461="","",SUM(VLOOKUP($B461,DADOS!$C$2:$I1014,4,0)*$C461))</f>
        <v/>
      </c>
      <c r="E461" s="38" t="str">
        <f>IF($B461="","",SUM(VLOOKUP($B461,DADOS!$C$2:$I1014,6,0)*$C461))</f>
        <v/>
      </c>
      <c r="F461" s="39" t="str">
        <f>IF($E461="","",(VLOOKUP($B461,DADOS!$C$2:$I1014,7,0)))</f>
        <v/>
      </c>
      <c r="G461" s="40" t="str">
        <f t="shared" si="2"/>
        <v/>
      </c>
      <c r="H461" s="41"/>
      <c r="I461" s="42"/>
      <c r="J461" s="42"/>
      <c r="K461" s="42"/>
      <c r="L461" s="42"/>
      <c r="M461" s="42"/>
      <c r="N461" s="42"/>
      <c r="O461" s="42"/>
      <c r="P461" s="42"/>
      <c r="Q461" s="42"/>
      <c r="R461" s="42"/>
      <c r="S461" s="42"/>
      <c r="T461" s="42"/>
      <c r="U461" s="42"/>
      <c r="V461" s="42"/>
      <c r="W461" s="42"/>
      <c r="X461" s="42"/>
      <c r="Y461" s="42"/>
      <c r="Z461" s="42"/>
      <c r="AA461" s="42"/>
    </row>
    <row r="462">
      <c r="A462" s="36" t="str">
        <f>IF($B462="","",VLOOKUP($B462,DADOS!$C$2:$I1014,2,0))</f>
        <v/>
      </c>
      <c r="B462" s="37"/>
      <c r="C462" s="36"/>
      <c r="D462" s="38" t="str">
        <f>IF($B462="","",SUM(VLOOKUP($B462,DADOS!$C$2:$I1014,4,0)*$C462))</f>
        <v/>
      </c>
      <c r="E462" s="38" t="str">
        <f>IF($B462="","",SUM(VLOOKUP($B462,DADOS!$C$2:$I1014,6,0)*$C462))</f>
        <v/>
      </c>
      <c r="F462" s="39" t="str">
        <f>IF($E462="","",(VLOOKUP($B462,DADOS!$C$2:$I1014,7,0)))</f>
        <v/>
      </c>
      <c r="G462" s="40" t="str">
        <f t="shared" si="2"/>
        <v/>
      </c>
      <c r="H462" s="41"/>
      <c r="I462" s="42"/>
      <c r="J462" s="42"/>
      <c r="K462" s="42"/>
      <c r="L462" s="42"/>
      <c r="M462" s="42"/>
      <c r="N462" s="42"/>
      <c r="O462" s="42"/>
      <c r="P462" s="42"/>
      <c r="Q462" s="42"/>
      <c r="R462" s="42"/>
      <c r="S462" s="42"/>
      <c r="T462" s="42"/>
      <c r="U462" s="42"/>
      <c r="V462" s="42"/>
      <c r="W462" s="42"/>
      <c r="X462" s="42"/>
      <c r="Y462" s="42"/>
      <c r="Z462" s="42"/>
      <c r="AA462" s="42"/>
    </row>
    <row r="463">
      <c r="A463" s="36" t="str">
        <f>IF($B463="","",VLOOKUP($B463,DADOS!$C$2:$I1014,2,0))</f>
        <v/>
      </c>
      <c r="B463" s="37"/>
      <c r="C463" s="36"/>
      <c r="D463" s="38" t="str">
        <f>IF($B463="","",SUM(VLOOKUP($B463,DADOS!$C$2:$I1014,4,0)*$C463))</f>
        <v/>
      </c>
      <c r="E463" s="38" t="str">
        <f>IF($B463="","",SUM(VLOOKUP($B463,DADOS!$C$2:$I1014,6,0)*$C463))</f>
        <v/>
      </c>
      <c r="F463" s="39" t="str">
        <f>IF($E463="","",(VLOOKUP($B463,DADOS!$C$2:$I1014,7,0)))</f>
        <v/>
      </c>
      <c r="G463" s="40" t="str">
        <f t="shared" si="2"/>
        <v/>
      </c>
      <c r="H463" s="41"/>
      <c r="I463" s="42"/>
      <c r="J463" s="42"/>
      <c r="K463" s="42"/>
      <c r="L463" s="42"/>
      <c r="M463" s="42"/>
      <c r="N463" s="42"/>
      <c r="O463" s="42"/>
      <c r="P463" s="42"/>
      <c r="Q463" s="42"/>
      <c r="R463" s="42"/>
      <c r="S463" s="42"/>
      <c r="T463" s="42"/>
      <c r="U463" s="42"/>
      <c r="V463" s="42"/>
      <c r="W463" s="42"/>
      <c r="X463" s="42"/>
      <c r="Y463" s="42"/>
      <c r="Z463" s="42"/>
      <c r="AA463" s="42"/>
    </row>
    <row r="464">
      <c r="A464" s="36" t="str">
        <f>IF($B464="","",VLOOKUP($B464,DADOS!$C$2:$I1014,2,0))</f>
        <v/>
      </c>
      <c r="B464" s="37"/>
      <c r="C464" s="36"/>
      <c r="D464" s="38" t="str">
        <f>IF($B464="","",SUM(VLOOKUP($B464,DADOS!$C$2:$I1014,4,0)*$C464))</f>
        <v/>
      </c>
      <c r="E464" s="38" t="str">
        <f>IF($B464="","",SUM(VLOOKUP($B464,DADOS!$C$2:$I1014,6,0)*$C464))</f>
        <v/>
      </c>
      <c r="F464" s="39" t="str">
        <f>IF($E464="","",(VLOOKUP($B464,DADOS!$C$2:$I1014,7,0)))</f>
        <v/>
      </c>
      <c r="G464" s="40" t="str">
        <f t="shared" si="2"/>
        <v/>
      </c>
      <c r="H464" s="41"/>
      <c r="I464" s="42"/>
      <c r="J464" s="42"/>
      <c r="K464" s="42"/>
      <c r="L464" s="42"/>
      <c r="M464" s="42"/>
      <c r="N464" s="42"/>
      <c r="O464" s="42"/>
      <c r="P464" s="42"/>
      <c r="Q464" s="42"/>
      <c r="R464" s="42"/>
      <c r="S464" s="42"/>
      <c r="T464" s="42"/>
      <c r="U464" s="42"/>
      <c r="V464" s="42"/>
      <c r="W464" s="42"/>
      <c r="X464" s="42"/>
      <c r="Y464" s="42"/>
      <c r="Z464" s="42"/>
      <c r="AA464" s="42"/>
    </row>
    <row r="465">
      <c r="A465" s="36" t="str">
        <f>IF($B465="","",VLOOKUP($B465,DADOS!$C$2:$I1014,2,0))</f>
        <v/>
      </c>
      <c r="B465" s="37"/>
      <c r="C465" s="36"/>
      <c r="D465" s="38" t="str">
        <f>IF($B465="","",SUM(VLOOKUP($B465,DADOS!$C$2:$I1014,4,0)*$C465))</f>
        <v/>
      </c>
      <c r="E465" s="38" t="str">
        <f>IF($B465="","",SUM(VLOOKUP($B465,DADOS!$C$2:$I1014,6,0)*$C465))</f>
        <v/>
      </c>
      <c r="F465" s="39" t="str">
        <f>IF($E465="","",(VLOOKUP($B465,DADOS!$C$2:$I1014,7,0)))</f>
        <v/>
      </c>
      <c r="G465" s="40" t="str">
        <f t="shared" si="2"/>
        <v/>
      </c>
      <c r="H465" s="41"/>
      <c r="I465" s="42"/>
      <c r="J465" s="42"/>
      <c r="K465" s="42"/>
      <c r="L465" s="42"/>
      <c r="M465" s="42"/>
      <c r="N465" s="42"/>
      <c r="O465" s="42"/>
      <c r="P465" s="42"/>
      <c r="Q465" s="42"/>
      <c r="R465" s="42"/>
      <c r="S465" s="42"/>
      <c r="T465" s="42"/>
      <c r="U465" s="42"/>
      <c r="V465" s="42"/>
      <c r="W465" s="42"/>
      <c r="X465" s="42"/>
      <c r="Y465" s="42"/>
      <c r="Z465" s="42"/>
      <c r="AA465" s="42"/>
    </row>
    <row r="466">
      <c r="A466" s="36" t="str">
        <f>IF($B466="","",VLOOKUP($B466,DADOS!$C$2:$I1014,2,0))</f>
        <v/>
      </c>
      <c r="B466" s="37"/>
      <c r="C466" s="36"/>
      <c r="D466" s="38" t="str">
        <f>IF($B466="","",SUM(VLOOKUP($B466,DADOS!$C$2:$I1014,4,0)*$C466))</f>
        <v/>
      </c>
      <c r="E466" s="38" t="str">
        <f>IF($B466="","",SUM(VLOOKUP($B466,DADOS!$C$2:$I1014,6,0)*$C466))</f>
        <v/>
      </c>
      <c r="F466" s="39" t="str">
        <f>IF($E466="","",(VLOOKUP($B466,DADOS!$C$2:$I1014,7,0)))</f>
        <v/>
      </c>
      <c r="G466" s="40" t="str">
        <f t="shared" si="2"/>
        <v/>
      </c>
      <c r="H466" s="41"/>
      <c r="I466" s="42"/>
      <c r="J466" s="42"/>
      <c r="K466" s="42"/>
      <c r="L466" s="42"/>
      <c r="M466" s="42"/>
      <c r="N466" s="42"/>
      <c r="O466" s="42"/>
      <c r="P466" s="42"/>
      <c r="Q466" s="42"/>
      <c r="R466" s="42"/>
      <c r="S466" s="42"/>
      <c r="T466" s="42"/>
      <c r="U466" s="42"/>
      <c r="V466" s="42"/>
      <c r="W466" s="42"/>
      <c r="X466" s="42"/>
      <c r="Y466" s="42"/>
      <c r="Z466" s="42"/>
      <c r="AA466" s="42"/>
    </row>
    <row r="467">
      <c r="A467" s="36" t="str">
        <f>IF($B467="","",VLOOKUP($B467,DADOS!$C$2:$I1014,2,0))</f>
        <v/>
      </c>
      <c r="B467" s="37"/>
      <c r="C467" s="36"/>
      <c r="D467" s="38" t="str">
        <f>IF($B467="","",SUM(VLOOKUP($B467,DADOS!$C$2:$I1014,4,0)*$C467))</f>
        <v/>
      </c>
      <c r="E467" s="38" t="str">
        <f>IF($B467="","",SUM(VLOOKUP($B467,DADOS!$C$2:$I1014,6,0)*$C467))</f>
        <v/>
      </c>
      <c r="F467" s="39" t="str">
        <f>IF($E467="","",(VLOOKUP($B467,DADOS!$C$2:$I1014,7,0)))</f>
        <v/>
      </c>
      <c r="G467" s="40" t="str">
        <f t="shared" si="2"/>
        <v/>
      </c>
      <c r="H467" s="41"/>
      <c r="I467" s="42"/>
      <c r="J467" s="42"/>
      <c r="K467" s="42"/>
      <c r="L467" s="42"/>
      <c r="M467" s="42"/>
      <c r="N467" s="42"/>
      <c r="O467" s="42"/>
      <c r="P467" s="42"/>
      <c r="Q467" s="42"/>
      <c r="R467" s="42"/>
      <c r="S467" s="42"/>
      <c r="T467" s="42"/>
      <c r="U467" s="42"/>
      <c r="V467" s="42"/>
      <c r="W467" s="42"/>
      <c r="X467" s="42"/>
      <c r="Y467" s="42"/>
      <c r="Z467" s="42"/>
      <c r="AA467" s="42"/>
    </row>
    <row r="468">
      <c r="A468" s="36" t="str">
        <f>IF($B468="","",VLOOKUP($B468,DADOS!$C$2:$I1014,2,0))</f>
        <v/>
      </c>
      <c r="B468" s="37"/>
      <c r="C468" s="36"/>
      <c r="D468" s="38" t="str">
        <f>IF($B468="","",SUM(VLOOKUP($B468,DADOS!$C$2:$I1014,4,0)*$C468))</f>
        <v/>
      </c>
      <c r="E468" s="38" t="str">
        <f>IF($B468="","",SUM(VLOOKUP($B468,DADOS!$C$2:$I1014,6,0)*$C468))</f>
        <v/>
      </c>
      <c r="F468" s="39" t="str">
        <f>IF($E468="","",(VLOOKUP($B468,DADOS!$C$2:$I1014,7,0)))</f>
        <v/>
      </c>
      <c r="G468" s="40" t="str">
        <f t="shared" si="2"/>
        <v/>
      </c>
      <c r="H468" s="41"/>
      <c r="I468" s="42"/>
      <c r="J468" s="42"/>
      <c r="K468" s="42"/>
      <c r="L468" s="42"/>
      <c r="M468" s="42"/>
      <c r="N468" s="42"/>
      <c r="O468" s="42"/>
      <c r="P468" s="42"/>
      <c r="Q468" s="42"/>
      <c r="R468" s="42"/>
      <c r="S468" s="42"/>
      <c r="T468" s="42"/>
      <c r="U468" s="42"/>
      <c r="V468" s="42"/>
      <c r="W468" s="42"/>
      <c r="X468" s="42"/>
      <c r="Y468" s="42"/>
      <c r="Z468" s="42"/>
      <c r="AA468" s="42"/>
    </row>
    <row r="469">
      <c r="A469" s="36" t="str">
        <f>IF($B469="","",VLOOKUP($B469,DADOS!$C$2:$I1014,2,0))</f>
        <v/>
      </c>
      <c r="B469" s="37"/>
      <c r="C469" s="36"/>
      <c r="D469" s="38" t="str">
        <f>IF($B469="","",SUM(VLOOKUP($B469,DADOS!$C$2:$I1014,4,0)*$C469))</f>
        <v/>
      </c>
      <c r="E469" s="38" t="str">
        <f>IF($B469="","",SUM(VLOOKUP($B469,DADOS!$C$2:$I1014,6,0)*$C469))</f>
        <v/>
      </c>
      <c r="F469" s="39" t="str">
        <f>IF($E469="","",(VLOOKUP($B469,DADOS!$C$2:$I1014,7,0)))</f>
        <v/>
      </c>
      <c r="G469" s="40" t="str">
        <f t="shared" si="2"/>
        <v/>
      </c>
      <c r="H469" s="41"/>
      <c r="I469" s="42"/>
      <c r="J469" s="42"/>
      <c r="K469" s="42"/>
      <c r="L469" s="42"/>
      <c r="M469" s="42"/>
      <c r="N469" s="42"/>
      <c r="O469" s="42"/>
      <c r="P469" s="42"/>
      <c r="Q469" s="42"/>
      <c r="R469" s="42"/>
      <c r="S469" s="42"/>
      <c r="T469" s="42"/>
      <c r="U469" s="42"/>
      <c r="V469" s="42"/>
      <c r="W469" s="42"/>
      <c r="X469" s="42"/>
      <c r="Y469" s="42"/>
      <c r="Z469" s="42"/>
      <c r="AA469" s="42"/>
    </row>
    <row r="470">
      <c r="A470" s="36" t="str">
        <f>IF($B470="","",VLOOKUP($B470,DADOS!$C$2:$I1014,2,0))</f>
        <v/>
      </c>
      <c r="B470" s="37"/>
      <c r="C470" s="36"/>
      <c r="D470" s="38" t="str">
        <f>IF($B470="","",SUM(VLOOKUP($B470,DADOS!$C$2:$I1014,4,0)*$C470))</f>
        <v/>
      </c>
      <c r="E470" s="38" t="str">
        <f>IF($B470="","",SUM(VLOOKUP($B470,DADOS!$C$2:$I1014,6,0)*$C470))</f>
        <v/>
      </c>
      <c r="F470" s="39" t="str">
        <f>IF($E470="","",(VLOOKUP($B470,DADOS!$C$2:$I1014,7,0)))</f>
        <v/>
      </c>
      <c r="G470" s="40" t="str">
        <f t="shared" si="2"/>
        <v/>
      </c>
      <c r="H470" s="41"/>
      <c r="I470" s="42"/>
      <c r="J470" s="42"/>
      <c r="K470" s="42"/>
      <c r="L470" s="42"/>
      <c r="M470" s="42"/>
      <c r="N470" s="42"/>
      <c r="O470" s="42"/>
      <c r="P470" s="42"/>
      <c r="Q470" s="42"/>
      <c r="R470" s="42"/>
      <c r="S470" s="42"/>
      <c r="T470" s="42"/>
      <c r="U470" s="42"/>
      <c r="V470" s="42"/>
      <c r="W470" s="42"/>
      <c r="X470" s="42"/>
      <c r="Y470" s="42"/>
      <c r="Z470" s="42"/>
      <c r="AA470" s="42"/>
    </row>
    <row r="471">
      <c r="A471" s="36" t="str">
        <f>IF($B471="","",VLOOKUP($B471,DADOS!$C$2:$I1014,2,0))</f>
        <v/>
      </c>
      <c r="B471" s="37"/>
      <c r="C471" s="36"/>
      <c r="D471" s="38" t="str">
        <f>IF($B471="","",SUM(VLOOKUP($B471,DADOS!$C$2:$I1014,4,0)*$C471))</f>
        <v/>
      </c>
      <c r="E471" s="38" t="str">
        <f>IF($B471="","",SUM(VLOOKUP($B471,DADOS!$C$2:$I1014,6,0)*$C471))</f>
        <v/>
      </c>
      <c r="F471" s="39" t="str">
        <f>IF($E471="","",(VLOOKUP($B471,DADOS!$C$2:$I1014,7,0)))</f>
        <v/>
      </c>
      <c r="G471" s="40" t="str">
        <f t="shared" si="2"/>
        <v/>
      </c>
      <c r="H471" s="41"/>
      <c r="I471" s="42"/>
      <c r="J471" s="42"/>
      <c r="K471" s="42"/>
      <c r="L471" s="42"/>
      <c r="M471" s="42"/>
      <c r="N471" s="42"/>
      <c r="O471" s="42"/>
      <c r="P471" s="42"/>
      <c r="Q471" s="42"/>
      <c r="R471" s="42"/>
      <c r="S471" s="42"/>
      <c r="T471" s="42"/>
      <c r="U471" s="42"/>
      <c r="V471" s="42"/>
      <c r="W471" s="42"/>
      <c r="X471" s="42"/>
      <c r="Y471" s="42"/>
      <c r="Z471" s="42"/>
      <c r="AA471" s="42"/>
    </row>
    <row r="472">
      <c r="A472" s="36" t="str">
        <f>IF($B472="","",VLOOKUP($B472,DADOS!$C$2:$I1014,2,0))</f>
        <v/>
      </c>
      <c r="B472" s="37"/>
      <c r="C472" s="36"/>
      <c r="D472" s="38" t="str">
        <f>IF($B472="","",SUM(VLOOKUP($B472,DADOS!$C$2:$I1014,4,0)*$C472))</f>
        <v/>
      </c>
      <c r="E472" s="38" t="str">
        <f>IF($B472="","",SUM(VLOOKUP($B472,DADOS!$C$2:$I1014,6,0)*$C472))</f>
        <v/>
      </c>
      <c r="F472" s="39" t="str">
        <f>IF($E472="","",(VLOOKUP($B472,DADOS!$C$2:$I1014,7,0)))</f>
        <v/>
      </c>
      <c r="G472" s="40" t="str">
        <f t="shared" si="2"/>
        <v/>
      </c>
      <c r="H472" s="41"/>
      <c r="I472" s="42"/>
      <c r="J472" s="42"/>
      <c r="K472" s="42"/>
      <c r="L472" s="42"/>
      <c r="M472" s="42"/>
      <c r="N472" s="42"/>
      <c r="O472" s="42"/>
      <c r="P472" s="42"/>
      <c r="Q472" s="42"/>
      <c r="R472" s="42"/>
      <c r="S472" s="42"/>
      <c r="T472" s="42"/>
      <c r="U472" s="42"/>
      <c r="V472" s="42"/>
      <c r="W472" s="42"/>
      <c r="X472" s="42"/>
      <c r="Y472" s="42"/>
      <c r="Z472" s="42"/>
      <c r="AA472" s="42"/>
    </row>
    <row r="473">
      <c r="A473" s="36" t="str">
        <f>IF($B473="","",VLOOKUP($B473,DADOS!$C$2:$I1014,2,0))</f>
        <v/>
      </c>
      <c r="B473" s="37"/>
      <c r="C473" s="36"/>
      <c r="D473" s="38" t="str">
        <f>IF($B473="","",SUM(VLOOKUP($B473,DADOS!$C$2:$I1014,4,0)*$C473))</f>
        <v/>
      </c>
      <c r="E473" s="38" t="str">
        <f>IF($B473="","",SUM(VLOOKUP($B473,DADOS!$C$2:$I1014,6,0)*$C473))</f>
        <v/>
      </c>
      <c r="F473" s="39" t="str">
        <f>IF($E473="","",(VLOOKUP($B473,DADOS!$C$2:$I1014,7,0)))</f>
        <v/>
      </c>
      <c r="G473" s="40" t="str">
        <f t="shared" si="2"/>
        <v/>
      </c>
      <c r="H473" s="41"/>
      <c r="I473" s="42"/>
      <c r="J473" s="42"/>
      <c r="K473" s="42"/>
      <c r="L473" s="42"/>
      <c r="M473" s="42"/>
      <c r="N473" s="42"/>
      <c r="O473" s="42"/>
      <c r="P473" s="42"/>
      <c r="Q473" s="42"/>
      <c r="R473" s="42"/>
      <c r="S473" s="42"/>
      <c r="T473" s="42"/>
      <c r="U473" s="42"/>
      <c r="V473" s="42"/>
      <c r="W473" s="42"/>
      <c r="X473" s="42"/>
      <c r="Y473" s="42"/>
      <c r="Z473" s="42"/>
      <c r="AA473" s="42"/>
    </row>
    <row r="474">
      <c r="A474" s="36" t="str">
        <f>IF($B474="","",VLOOKUP($B474,DADOS!$C$2:$I1014,2,0))</f>
        <v/>
      </c>
      <c r="B474" s="37"/>
      <c r="C474" s="36"/>
      <c r="D474" s="38" t="str">
        <f>IF($B474="","",SUM(VLOOKUP($B474,DADOS!$C$2:$I1014,4,0)*$C474))</f>
        <v/>
      </c>
      <c r="E474" s="38" t="str">
        <f>IF($B474="","",SUM(VLOOKUP($B474,DADOS!$C$2:$I1014,6,0)*$C474))</f>
        <v/>
      </c>
      <c r="F474" s="39" t="str">
        <f>IF($E474="","",(VLOOKUP($B474,DADOS!$C$2:$I1014,7,0)))</f>
        <v/>
      </c>
      <c r="G474" s="40" t="str">
        <f t="shared" si="2"/>
        <v/>
      </c>
      <c r="H474" s="41"/>
      <c r="I474" s="42"/>
      <c r="J474" s="42"/>
      <c r="K474" s="42"/>
      <c r="L474" s="42"/>
      <c r="M474" s="42"/>
      <c r="N474" s="42"/>
      <c r="O474" s="42"/>
      <c r="P474" s="42"/>
      <c r="Q474" s="42"/>
      <c r="R474" s="42"/>
      <c r="S474" s="42"/>
      <c r="T474" s="42"/>
      <c r="U474" s="42"/>
      <c r="V474" s="42"/>
      <c r="W474" s="42"/>
      <c r="X474" s="42"/>
      <c r="Y474" s="42"/>
      <c r="Z474" s="42"/>
      <c r="AA474" s="42"/>
    </row>
    <row r="475">
      <c r="A475" s="36" t="str">
        <f>IF($B475="","",VLOOKUP($B475,DADOS!$C$2:$I1014,2,0))</f>
        <v/>
      </c>
      <c r="B475" s="37"/>
      <c r="C475" s="36"/>
      <c r="D475" s="38" t="str">
        <f>IF($B475="","",SUM(VLOOKUP($B475,DADOS!$C$2:$I1014,4,0)*$C475))</f>
        <v/>
      </c>
      <c r="E475" s="38" t="str">
        <f>IF($B475="","",SUM(VLOOKUP($B475,DADOS!$C$2:$I1014,6,0)*$C475))</f>
        <v/>
      </c>
      <c r="F475" s="39" t="str">
        <f>IF($E475="","",(VLOOKUP($B475,DADOS!$C$2:$I1014,7,0)))</f>
        <v/>
      </c>
      <c r="G475" s="40" t="str">
        <f t="shared" si="2"/>
        <v/>
      </c>
      <c r="H475" s="41"/>
      <c r="I475" s="42"/>
      <c r="J475" s="42"/>
      <c r="K475" s="42"/>
      <c r="L475" s="42"/>
      <c r="M475" s="42"/>
      <c r="N475" s="42"/>
      <c r="O475" s="42"/>
      <c r="P475" s="42"/>
      <c r="Q475" s="42"/>
      <c r="R475" s="42"/>
      <c r="S475" s="42"/>
      <c r="T475" s="42"/>
      <c r="U475" s="42"/>
      <c r="V475" s="42"/>
      <c r="W475" s="42"/>
      <c r="X475" s="42"/>
      <c r="Y475" s="42"/>
      <c r="Z475" s="42"/>
      <c r="AA475" s="42"/>
    </row>
    <row r="476">
      <c r="A476" s="36" t="str">
        <f>IF($B476="","",VLOOKUP($B476,DADOS!$C$2:$I1014,2,0))</f>
        <v/>
      </c>
      <c r="B476" s="37"/>
      <c r="C476" s="36"/>
      <c r="D476" s="38" t="str">
        <f>IF($B476="","",SUM(VLOOKUP($B476,DADOS!$C$2:$I1014,4,0)*$C476))</f>
        <v/>
      </c>
      <c r="E476" s="38" t="str">
        <f>IF($B476="","",SUM(VLOOKUP($B476,DADOS!$C$2:$I1014,6,0)*$C476))</f>
        <v/>
      </c>
      <c r="F476" s="39" t="str">
        <f>IF($E476="","",(VLOOKUP($B476,DADOS!$C$2:$I1014,7,0)))</f>
        <v/>
      </c>
      <c r="G476" s="40" t="str">
        <f t="shared" si="2"/>
        <v/>
      </c>
      <c r="H476" s="41"/>
      <c r="I476" s="42"/>
      <c r="J476" s="42"/>
      <c r="K476" s="42"/>
      <c r="L476" s="42"/>
      <c r="M476" s="42"/>
      <c r="N476" s="42"/>
      <c r="O476" s="42"/>
      <c r="P476" s="42"/>
      <c r="Q476" s="42"/>
      <c r="R476" s="42"/>
      <c r="S476" s="42"/>
      <c r="T476" s="42"/>
      <c r="U476" s="42"/>
      <c r="V476" s="42"/>
      <c r="W476" s="42"/>
      <c r="X476" s="42"/>
      <c r="Y476" s="42"/>
      <c r="Z476" s="42"/>
      <c r="AA476" s="42"/>
    </row>
    <row r="477">
      <c r="A477" s="36" t="str">
        <f>IF($B477="","",VLOOKUP($B477,DADOS!$C$2:$I1014,2,0))</f>
        <v/>
      </c>
      <c r="B477" s="37"/>
      <c r="C477" s="36"/>
      <c r="D477" s="38" t="str">
        <f>IF($B477="","",SUM(VLOOKUP($B477,DADOS!$C$2:$I1014,4,0)*$C477))</f>
        <v/>
      </c>
      <c r="E477" s="38" t="str">
        <f>IF($B477="","",SUM(VLOOKUP($B477,DADOS!$C$2:$I1014,6,0)*$C477))</f>
        <v/>
      </c>
      <c r="F477" s="39" t="str">
        <f>IF($E477="","",(VLOOKUP($B477,DADOS!$C$2:$I1014,7,0)))</f>
        <v/>
      </c>
      <c r="G477" s="40" t="str">
        <f t="shared" si="2"/>
        <v/>
      </c>
      <c r="H477" s="41"/>
      <c r="I477" s="42"/>
      <c r="J477" s="42"/>
      <c r="K477" s="42"/>
      <c r="L477" s="42"/>
      <c r="M477" s="42"/>
      <c r="N477" s="42"/>
      <c r="O477" s="42"/>
      <c r="P477" s="42"/>
      <c r="Q477" s="42"/>
      <c r="R477" s="42"/>
      <c r="S477" s="42"/>
      <c r="T477" s="42"/>
      <c r="U477" s="42"/>
      <c r="V477" s="42"/>
      <c r="W477" s="42"/>
      <c r="X477" s="42"/>
      <c r="Y477" s="42"/>
      <c r="Z477" s="42"/>
      <c r="AA477" s="42"/>
    </row>
    <row r="478">
      <c r="A478" s="36" t="str">
        <f>IF($B478="","",VLOOKUP($B478,DADOS!$C$2:$I1014,2,0))</f>
        <v/>
      </c>
      <c r="B478" s="37"/>
      <c r="C478" s="36"/>
      <c r="D478" s="38" t="str">
        <f>IF($B478="","",SUM(VLOOKUP($B478,DADOS!$C$2:$I1014,4,0)*$C478))</f>
        <v/>
      </c>
      <c r="E478" s="38" t="str">
        <f>IF($B478="","",SUM(VLOOKUP($B478,DADOS!$C$2:$I1014,6,0)*$C478))</f>
        <v/>
      </c>
      <c r="F478" s="39" t="str">
        <f>IF($E478="","",(VLOOKUP($B478,DADOS!$C$2:$I1014,7,0)))</f>
        <v/>
      </c>
      <c r="G478" s="40" t="str">
        <f t="shared" si="2"/>
        <v/>
      </c>
      <c r="H478" s="41"/>
      <c r="I478" s="42"/>
      <c r="J478" s="42"/>
      <c r="K478" s="42"/>
      <c r="L478" s="42"/>
      <c r="M478" s="42"/>
      <c r="N478" s="42"/>
      <c r="O478" s="42"/>
      <c r="P478" s="42"/>
      <c r="Q478" s="42"/>
      <c r="R478" s="42"/>
      <c r="S478" s="42"/>
      <c r="T478" s="42"/>
      <c r="U478" s="42"/>
      <c r="V478" s="42"/>
      <c r="W478" s="42"/>
      <c r="X478" s="42"/>
      <c r="Y478" s="42"/>
      <c r="Z478" s="42"/>
      <c r="AA478" s="42"/>
    </row>
    <row r="479">
      <c r="A479" s="36" t="str">
        <f>IF($B479="","",VLOOKUP($B479,DADOS!$C$2:$I1014,2,0))</f>
        <v/>
      </c>
      <c r="B479" s="37"/>
      <c r="C479" s="36"/>
      <c r="D479" s="38" t="str">
        <f>IF($B479="","",SUM(VLOOKUP($B479,DADOS!$C$2:$I1014,4,0)*$C479))</f>
        <v/>
      </c>
      <c r="E479" s="38" t="str">
        <f>IF($B479="","",SUM(VLOOKUP($B479,DADOS!$C$2:$I1014,6,0)*$C479))</f>
        <v/>
      </c>
      <c r="F479" s="39" t="str">
        <f>IF($E479="","",(VLOOKUP($B479,DADOS!$C$2:$I1014,7,0)))</f>
        <v/>
      </c>
      <c r="G479" s="40" t="str">
        <f t="shared" si="2"/>
        <v/>
      </c>
      <c r="H479" s="41"/>
      <c r="I479" s="42"/>
      <c r="J479" s="42"/>
      <c r="K479" s="42"/>
      <c r="L479" s="42"/>
      <c r="M479" s="42"/>
      <c r="N479" s="42"/>
      <c r="O479" s="42"/>
      <c r="P479" s="42"/>
      <c r="Q479" s="42"/>
      <c r="R479" s="42"/>
      <c r="S479" s="42"/>
      <c r="T479" s="42"/>
      <c r="U479" s="42"/>
      <c r="V479" s="42"/>
      <c r="W479" s="42"/>
      <c r="X479" s="42"/>
      <c r="Y479" s="42"/>
      <c r="Z479" s="42"/>
      <c r="AA479" s="42"/>
    </row>
    <row r="480">
      <c r="A480" s="36" t="str">
        <f>IF($B480="","",VLOOKUP($B480,DADOS!$C$2:$I1014,2,0))</f>
        <v/>
      </c>
      <c r="B480" s="37"/>
      <c r="C480" s="36"/>
      <c r="D480" s="38" t="str">
        <f>IF($B480="","",SUM(VLOOKUP($B480,DADOS!$C$2:$I1014,4,0)*$C480))</f>
        <v/>
      </c>
      <c r="E480" s="38" t="str">
        <f>IF($B480="","",SUM(VLOOKUP($B480,DADOS!$C$2:$I1014,6,0)*$C480))</f>
        <v/>
      </c>
      <c r="F480" s="39" t="str">
        <f>IF($E480="","",(VLOOKUP($B480,DADOS!$C$2:$I1014,7,0)))</f>
        <v/>
      </c>
      <c r="G480" s="40" t="str">
        <f t="shared" si="2"/>
        <v/>
      </c>
      <c r="H480" s="41"/>
      <c r="I480" s="42"/>
      <c r="J480" s="42"/>
      <c r="K480" s="42"/>
      <c r="L480" s="42"/>
      <c r="M480" s="42"/>
      <c r="N480" s="42"/>
      <c r="O480" s="42"/>
      <c r="P480" s="42"/>
      <c r="Q480" s="42"/>
      <c r="R480" s="42"/>
      <c r="S480" s="42"/>
      <c r="T480" s="42"/>
      <c r="U480" s="42"/>
      <c r="V480" s="42"/>
      <c r="W480" s="42"/>
      <c r="X480" s="42"/>
      <c r="Y480" s="42"/>
      <c r="Z480" s="42"/>
      <c r="AA480" s="42"/>
    </row>
    <row r="481">
      <c r="A481" s="36" t="str">
        <f>IF($B481="","",VLOOKUP($B481,DADOS!$C$2:$I1014,2,0))</f>
        <v/>
      </c>
      <c r="B481" s="37"/>
      <c r="C481" s="36"/>
      <c r="D481" s="38" t="str">
        <f>IF($B481="","",SUM(VLOOKUP($B481,DADOS!$C$2:$I1014,4,0)*$C481))</f>
        <v/>
      </c>
      <c r="E481" s="38" t="str">
        <f>IF($B481="","",SUM(VLOOKUP($B481,DADOS!$C$2:$I1014,6,0)*$C481))</f>
        <v/>
      </c>
      <c r="F481" s="39" t="str">
        <f>IF($E481="","",(VLOOKUP($B481,DADOS!$C$2:$I1014,7,0)))</f>
        <v/>
      </c>
      <c r="G481" s="40" t="str">
        <f t="shared" si="2"/>
        <v/>
      </c>
      <c r="H481" s="41"/>
      <c r="I481" s="42"/>
      <c r="J481" s="42"/>
      <c r="K481" s="42"/>
      <c r="L481" s="42"/>
      <c r="M481" s="42"/>
      <c r="N481" s="42"/>
      <c r="O481" s="42"/>
      <c r="P481" s="42"/>
      <c r="Q481" s="42"/>
      <c r="R481" s="42"/>
      <c r="S481" s="42"/>
      <c r="T481" s="42"/>
      <c r="U481" s="42"/>
      <c r="V481" s="42"/>
      <c r="W481" s="42"/>
      <c r="X481" s="42"/>
      <c r="Y481" s="42"/>
      <c r="Z481" s="42"/>
      <c r="AA481" s="42"/>
    </row>
    <row r="482">
      <c r="A482" s="36" t="str">
        <f>IF($B482="","",VLOOKUP($B482,DADOS!$C$2:$I1014,2,0))</f>
        <v/>
      </c>
      <c r="B482" s="37"/>
      <c r="C482" s="36"/>
      <c r="D482" s="38" t="str">
        <f>IF($B482="","",SUM(VLOOKUP($B482,DADOS!$C$2:$I1014,4,0)*$C482))</f>
        <v/>
      </c>
      <c r="E482" s="38" t="str">
        <f>IF($B482="","",SUM(VLOOKUP($B482,DADOS!$C$2:$I1014,6,0)*$C482))</f>
        <v/>
      </c>
      <c r="F482" s="39" t="str">
        <f>IF($E482="","",(VLOOKUP($B482,DADOS!$C$2:$I1014,7,0)))</f>
        <v/>
      </c>
      <c r="G482" s="40" t="str">
        <f t="shared" si="2"/>
        <v/>
      </c>
      <c r="H482" s="41"/>
      <c r="I482" s="42"/>
      <c r="J482" s="42"/>
      <c r="K482" s="42"/>
      <c r="L482" s="42"/>
      <c r="M482" s="42"/>
      <c r="N482" s="42"/>
      <c r="O482" s="42"/>
      <c r="P482" s="42"/>
      <c r="Q482" s="42"/>
      <c r="R482" s="42"/>
      <c r="S482" s="42"/>
      <c r="T482" s="42"/>
      <c r="U482" s="42"/>
      <c r="V482" s="42"/>
      <c r="W482" s="42"/>
      <c r="X482" s="42"/>
      <c r="Y482" s="42"/>
      <c r="Z482" s="42"/>
      <c r="AA482" s="42"/>
    </row>
    <row r="483">
      <c r="A483" s="36" t="str">
        <f>IF($B483="","",VLOOKUP($B483,DADOS!$C$2:$I1014,2,0))</f>
        <v/>
      </c>
      <c r="B483" s="37"/>
      <c r="C483" s="36"/>
      <c r="D483" s="38" t="str">
        <f>IF($B483="","",SUM(VLOOKUP($B483,DADOS!$C$2:$I1014,4,0)*$C483))</f>
        <v/>
      </c>
      <c r="E483" s="38" t="str">
        <f>IF($B483="","",SUM(VLOOKUP($B483,DADOS!$C$2:$I1014,6,0)*$C483))</f>
        <v/>
      </c>
      <c r="F483" s="39" t="str">
        <f>IF($E483="","",(VLOOKUP($B483,DADOS!$C$2:$I1014,7,0)))</f>
        <v/>
      </c>
      <c r="G483" s="40" t="str">
        <f t="shared" si="2"/>
        <v/>
      </c>
      <c r="H483" s="41"/>
      <c r="I483" s="42"/>
      <c r="J483" s="42"/>
      <c r="K483" s="42"/>
      <c r="L483" s="42"/>
      <c r="M483" s="42"/>
      <c r="N483" s="42"/>
      <c r="O483" s="42"/>
      <c r="P483" s="42"/>
      <c r="Q483" s="42"/>
      <c r="R483" s="42"/>
      <c r="S483" s="42"/>
      <c r="T483" s="42"/>
      <c r="U483" s="42"/>
      <c r="V483" s="42"/>
      <c r="W483" s="42"/>
      <c r="X483" s="42"/>
      <c r="Y483" s="42"/>
      <c r="Z483" s="42"/>
      <c r="AA483" s="42"/>
    </row>
    <row r="484">
      <c r="A484" s="36" t="str">
        <f>IF($B484="","",VLOOKUP($B484,DADOS!$C$2:$I1014,2,0))</f>
        <v/>
      </c>
      <c r="B484" s="37"/>
      <c r="C484" s="36"/>
      <c r="D484" s="38" t="str">
        <f>IF($B484="","",SUM(VLOOKUP($B484,DADOS!$C$2:$I1014,4,0)*$C484))</f>
        <v/>
      </c>
      <c r="E484" s="38" t="str">
        <f>IF($B484="","",SUM(VLOOKUP($B484,DADOS!$C$2:$I1014,6,0)*$C484))</f>
        <v/>
      </c>
      <c r="F484" s="39" t="str">
        <f>IF($E484="","",(VLOOKUP($B484,DADOS!$C$2:$I1014,7,0)))</f>
        <v/>
      </c>
      <c r="G484" s="40" t="str">
        <f t="shared" si="2"/>
        <v/>
      </c>
      <c r="H484" s="41"/>
      <c r="I484" s="42"/>
      <c r="J484" s="42"/>
      <c r="K484" s="42"/>
      <c r="L484" s="42"/>
      <c r="M484" s="42"/>
      <c r="N484" s="42"/>
      <c r="O484" s="42"/>
      <c r="P484" s="42"/>
      <c r="Q484" s="42"/>
      <c r="R484" s="42"/>
      <c r="S484" s="42"/>
      <c r="T484" s="42"/>
      <c r="U484" s="42"/>
      <c r="V484" s="42"/>
      <c r="W484" s="42"/>
      <c r="X484" s="42"/>
      <c r="Y484" s="42"/>
      <c r="Z484" s="42"/>
      <c r="AA484" s="42"/>
    </row>
    <row r="485">
      <c r="A485" s="36" t="str">
        <f>IF($B485="","",VLOOKUP($B485,DADOS!$C$2:$I1014,2,0))</f>
        <v/>
      </c>
      <c r="B485" s="37"/>
      <c r="C485" s="36"/>
      <c r="D485" s="38" t="str">
        <f>IF($B485="","",SUM(VLOOKUP($B485,DADOS!$C$2:$I1014,4,0)*$C485))</f>
        <v/>
      </c>
      <c r="E485" s="38" t="str">
        <f>IF($B485="","",SUM(VLOOKUP($B485,DADOS!$C$2:$I1014,6,0)*$C485))</f>
        <v/>
      </c>
      <c r="F485" s="39" t="str">
        <f>IF($E485="","",(VLOOKUP($B485,DADOS!$C$2:$I1014,7,0)))</f>
        <v/>
      </c>
      <c r="G485" s="40" t="str">
        <f t="shared" si="2"/>
        <v/>
      </c>
      <c r="H485" s="41"/>
      <c r="I485" s="42"/>
      <c r="J485" s="42"/>
      <c r="K485" s="42"/>
      <c r="L485" s="42"/>
      <c r="M485" s="42"/>
      <c r="N485" s="42"/>
      <c r="O485" s="42"/>
      <c r="P485" s="42"/>
      <c r="Q485" s="42"/>
      <c r="R485" s="42"/>
      <c r="S485" s="42"/>
      <c r="T485" s="42"/>
      <c r="U485" s="42"/>
      <c r="V485" s="42"/>
      <c r="W485" s="42"/>
      <c r="X485" s="42"/>
      <c r="Y485" s="42"/>
      <c r="Z485" s="42"/>
      <c r="AA485" s="42"/>
    </row>
    <row r="486">
      <c r="A486" s="36" t="str">
        <f>IF($B486="","",VLOOKUP($B486,DADOS!$C$2:$I1014,2,0))</f>
        <v/>
      </c>
      <c r="B486" s="37"/>
      <c r="C486" s="36"/>
      <c r="D486" s="38" t="str">
        <f>IF($B486="","",SUM(VLOOKUP($B486,DADOS!$C$2:$I1014,4,0)*$C486))</f>
        <v/>
      </c>
      <c r="E486" s="38" t="str">
        <f>IF($B486="","",SUM(VLOOKUP($B486,DADOS!$C$2:$I1014,6,0)*$C486))</f>
        <v/>
      </c>
      <c r="F486" s="39" t="str">
        <f>IF($E486="","",(VLOOKUP($B486,DADOS!$C$2:$I1014,7,0)))</f>
        <v/>
      </c>
      <c r="G486" s="40" t="str">
        <f t="shared" si="2"/>
        <v/>
      </c>
      <c r="H486" s="41"/>
      <c r="I486" s="42"/>
      <c r="J486" s="42"/>
      <c r="K486" s="42"/>
      <c r="L486" s="42"/>
      <c r="M486" s="42"/>
      <c r="N486" s="42"/>
      <c r="O486" s="42"/>
      <c r="P486" s="42"/>
      <c r="Q486" s="42"/>
      <c r="R486" s="42"/>
      <c r="S486" s="42"/>
      <c r="T486" s="42"/>
      <c r="U486" s="42"/>
      <c r="V486" s="42"/>
      <c r="W486" s="42"/>
      <c r="X486" s="42"/>
      <c r="Y486" s="42"/>
      <c r="Z486" s="42"/>
      <c r="AA486" s="42"/>
    </row>
    <row r="487">
      <c r="A487" s="36" t="str">
        <f>IF($B487="","",VLOOKUP($B487,DADOS!$C$2:$I1014,2,0))</f>
        <v/>
      </c>
      <c r="B487" s="37"/>
      <c r="C487" s="36"/>
      <c r="D487" s="38" t="str">
        <f>IF($B487="","",SUM(VLOOKUP($B487,DADOS!$C$2:$I1014,4,0)*$C487))</f>
        <v/>
      </c>
      <c r="E487" s="38" t="str">
        <f>IF($B487="","",SUM(VLOOKUP($B487,DADOS!$C$2:$I1014,6,0)*$C487))</f>
        <v/>
      </c>
      <c r="F487" s="39" t="str">
        <f>IF($E487="","",(VLOOKUP($B487,DADOS!$C$2:$I1014,7,0)))</f>
        <v/>
      </c>
      <c r="G487" s="40" t="str">
        <f t="shared" si="2"/>
        <v/>
      </c>
      <c r="H487" s="41"/>
      <c r="I487" s="42"/>
      <c r="J487" s="42"/>
      <c r="K487" s="42"/>
      <c r="L487" s="42"/>
      <c r="M487" s="42"/>
      <c r="N487" s="42"/>
      <c r="O487" s="42"/>
      <c r="P487" s="42"/>
      <c r="Q487" s="42"/>
      <c r="R487" s="42"/>
      <c r="S487" s="42"/>
      <c r="T487" s="42"/>
      <c r="U487" s="42"/>
      <c r="V487" s="42"/>
      <c r="W487" s="42"/>
      <c r="X487" s="42"/>
      <c r="Y487" s="42"/>
      <c r="Z487" s="42"/>
      <c r="AA487" s="42"/>
    </row>
    <row r="488">
      <c r="A488" s="36" t="str">
        <f>IF($B488="","",VLOOKUP($B488,DADOS!$C$2:$I1014,2,0))</f>
        <v/>
      </c>
      <c r="B488" s="37"/>
      <c r="C488" s="36"/>
      <c r="D488" s="38" t="str">
        <f>IF($B488="","",SUM(VLOOKUP($B488,DADOS!$C$2:$I1014,4,0)*$C488))</f>
        <v/>
      </c>
      <c r="E488" s="38" t="str">
        <f>IF($B488="","",SUM(VLOOKUP($B488,DADOS!$C$2:$I1014,6,0)*$C488))</f>
        <v/>
      </c>
      <c r="F488" s="39" t="str">
        <f>IF($E488="","",(VLOOKUP($B488,DADOS!$C$2:$I1014,7,0)))</f>
        <v/>
      </c>
      <c r="G488" s="40" t="str">
        <f t="shared" si="2"/>
        <v/>
      </c>
      <c r="H488" s="41"/>
      <c r="I488" s="42"/>
      <c r="J488" s="42"/>
      <c r="K488" s="42"/>
      <c r="L488" s="42"/>
      <c r="M488" s="42"/>
      <c r="N488" s="42"/>
      <c r="O488" s="42"/>
      <c r="P488" s="42"/>
      <c r="Q488" s="42"/>
      <c r="R488" s="42"/>
      <c r="S488" s="42"/>
      <c r="T488" s="42"/>
      <c r="U488" s="42"/>
      <c r="V488" s="42"/>
      <c r="W488" s="42"/>
      <c r="X488" s="42"/>
      <c r="Y488" s="42"/>
      <c r="Z488" s="42"/>
      <c r="AA488" s="42"/>
    </row>
    <row r="489">
      <c r="A489" s="36" t="str">
        <f>IF($B489="","",VLOOKUP($B489,DADOS!$C$2:$I1014,2,0))</f>
        <v/>
      </c>
      <c r="B489" s="37"/>
      <c r="C489" s="36"/>
      <c r="D489" s="38" t="str">
        <f>IF($B489="","",SUM(VLOOKUP($B489,DADOS!$C$2:$I1014,4,0)*$C489))</f>
        <v/>
      </c>
      <c r="E489" s="38" t="str">
        <f>IF($B489="","",SUM(VLOOKUP($B489,DADOS!$C$2:$I1014,6,0)*$C489))</f>
        <v/>
      </c>
      <c r="F489" s="39" t="str">
        <f>IF($E489="","",(VLOOKUP($B489,DADOS!$C$2:$I1014,7,0)))</f>
        <v/>
      </c>
      <c r="G489" s="40" t="str">
        <f t="shared" si="2"/>
        <v/>
      </c>
      <c r="H489" s="41"/>
      <c r="I489" s="42"/>
      <c r="J489" s="42"/>
      <c r="K489" s="42"/>
      <c r="L489" s="42"/>
      <c r="M489" s="42"/>
      <c r="N489" s="42"/>
      <c r="O489" s="42"/>
      <c r="P489" s="42"/>
      <c r="Q489" s="42"/>
      <c r="R489" s="42"/>
      <c r="S489" s="42"/>
      <c r="T489" s="42"/>
      <c r="U489" s="42"/>
      <c r="V489" s="42"/>
      <c r="W489" s="42"/>
      <c r="X489" s="42"/>
      <c r="Y489" s="42"/>
      <c r="Z489" s="42"/>
      <c r="AA489" s="42"/>
    </row>
    <row r="490">
      <c r="A490" s="36" t="str">
        <f>IF($B490="","",VLOOKUP($B490,DADOS!$C$2:$I1014,2,0))</f>
        <v/>
      </c>
      <c r="B490" s="37"/>
      <c r="C490" s="36"/>
      <c r="D490" s="38" t="str">
        <f>IF($B490="","",SUM(VLOOKUP($B490,DADOS!$C$2:$I1014,4,0)*$C490))</f>
        <v/>
      </c>
      <c r="E490" s="38" t="str">
        <f>IF($B490="","",SUM(VLOOKUP($B490,DADOS!$C$2:$I1014,6,0)*$C490))</f>
        <v/>
      </c>
      <c r="F490" s="39" t="str">
        <f>IF($E490="","",(VLOOKUP($B490,DADOS!$C$2:$I1014,7,0)))</f>
        <v/>
      </c>
      <c r="G490" s="40" t="str">
        <f t="shared" si="2"/>
        <v/>
      </c>
      <c r="H490" s="41"/>
      <c r="I490" s="42"/>
      <c r="J490" s="42"/>
      <c r="K490" s="42"/>
      <c r="L490" s="42"/>
      <c r="M490" s="42"/>
      <c r="N490" s="42"/>
      <c r="O490" s="42"/>
      <c r="P490" s="42"/>
      <c r="Q490" s="42"/>
      <c r="R490" s="42"/>
      <c r="S490" s="42"/>
      <c r="T490" s="42"/>
      <c r="U490" s="42"/>
      <c r="V490" s="42"/>
      <c r="W490" s="42"/>
      <c r="X490" s="42"/>
      <c r="Y490" s="42"/>
      <c r="Z490" s="42"/>
      <c r="AA490" s="42"/>
    </row>
    <row r="491">
      <c r="A491" s="36" t="str">
        <f>IF($B491="","",VLOOKUP($B491,DADOS!$C$2:$I1014,2,0))</f>
        <v/>
      </c>
      <c r="B491" s="37"/>
      <c r="C491" s="36"/>
      <c r="D491" s="38" t="str">
        <f>IF($B491="","",SUM(VLOOKUP($B491,DADOS!$C$2:$I1014,4,0)*$C491))</f>
        <v/>
      </c>
      <c r="E491" s="38" t="str">
        <f>IF($B491="","",SUM(VLOOKUP($B491,DADOS!$C$2:$I1014,6,0)*$C491))</f>
        <v/>
      </c>
      <c r="F491" s="39" t="str">
        <f>IF($E491="","",(VLOOKUP($B491,DADOS!$C$2:$I1014,7,0)))</f>
        <v/>
      </c>
      <c r="G491" s="40" t="str">
        <f t="shared" si="2"/>
        <v/>
      </c>
      <c r="H491" s="41"/>
      <c r="I491" s="42"/>
      <c r="J491" s="42"/>
      <c r="K491" s="42"/>
      <c r="L491" s="42"/>
      <c r="M491" s="42"/>
      <c r="N491" s="42"/>
      <c r="O491" s="42"/>
      <c r="P491" s="42"/>
      <c r="Q491" s="42"/>
      <c r="R491" s="42"/>
      <c r="S491" s="42"/>
      <c r="T491" s="42"/>
      <c r="U491" s="42"/>
      <c r="V491" s="42"/>
      <c r="W491" s="42"/>
      <c r="X491" s="42"/>
      <c r="Y491" s="42"/>
      <c r="Z491" s="42"/>
      <c r="AA491" s="42"/>
    </row>
    <row r="492">
      <c r="A492" s="36" t="str">
        <f>IF($B492="","",VLOOKUP($B492,DADOS!$C$2:$I1014,2,0))</f>
        <v/>
      </c>
      <c r="B492" s="37"/>
      <c r="C492" s="36"/>
      <c r="D492" s="38" t="str">
        <f>IF($B492="","",SUM(VLOOKUP($B492,DADOS!$C$2:$I1014,4,0)*$C492))</f>
        <v/>
      </c>
      <c r="E492" s="38" t="str">
        <f>IF($B492="","",SUM(VLOOKUP($B492,DADOS!$C$2:$I1014,6,0)*$C492))</f>
        <v/>
      </c>
      <c r="F492" s="39" t="str">
        <f>IF($E492="","",(VLOOKUP($B492,DADOS!$C$2:$I1014,7,0)))</f>
        <v/>
      </c>
      <c r="G492" s="40" t="str">
        <f t="shared" si="2"/>
        <v/>
      </c>
      <c r="H492" s="41"/>
      <c r="I492" s="42"/>
      <c r="J492" s="42"/>
      <c r="K492" s="42"/>
      <c r="L492" s="42"/>
      <c r="M492" s="42"/>
      <c r="N492" s="42"/>
      <c r="O492" s="42"/>
      <c r="P492" s="42"/>
      <c r="Q492" s="42"/>
      <c r="R492" s="42"/>
      <c r="S492" s="42"/>
      <c r="T492" s="42"/>
      <c r="U492" s="42"/>
      <c r="V492" s="42"/>
      <c r="W492" s="42"/>
      <c r="X492" s="42"/>
      <c r="Y492" s="42"/>
      <c r="Z492" s="42"/>
      <c r="AA492" s="42"/>
    </row>
    <row r="493">
      <c r="A493" s="36" t="str">
        <f>IF($B493="","",VLOOKUP($B493,DADOS!$C$2:$I1014,2,0))</f>
        <v/>
      </c>
      <c r="B493" s="37"/>
      <c r="C493" s="36"/>
      <c r="D493" s="38" t="str">
        <f>IF($B493="","",SUM(VLOOKUP($B493,DADOS!$C$2:$I1014,4,0)*$C493))</f>
        <v/>
      </c>
      <c r="E493" s="38" t="str">
        <f>IF($B493="","",SUM(VLOOKUP($B493,DADOS!$C$2:$I1014,6,0)*$C493))</f>
        <v/>
      </c>
      <c r="F493" s="39" t="str">
        <f>IF($E493="","",(VLOOKUP($B493,DADOS!$C$2:$I1014,7,0)))</f>
        <v/>
      </c>
      <c r="G493" s="40" t="str">
        <f t="shared" si="2"/>
        <v/>
      </c>
      <c r="H493" s="41"/>
      <c r="I493" s="42"/>
      <c r="J493" s="42"/>
      <c r="K493" s="42"/>
      <c r="L493" s="42"/>
      <c r="M493" s="42"/>
      <c r="N493" s="42"/>
      <c r="O493" s="42"/>
      <c r="P493" s="42"/>
      <c r="Q493" s="42"/>
      <c r="R493" s="42"/>
      <c r="S493" s="42"/>
      <c r="T493" s="42"/>
      <c r="U493" s="42"/>
      <c r="V493" s="42"/>
      <c r="W493" s="42"/>
      <c r="X493" s="42"/>
      <c r="Y493" s="42"/>
      <c r="Z493" s="42"/>
      <c r="AA493" s="42"/>
    </row>
    <row r="494">
      <c r="A494" s="36" t="str">
        <f>IF($B494="","",VLOOKUP($B494,DADOS!$C$2:$I1014,2,0))</f>
        <v/>
      </c>
      <c r="B494" s="37"/>
      <c r="C494" s="36"/>
      <c r="D494" s="38" t="str">
        <f>IF($B494="","",SUM(VLOOKUP($B494,DADOS!$C$2:$I1014,4,0)*$C494))</f>
        <v/>
      </c>
      <c r="E494" s="38" t="str">
        <f>IF($B494="","",SUM(VLOOKUP($B494,DADOS!$C$2:$I1014,6,0)*$C494))</f>
        <v/>
      </c>
      <c r="F494" s="39" t="str">
        <f>IF($E494="","",(VLOOKUP($B494,DADOS!$C$2:$I1014,7,0)))</f>
        <v/>
      </c>
      <c r="G494" s="40" t="str">
        <f t="shared" si="2"/>
        <v/>
      </c>
      <c r="H494" s="41"/>
      <c r="I494" s="42"/>
      <c r="J494" s="42"/>
      <c r="K494" s="42"/>
      <c r="L494" s="42"/>
      <c r="M494" s="42"/>
      <c r="N494" s="42"/>
      <c r="O494" s="42"/>
      <c r="P494" s="42"/>
      <c r="Q494" s="42"/>
      <c r="R494" s="42"/>
      <c r="S494" s="42"/>
      <c r="T494" s="42"/>
      <c r="U494" s="42"/>
      <c r="V494" s="42"/>
      <c r="W494" s="42"/>
      <c r="X494" s="42"/>
      <c r="Y494" s="42"/>
      <c r="Z494" s="42"/>
      <c r="AA494" s="42"/>
    </row>
    <row r="495">
      <c r="A495" s="36" t="str">
        <f>IF($B495="","",VLOOKUP($B495,DADOS!$C$2:$I1014,2,0))</f>
        <v/>
      </c>
      <c r="B495" s="37"/>
      <c r="C495" s="36"/>
      <c r="D495" s="38" t="str">
        <f>IF($B495="","",SUM(VLOOKUP($B495,DADOS!$C$2:$I1014,4,0)*$C495))</f>
        <v/>
      </c>
      <c r="E495" s="38" t="str">
        <f>IF($B495="","",SUM(VLOOKUP($B495,DADOS!$C$2:$I1014,6,0)*$C495))</f>
        <v/>
      </c>
      <c r="F495" s="39" t="str">
        <f>IF($E495="","",(VLOOKUP($B495,DADOS!$C$2:$I1014,7,0)))</f>
        <v/>
      </c>
      <c r="G495" s="40" t="str">
        <f t="shared" si="2"/>
        <v/>
      </c>
      <c r="H495" s="41"/>
      <c r="I495" s="42"/>
      <c r="J495" s="42"/>
      <c r="K495" s="42"/>
      <c r="L495" s="42"/>
      <c r="M495" s="42"/>
      <c r="N495" s="42"/>
      <c r="O495" s="42"/>
      <c r="P495" s="42"/>
      <c r="Q495" s="42"/>
      <c r="R495" s="42"/>
      <c r="S495" s="42"/>
      <c r="T495" s="42"/>
      <c r="U495" s="42"/>
      <c r="V495" s="42"/>
      <c r="W495" s="42"/>
      <c r="X495" s="42"/>
      <c r="Y495" s="42"/>
      <c r="Z495" s="42"/>
      <c r="AA495" s="42"/>
    </row>
    <row r="496">
      <c r="A496" s="36" t="str">
        <f>IF($B496="","",VLOOKUP($B496,DADOS!$C$2:$I1014,2,0))</f>
        <v/>
      </c>
      <c r="B496" s="37"/>
      <c r="C496" s="36"/>
      <c r="D496" s="38" t="str">
        <f>IF($B496="","",SUM(VLOOKUP($B496,DADOS!$C$2:$I1014,4,0)*$C496))</f>
        <v/>
      </c>
      <c r="E496" s="38" t="str">
        <f>IF($B496="","",SUM(VLOOKUP($B496,DADOS!$C$2:$I1014,6,0)*$C496))</f>
        <v/>
      </c>
      <c r="F496" s="39" t="str">
        <f>IF($E496="","",(VLOOKUP($B496,DADOS!$C$2:$I1014,7,0)))</f>
        <v/>
      </c>
      <c r="G496" s="40" t="str">
        <f t="shared" si="2"/>
        <v/>
      </c>
      <c r="H496" s="41"/>
      <c r="I496" s="42"/>
      <c r="J496" s="42"/>
      <c r="K496" s="42"/>
      <c r="L496" s="42"/>
      <c r="M496" s="42"/>
      <c r="N496" s="42"/>
      <c r="O496" s="42"/>
      <c r="P496" s="42"/>
      <c r="Q496" s="42"/>
      <c r="R496" s="42"/>
      <c r="S496" s="42"/>
      <c r="T496" s="42"/>
      <c r="U496" s="42"/>
      <c r="V496" s="42"/>
      <c r="W496" s="42"/>
      <c r="X496" s="42"/>
      <c r="Y496" s="42"/>
      <c r="Z496" s="42"/>
      <c r="AA496" s="42"/>
    </row>
    <row r="497">
      <c r="A497" s="36" t="str">
        <f>IF($B497="","",VLOOKUP($B497,DADOS!$C$2:$I1014,2,0))</f>
        <v/>
      </c>
      <c r="B497" s="37"/>
      <c r="C497" s="36"/>
      <c r="D497" s="38" t="str">
        <f>IF($B497="","",SUM(VLOOKUP($B497,DADOS!$C$2:$I1014,4,0)*$C497))</f>
        <v/>
      </c>
      <c r="E497" s="38" t="str">
        <f>IF($B497="","",SUM(VLOOKUP($B497,DADOS!$C$2:$I1014,6,0)*$C497))</f>
        <v/>
      </c>
      <c r="F497" s="39" t="str">
        <f>IF($E497="","",(VLOOKUP($B497,DADOS!$C$2:$I1014,7,0)))</f>
        <v/>
      </c>
      <c r="G497" s="40" t="str">
        <f t="shared" si="2"/>
        <v/>
      </c>
      <c r="H497" s="41"/>
      <c r="I497" s="42"/>
      <c r="J497" s="42"/>
      <c r="K497" s="42"/>
      <c r="L497" s="42"/>
      <c r="M497" s="42"/>
      <c r="N497" s="42"/>
      <c r="O497" s="42"/>
      <c r="P497" s="42"/>
      <c r="Q497" s="42"/>
      <c r="R497" s="42"/>
      <c r="S497" s="42"/>
      <c r="T497" s="42"/>
      <c r="U497" s="42"/>
      <c r="V497" s="42"/>
      <c r="W497" s="42"/>
      <c r="X497" s="42"/>
      <c r="Y497" s="42"/>
      <c r="Z497" s="42"/>
      <c r="AA497" s="42"/>
    </row>
    <row r="498">
      <c r="A498" s="36" t="str">
        <f>IF($B498="","",VLOOKUP($B498,DADOS!$C$2:$I1014,2,0))</f>
        <v/>
      </c>
      <c r="B498" s="37"/>
      <c r="C498" s="36"/>
      <c r="D498" s="38" t="str">
        <f>IF($B498="","",SUM(VLOOKUP($B498,DADOS!$C$2:$I1014,4,0)*$C498))</f>
        <v/>
      </c>
      <c r="E498" s="38" t="str">
        <f>IF($B498="","",SUM(VLOOKUP($B498,DADOS!$C$2:$I1014,6,0)*$C498))</f>
        <v/>
      </c>
      <c r="F498" s="39" t="str">
        <f>IF($E498="","",(VLOOKUP($B498,DADOS!$C$2:$I1014,7,0)))</f>
        <v/>
      </c>
      <c r="G498" s="40" t="str">
        <f t="shared" si="2"/>
        <v/>
      </c>
      <c r="H498" s="41"/>
      <c r="I498" s="42"/>
      <c r="J498" s="42"/>
      <c r="K498" s="42"/>
      <c r="L498" s="42"/>
      <c r="M498" s="42"/>
      <c r="N498" s="42"/>
      <c r="O498" s="42"/>
      <c r="P498" s="42"/>
      <c r="Q498" s="42"/>
      <c r="R498" s="42"/>
      <c r="S498" s="42"/>
      <c r="T498" s="42"/>
      <c r="U498" s="42"/>
      <c r="V498" s="42"/>
      <c r="W498" s="42"/>
      <c r="X498" s="42"/>
      <c r="Y498" s="42"/>
      <c r="Z498" s="42"/>
      <c r="AA498" s="42"/>
    </row>
    <row r="499">
      <c r="A499" s="36" t="str">
        <f>IF($B499="","",VLOOKUP($B499,DADOS!$C$2:$I1014,2,0))</f>
        <v/>
      </c>
      <c r="B499" s="37"/>
      <c r="C499" s="36"/>
      <c r="D499" s="38" t="str">
        <f>IF($B499="","",SUM(VLOOKUP($B499,DADOS!$C$2:$I1014,4,0)*$C499))</f>
        <v/>
      </c>
      <c r="E499" s="38" t="str">
        <f>IF($B499="","",SUM(VLOOKUP($B499,DADOS!$C$2:$I1014,6,0)*$C499))</f>
        <v/>
      </c>
      <c r="F499" s="39" t="str">
        <f>IF($E499="","",(VLOOKUP($B499,DADOS!$C$2:$I1014,7,0)))</f>
        <v/>
      </c>
      <c r="G499" s="40" t="str">
        <f t="shared" si="2"/>
        <v/>
      </c>
      <c r="H499" s="41"/>
      <c r="I499" s="42"/>
      <c r="J499" s="42"/>
      <c r="K499" s="42"/>
      <c r="L499" s="42"/>
      <c r="M499" s="42"/>
      <c r="N499" s="42"/>
      <c r="O499" s="42"/>
      <c r="P499" s="42"/>
      <c r="Q499" s="42"/>
      <c r="R499" s="42"/>
      <c r="S499" s="42"/>
      <c r="T499" s="42"/>
      <c r="U499" s="42"/>
      <c r="V499" s="42"/>
      <c r="W499" s="42"/>
      <c r="X499" s="42"/>
      <c r="Y499" s="42"/>
      <c r="Z499" s="42"/>
      <c r="AA499" s="42"/>
    </row>
    <row r="500">
      <c r="A500" s="36" t="str">
        <f>IF($B500="","",VLOOKUP($B500,DADOS!$C$2:$I1014,2,0))</f>
        <v/>
      </c>
      <c r="B500" s="37"/>
      <c r="C500" s="36"/>
      <c r="D500" s="38" t="str">
        <f>IF($B500="","",SUM(VLOOKUP($B500,DADOS!$C$2:$I1014,4,0)*$C500))</f>
        <v/>
      </c>
      <c r="E500" s="38" t="str">
        <f>IF($B500="","",SUM(VLOOKUP($B500,DADOS!$C$2:$I1014,6,0)*$C500))</f>
        <v/>
      </c>
      <c r="F500" s="39" t="str">
        <f>IF($E500="","",(VLOOKUP($B500,DADOS!$C$2:$I1014,7,0)))</f>
        <v/>
      </c>
      <c r="G500" s="40" t="str">
        <f t="shared" si="2"/>
        <v/>
      </c>
      <c r="H500" s="41"/>
      <c r="I500" s="42"/>
      <c r="J500" s="42"/>
      <c r="K500" s="42"/>
      <c r="L500" s="42"/>
      <c r="M500" s="42"/>
      <c r="N500" s="42"/>
      <c r="O500" s="42"/>
      <c r="P500" s="42"/>
      <c r="Q500" s="42"/>
      <c r="R500" s="42"/>
      <c r="S500" s="42"/>
      <c r="T500" s="42"/>
      <c r="U500" s="42"/>
      <c r="V500" s="42"/>
      <c r="W500" s="42"/>
      <c r="X500" s="42"/>
      <c r="Y500" s="42"/>
      <c r="Z500" s="42"/>
      <c r="AA500" s="42"/>
    </row>
    <row r="501">
      <c r="A501" s="36" t="str">
        <f>IF($B501="","",VLOOKUP($B501,DADOS!$C$2:$I1014,2,0))</f>
        <v/>
      </c>
      <c r="B501" s="37"/>
      <c r="C501" s="36"/>
      <c r="D501" s="38" t="str">
        <f>IF($B501="","",SUM(VLOOKUP($B501,DADOS!$C$2:$I1014,4,0)*$C501))</f>
        <v/>
      </c>
      <c r="E501" s="38" t="str">
        <f>IF($B501="","",SUM(VLOOKUP($B501,DADOS!$C$2:$I1014,6,0)*$C501))</f>
        <v/>
      </c>
      <c r="F501" s="39" t="str">
        <f>IF($E501="","",(VLOOKUP($B501,DADOS!$C$2:$I1014,7,0)))</f>
        <v/>
      </c>
      <c r="G501" s="40" t="str">
        <f t="shared" si="2"/>
        <v/>
      </c>
      <c r="H501" s="41"/>
      <c r="I501" s="42"/>
      <c r="J501" s="42"/>
      <c r="K501" s="42"/>
      <c r="L501" s="42"/>
      <c r="M501" s="42"/>
      <c r="N501" s="42"/>
      <c r="O501" s="42"/>
      <c r="P501" s="42"/>
      <c r="Q501" s="42"/>
      <c r="R501" s="42"/>
      <c r="S501" s="42"/>
      <c r="T501" s="42"/>
      <c r="U501" s="42"/>
      <c r="V501" s="42"/>
      <c r="W501" s="42"/>
      <c r="X501" s="42"/>
      <c r="Y501" s="42"/>
      <c r="Z501" s="42"/>
      <c r="AA501" s="42"/>
    </row>
    <row r="502">
      <c r="A502" s="36" t="str">
        <f>IF($B502="","",VLOOKUP($B502,DADOS!$C$2:$I1014,2,0))</f>
        <v/>
      </c>
      <c r="B502" s="37"/>
      <c r="C502" s="36"/>
      <c r="D502" s="38" t="str">
        <f>IF($B502="","",SUM(VLOOKUP($B502,DADOS!$C$2:$I1014,4,0)*$C502))</f>
        <v/>
      </c>
      <c r="E502" s="38" t="str">
        <f>IF($B502="","",SUM(VLOOKUP($B502,DADOS!$C$2:$I1014,6,0)*$C502))</f>
        <v/>
      </c>
      <c r="F502" s="39" t="str">
        <f>IF($E502="","",(VLOOKUP($B502,DADOS!$C$2:$I1014,7,0)))</f>
        <v/>
      </c>
      <c r="G502" s="40" t="str">
        <f t="shared" si="2"/>
        <v/>
      </c>
      <c r="H502" s="41"/>
      <c r="I502" s="42"/>
      <c r="J502" s="42"/>
      <c r="K502" s="42"/>
      <c r="L502" s="42"/>
      <c r="M502" s="42"/>
      <c r="N502" s="42"/>
      <c r="O502" s="42"/>
      <c r="P502" s="42"/>
      <c r="Q502" s="42"/>
      <c r="R502" s="42"/>
      <c r="S502" s="42"/>
      <c r="T502" s="42"/>
      <c r="U502" s="42"/>
      <c r="V502" s="42"/>
      <c r="W502" s="42"/>
      <c r="X502" s="42"/>
      <c r="Y502" s="42"/>
      <c r="Z502" s="42"/>
      <c r="AA502" s="42"/>
    </row>
    <row r="503">
      <c r="A503" s="36" t="str">
        <f>IF($B503="","",VLOOKUP($B503,DADOS!$C$2:$I1014,2,0))</f>
        <v/>
      </c>
      <c r="B503" s="37"/>
      <c r="C503" s="36"/>
      <c r="D503" s="38" t="str">
        <f>IF($B503="","",SUM(VLOOKUP($B503,DADOS!$C$2:$I1014,4,0)*$C503))</f>
        <v/>
      </c>
      <c r="E503" s="38" t="str">
        <f>IF($B503="","",SUM(VLOOKUP($B503,DADOS!$C$2:$I1014,6,0)*$C503))</f>
        <v/>
      </c>
      <c r="F503" s="39" t="str">
        <f>IF($E503="","",(VLOOKUP($B503,DADOS!$C$2:$I1014,7,0)))</f>
        <v/>
      </c>
      <c r="G503" s="40" t="str">
        <f t="shared" si="2"/>
        <v/>
      </c>
      <c r="H503" s="41"/>
      <c r="I503" s="42"/>
      <c r="J503" s="42"/>
      <c r="K503" s="42"/>
      <c r="L503" s="42"/>
      <c r="M503" s="42"/>
      <c r="N503" s="42"/>
      <c r="O503" s="42"/>
      <c r="P503" s="42"/>
      <c r="Q503" s="42"/>
      <c r="R503" s="42"/>
      <c r="S503" s="42"/>
      <c r="T503" s="42"/>
      <c r="U503" s="42"/>
      <c r="V503" s="42"/>
      <c r="W503" s="42"/>
      <c r="X503" s="42"/>
      <c r="Y503" s="42"/>
      <c r="Z503" s="42"/>
      <c r="AA503" s="42"/>
    </row>
    <row r="504">
      <c r="A504" s="36" t="str">
        <f>IF($B504="","",VLOOKUP($B504,DADOS!$C$2:$I1014,2,0))</f>
        <v/>
      </c>
      <c r="B504" s="37"/>
      <c r="C504" s="36"/>
      <c r="D504" s="38" t="str">
        <f>IF($B504="","",SUM(VLOOKUP($B504,DADOS!$C$2:$I1014,4,0)*$C504))</f>
        <v/>
      </c>
      <c r="E504" s="38" t="str">
        <f>IF($B504="","",SUM(VLOOKUP($B504,DADOS!$C$2:$I1014,6,0)*$C504))</f>
        <v/>
      </c>
      <c r="F504" s="39" t="str">
        <f>IF($E504="","",(VLOOKUP($B504,DADOS!$C$2:$I1014,7,0)))</f>
        <v/>
      </c>
      <c r="G504" s="40" t="str">
        <f t="shared" si="2"/>
        <v/>
      </c>
      <c r="H504" s="41"/>
      <c r="I504" s="42"/>
      <c r="J504" s="42"/>
      <c r="K504" s="42"/>
      <c r="L504" s="42"/>
      <c r="M504" s="42"/>
      <c r="N504" s="42"/>
      <c r="O504" s="42"/>
      <c r="P504" s="42"/>
      <c r="Q504" s="42"/>
      <c r="R504" s="42"/>
      <c r="S504" s="42"/>
      <c r="T504" s="42"/>
      <c r="U504" s="42"/>
      <c r="V504" s="42"/>
      <c r="W504" s="42"/>
      <c r="X504" s="42"/>
      <c r="Y504" s="42"/>
      <c r="Z504" s="42"/>
      <c r="AA504" s="42"/>
    </row>
    <row r="505">
      <c r="A505" s="36" t="str">
        <f>IF($B505="","",VLOOKUP($B505,DADOS!$C$2:$I1014,2,0))</f>
        <v/>
      </c>
      <c r="B505" s="37"/>
      <c r="C505" s="36"/>
      <c r="D505" s="38" t="str">
        <f>IF($B505="","",SUM(VLOOKUP($B505,DADOS!$C$2:$I1014,4,0)*$C505))</f>
        <v/>
      </c>
      <c r="E505" s="38" t="str">
        <f>IF($B505="","",SUM(VLOOKUP($B505,DADOS!$C$2:$I1014,6,0)*$C505))</f>
        <v/>
      </c>
      <c r="F505" s="39" t="str">
        <f>IF($E505="","",(VLOOKUP($B505,DADOS!$C$2:$I1014,7,0)))</f>
        <v/>
      </c>
      <c r="G505" s="40" t="str">
        <f t="shared" si="2"/>
        <v/>
      </c>
      <c r="H505" s="41"/>
      <c r="I505" s="42"/>
      <c r="J505" s="42"/>
      <c r="K505" s="42"/>
      <c r="L505" s="42"/>
      <c r="M505" s="42"/>
      <c r="N505" s="42"/>
      <c r="O505" s="42"/>
      <c r="P505" s="42"/>
      <c r="Q505" s="42"/>
      <c r="R505" s="42"/>
      <c r="S505" s="42"/>
      <c r="T505" s="42"/>
      <c r="U505" s="42"/>
      <c r="V505" s="42"/>
      <c r="W505" s="42"/>
      <c r="X505" s="42"/>
      <c r="Y505" s="42"/>
      <c r="Z505" s="42"/>
      <c r="AA505" s="42"/>
    </row>
    <row r="506">
      <c r="A506" s="36" t="str">
        <f>IF($B506="","",VLOOKUP($B506,DADOS!$C$2:$I1014,2,0))</f>
        <v/>
      </c>
      <c r="B506" s="37"/>
      <c r="C506" s="36"/>
      <c r="D506" s="38" t="str">
        <f>IF($B506="","",SUM(VLOOKUP($B506,DADOS!$C$2:$I1014,4,0)*$C506))</f>
        <v/>
      </c>
      <c r="E506" s="38" t="str">
        <f>IF($B506="","",SUM(VLOOKUP($B506,DADOS!$C$2:$I1014,6,0)*$C506))</f>
        <v/>
      </c>
      <c r="F506" s="39" t="str">
        <f>IF($E506="","",(VLOOKUP($B506,DADOS!$C$2:$I1014,7,0)))</f>
        <v/>
      </c>
      <c r="G506" s="40" t="str">
        <f t="shared" si="2"/>
        <v/>
      </c>
      <c r="H506" s="41"/>
      <c r="I506" s="42"/>
      <c r="J506" s="42"/>
      <c r="K506" s="42"/>
      <c r="L506" s="42"/>
      <c r="M506" s="42"/>
      <c r="N506" s="42"/>
      <c r="O506" s="42"/>
      <c r="P506" s="42"/>
      <c r="Q506" s="42"/>
      <c r="R506" s="42"/>
      <c r="S506" s="42"/>
      <c r="T506" s="42"/>
      <c r="U506" s="42"/>
      <c r="V506" s="42"/>
      <c r="W506" s="42"/>
      <c r="X506" s="42"/>
      <c r="Y506" s="42"/>
      <c r="Z506" s="42"/>
      <c r="AA506" s="42"/>
    </row>
    <row r="507">
      <c r="A507" s="36" t="str">
        <f>IF($B507="","",VLOOKUP($B507,DADOS!$C$2:$I1014,2,0))</f>
        <v/>
      </c>
      <c r="B507" s="37"/>
      <c r="C507" s="36"/>
      <c r="D507" s="38" t="str">
        <f>IF($B507="","",SUM(VLOOKUP($B507,DADOS!$C$2:$I1014,4,0)*$C507))</f>
        <v/>
      </c>
      <c r="E507" s="38" t="str">
        <f>IF($B507="","",SUM(VLOOKUP($B507,DADOS!$C$2:$I1014,6,0)*$C507))</f>
        <v/>
      </c>
      <c r="F507" s="39" t="str">
        <f>IF($E507="","",(VLOOKUP($B507,DADOS!$C$2:$I1014,7,0)))</f>
        <v/>
      </c>
      <c r="G507" s="40" t="str">
        <f t="shared" si="2"/>
        <v/>
      </c>
      <c r="H507" s="41"/>
      <c r="I507" s="42"/>
      <c r="J507" s="42"/>
      <c r="K507" s="42"/>
      <c r="L507" s="42"/>
      <c r="M507" s="42"/>
      <c r="N507" s="42"/>
      <c r="O507" s="42"/>
      <c r="P507" s="42"/>
      <c r="Q507" s="42"/>
      <c r="R507" s="42"/>
      <c r="S507" s="42"/>
      <c r="T507" s="42"/>
      <c r="U507" s="42"/>
      <c r="V507" s="42"/>
      <c r="W507" s="42"/>
      <c r="X507" s="42"/>
      <c r="Y507" s="42"/>
      <c r="Z507" s="42"/>
      <c r="AA507" s="42"/>
    </row>
    <row r="508">
      <c r="A508" s="36" t="str">
        <f>IF($B508="","",VLOOKUP($B508,DADOS!$C$2:$I1014,2,0))</f>
        <v/>
      </c>
      <c r="B508" s="37"/>
      <c r="C508" s="36"/>
      <c r="D508" s="38" t="str">
        <f>IF($B508="","",SUM(VLOOKUP($B508,DADOS!$C$2:$I1014,4,0)*$C508))</f>
        <v/>
      </c>
      <c r="E508" s="38" t="str">
        <f>IF($B508="","",SUM(VLOOKUP($B508,DADOS!$C$2:$I1014,6,0)*$C508))</f>
        <v/>
      </c>
      <c r="F508" s="39" t="str">
        <f>IF($E508="","",(VLOOKUP($B508,DADOS!$C$2:$I1014,7,0)))</f>
        <v/>
      </c>
      <c r="G508" s="40" t="str">
        <f t="shared" si="2"/>
        <v/>
      </c>
      <c r="H508" s="41"/>
      <c r="I508" s="42"/>
      <c r="J508" s="42"/>
      <c r="K508" s="42"/>
      <c r="L508" s="42"/>
      <c r="M508" s="42"/>
      <c r="N508" s="42"/>
      <c r="O508" s="42"/>
      <c r="P508" s="42"/>
      <c r="Q508" s="42"/>
      <c r="R508" s="42"/>
      <c r="S508" s="42"/>
      <c r="T508" s="42"/>
      <c r="U508" s="42"/>
      <c r="V508" s="42"/>
      <c r="W508" s="42"/>
      <c r="X508" s="42"/>
      <c r="Y508" s="42"/>
      <c r="Z508" s="42"/>
      <c r="AA508" s="42"/>
    </row>
    <row r="509">
      <c r="A509" s="36" t="str">
        <f>IF($B509="","",VLOOKUP($B509,DADOS!$C$2:$I1014,2,0))</f>
        <v/>
      </c>
      <c r="B509" s="37"/>
      <c r="C509" s="36"/>
      <c r="D509" s="38" t="str">
        <f>IF($B509="","",SUM(VLOOKUP($B509,DADOS!$C$2:$I1014,4,0)*$C509))</f>
        <v/>
      </c>
      <c r="E509" s="38" t="str">
        <f>IF($B509="","",SUM(VLOOKUP($B509,DADOS!$C$2:$I1014,6,0)*$C509))</f>
        <v/>
      </c>
      <c r="F509" s="39" t="str">
        <f>IF($E509="","",(VLOOKUP($B509,DADOS!$C$2:$I1014,7,0)))</f>
        <v/>
      </c>
      <c r="G509" s="40" t="str">
        <f t="shared" si="2"/>
        <v/>
      </c>
      <c r="H509" s="41"/>
      <c r="I509" s="42"/>
      <c r="J509" s="42"/>
      <c r="K509" s="42"/>
      <c r="L509" s="42"/>
      <c r="M509" s="42"/>
      <c r="N509" s="42"/>
      <c r="O509" s="42"/>
      <c r="P509" s="42"/>
      <c r="Q509" s="42"/>
      <c r="R509" s="42"/>
      <c r="S509" s="42"/>
      <c r="T509" s="42"/>
      <c r="U509" s="42"/>
      <c r="V509" s="42"/>
      <c r="W509" s="42"/>
      <c r="X509" s="42"/>
      <c r="Y509" s="42"/>
      <c r="Z509" s="42"/>
      <c r="AA509" s="42"/>
    </row>
    <row r="510">
      <c r="A510" s="36" t="str">
        <f>IF($B510="","",VLOOKUP($B510,DADOS!$C$2:$I1014,2,0))</f>
        <v/>
      </c>
      <c r="B510" s="37"/>
      <c r="C510" s="36"/>
      <c r="D510" s="38" t="str">
        <f>IF($B510="","",SUM(VLOOKUP($B510,DADOS!$C$2:$I1014,4,0)*$C510))</f>
        <v/>
      </c>
      <c r="E510" s="38" t="str">
        <f>IF($B510="","",SUM(VLOOKUP($B510,DADOS!$C$2:$I1014,6,0)*$C510))</f>
        <v/>
      </c>
      <c r="F510" s="39" t="str">
        <f>IF($E510="","",(VLOOKUP($B510,DADOS!$C$2:$I1014,7,0)))</f>
        <v/>
      </c>
      <c r="G510" s="40" t="str">
        <f t="shared" si="2"/>
        <v/>
      </c>
      <c r="H510" s="41"/>
      <c r="I510" s="42"/>
      <c r="J510" s="42"/>
      <c r="K510" s="42"/>
      <c r="L510" s="42"/>
      <c r="M510" s="42"/>
      <c r="N510" s="42"/>
      <c r="O510" s="42"/>
      <c r="P510" s="42"/>
      <c r="Q510" s="42"/>
      <c r="R510" s="42"/>
      <c r="S510" s="42"/>
      <c r="T510" s="42"/>
      <c r="U510" s="42"/>
      <c r="V510" s="42"/>
      <c r="W510" s="42"/>
      <c r="X510" s="42"/>
      <c r="Y510" s="42"/>
      <c r="Z510" s="42"/>
      <c r="AA510" s="42"/>
    </row>
    <row r="511">
      <c r="A511" s="36" t="str">
        <f>IF($B511="","",VLOOKUP($B511,DADOS!$C$2:$I1014,2,0))</f>
        <v/>
      </c>
      <c r="B511" s="37"/>
      <c r="C511" s="36"/>
      <c r="D511" s="38" t="str">
        <f>IF($B511="","",SUM(VLOOKUP($B511,DADOS!$C$2:$I1014,4,0)*$C511))</f>
        <v/>
      </c>
      <c r="E511" s="38" t="str">
        <f>IF($B511="","",SUM(VLOOKUP($B511,DADOS!$C$2:$I1014,6,0)*$C511))</f>
        <v/>
      </c>
      <c r="F511" s="39" t="str">
        <f>IF($E511="","",(VLOOKUP($B511,DADOS!$C$2:$I1014,7,0)))</f>
        <v/>
      </c>
      <c r="G511" s="40" t="str">
        <f t="shared" si="2"/>
        <v/>
      </c>
      <c r="H511" s="41"/>
      <c r="I511" s="42"/>
      <c r="J511" s="42"/>
      <c r="K511" s="42"/>
      <c r="L511" s="42"/>
      <c r="M511" s="42"/>
      <c r="N511" s="42"/>
      <c r="O511" s="42"/>
      <c r="P511" s="42"/>
      <c r="Q511" s="42"/>
      <c r="R511" s="42"/>
      <c r="S511" s="42"/>
      <c r="T511" s="42"/>
      <c r="U511" s="42"/>
      <c r="V511" s="42"/>
      <c r="W511" s="42"/>
      <c r="X511" s="42"/>
      <c r="Y511" s="42"/>
      <c r="Z511" s="42"/>
      <c r="AA511" s="42"/>
    </row>
    <row r="512">
      <c r="A512" s="36" t="str">
        <f>IF($B512="","",VLOOKUP($B512,DADOS!$C$2:$I1014,2,0))</f>
        <v/>
      </c>
      <c r="B512" s="37"/>
      <c r="C512" s="36"/>
      <c r="D512" s="38" t="str">
        <f>IF($B512="","",SUM(VLOOKUP($B512,DADOS!$C$2:$I1014,4,0)*$C512))</f>
        <v/>
      </c>
      <c r="E512" s="38" t="str">
        <f>IF($B512="","",SUM(VLOOKUP($B512,DADOS!$C$2:$I1014,6,0)*$C512))</f>
        <v/>
      </c>
      <c r="F512" s="39" t="str">
        <f>IF($E512="","",(VLOOKUP($B512,DADOS!$C$2:$I1014,7,0)))</f>
        <v/>
      </c>
      <c r="G512" s="40" t="str">
        <f t="shared" si="2"/>
        <v/>
      </c>
      <c r="H512" s="41"/>
      <c r="I512" s="42"/>
      <c r="J512" s="42"/>
      <c r="K512" s="42"/>
      <c r="L512" s="42"/>
      <c r="M512" s="42"/>
      <c r="N512" s="42"/>
      <c r="O512" s="42"/>
      <c r="P512" s="42"/>
      <c r="Q512" s="42"/>
      <c r="R512" s="42"/>
      <c r="S512" s="42"/>
      <c r="T512" s="42"/>
      <c r="U512" s="42"/>
      <c r="V512" s="42"/>
      <c r="W512" s="42"/>
      <c r="X512" s="42"/>
      <c r="Y512" s="42"/>
      <c r="Z512" s="42"/>
      <c r="AA512" s="42"/>
    </row>
    <row r="513">
      <c r="A513" s="36" t="str">
        <f>IF($B513="","",VLOOKUP($B513,DADOS!$C$2:$I1014,2,0))</f>
        <v/>
      </c>
      <c r="B513" s="37"/>
      <c r="C513" s="36"/>
      <c r="D513" s="38" t="str">
        <f>IF($B513="","",SUM(VLOOKUP($B513,DADOS!$C$2:$I1014,4,0)*$C513))</f>
        <v/>
      </c>
      <c r="E513" s="38" t="str">
        <f>IF($B513="","",SUM(VLOOKUP($B513,DADOS!$C$2:$I1014,6,0)*$C513))</f>
        <v/>
      </c>
      <c r="F513" s="39" t="str">
        <f>IF($E513="","",(VLOOKUP($B513,DADOS!$C$2:$I1014,7,0)))</f>
        <v/>
      </c>
      <c r="G513" s="40" t="str">
        <f t="shared" si="2"/>
        <v/>
      </c>
      <c r="H513" s="41"/>
      <c r="I513" s="42"/>
      <c r="J513" s="42"/>
      <c r="K513" s="42"/>
      <c r="L513" s="42"/>
      <c r="M513" s="42"/>
      <c r="N513" s="42"/>
      <c r="O513" s="42"/>
      <c r="P513" s="42"/>
      <c r="Q513" s="42"/>
      <c r="R513" s="42"/>
      <c r="S513" s="42"/>
      <c r="T513" s="42"/>
      <c r="U513" s="42"/>
      <c r="V513" s="42"/>
      <c r="W513" s="42"/>
      <c r="X513" s="42"/>
      <c r="Y513" s="42"/>
      <c r="Z513" s="42"/>
      <c r="AA513" s="42"/>
    </row>
    <row r="514">
      <c r="A514" s="36" t="str">
        <f>IF($B514="","",VLOOKUP($B514,DADOS!$C$2:$I1014,2,0))</f>
        <v/>
      </c>
      <c r="B514" s="37"/>
      <c r="C514" s="36"/>
      <c r="D514" s="38" t="str">
        <f>IF($B514="","",SUM(VLOOKUP($B514,DADOS!$C$2:$I1014,4,0)*$C514))</f>
        <v/>
      </c>
      <c r="E514" s="38" t="str">
        <f>IF($B514="","",SUM(VLOOKUP($B514,DADOS!$C$2:$I1014,6,0)*$C514))</f>
        <v/>
      </c>
      <c r="F514" s="39" t="str">
        <f>IF($E514="","",(VLOOKUP($B514,DADOS!$C$2:$I1014,7,0)))</f>
        <v/>
      </c>
      <c r="G514" s="40" t="str">
        <f t="shared" si="2"/>
        <v/>
      </c>
      <c r="H514" s="41"/>
      <c r="I514" s="42"/>
      <c r="J514" s="42"/>
      <c r="K514" s="42"/>
      <c r="L514" s="42"/>
      <c r="M514" s="42"/>
      <c r="N514" s="42"/>
      <c r="O514" s="42"/>
      <c r="P514" s="42"/>
      <c r="Q514" s="42"/>
      <c r="R514" s="42"/>
      <c r="S514" s="42"/>
      <c r="T514" s="42"/>
      <c r="U514" s="42"/>
      <c r="V514" s="42"/>
      <c r="W514" s="42"/>
      <c r="X514" s="42"/>
      <c r="Y514" s="42"/>
      <c r="Z514" s="42"/>
      <c r="AA514" s="42"/>
    </row>
    <row r="515">
      <c r="A515" s="36" t="str">
        <f>IF($B515="","",VLOOKUP($B515,DADOS!$C$2:$I1014,2,0))</f>
        <v/>
      </c>
      <c r="B515" s="37"/>
      <c r="C515" s="36"/>
      <c r="D515" s="38" t="str">
        <f>IF($B515="","",SUM(VLOOKUP($B515,DADOS!$C$2:$I1014,4,0)*$C515))</f>
        <v/>
      </c>
      <c r="E515" s="38" t="str">
        <f>IF($B515="","",SUM(VLOOKUP($B515,DADOS!$C$2:$I1014,6,0)*$C515))</f>
        <v/>
      </c>
      <c r="F515" s="39" t="str">
        <f>IF($E515="","",(VLOOKUP($B515,DADOS!$C$2:$I1014,7,0)))</f>
        <v/>
      </c>
      <c r="G515" s="40" t="str">
        <f t="shared" si="2"/>
        <v/>
      </c>
      <c r="H515" s="41"/>
      <c r="I515" s="42"/>
      <c r="J515" s="42"/>
      <c r="K515" s="42"/>
      <c r="L515" s="42"/>
      <c r="M515" s="42"/>
      <c r="N515" s="42"/>
      <c r="O515" s="42"/>
      <c r="P515" s="42"/>
      <c r="Q515" s="42"/>
      <c r="R515" s="42"/>
      <c r="S515" s="42"/>
      <c r="T515" s="42"/>
      <c r="U515" s="42"/>
      <c r="V515" s="42"/>
      <c r="W515" s="42"/>
      <c r="X515" s="42"/>
      <c r="Y515" s="42"/>
      <c r="Z515" s="42"/>
      <c r="AA515" s="42"/>
    </row>
    <row r="516">
      <c r="A516" s="36" t="str">
        <f>IF($B516="","",VLOOKUP($B516,DADOS!$C$2:$I1014,2,0))</f>
        <v/>
      </c>
      <c r="B516" s="37"/>
      <c r="C516" s="36"/>
      <c r="D516" s="38" t="str">
        <f>IF($B516="","",SUM(VLOOKUP($B516,DADOS!$C$2:$I1014,4,0)*$C516))</f>
        <v/>
      </c>
      <c r="E516" s="38" t="str">
        <f>IF($B516="","",SUM(VLOOKUP($B516,DADOS!$C$2:$I1014,6,0)*$C516))</f>
        <v/>
      </c>
      <c r="F516" s="39" t="str">
        <f>IF($E516="","",(VLOOKUP($B516,DADOS!$C$2:$I1014,7,0)))</f>
        <v/>
      </c>
      <c r="G516" s="40" t="str">
        <f t="shared" si="2"/>
        <v/>
      </c>
      <c r="H516" s="41"/>
      <c r="I516" s="42"/>
      <c r="J516" s="42"/>
      <c r="K516" s="42"/>
      <c r="L516" s="42"/>
      <c r="M516" s="42"/>
      <c r="N516" s="42"/>
      <c r="O516" s="42"/>
      <c r="P516" s="42"/>
      <c r="Q516" s="42"/>
      <c r="R516" s="42"/>
      <c r="S516" s="42"/>
      <c r="T516" s="42"/>
      <c r="U516" s="42"/>
      <c r="V516" s="42"/>
      <c r="W516" s="42"/>
      <c r="X516" s="42"/>
      <c r="Y516" s="42"/>
      <c r="Z516" s="42"/>
      <c r="AA516" s="42"/>
    </row>
    <row r="517">
      <c r="A517" s="36" t="str">
        <f>IF($B517="","",VLOOKUP($B517,DADOS!$C$2:$I1014,2,0))</f>
        <v/>
      </c>
      <c r="B517" s="37"/>
      <c r="C517" s="36"/>
      <c r="D517" s="38" t="str">
        <f>IF($B517="","",SUM(VLOOKUP($B517,DADOS!$C$2:$I1014,4,0)*$C517))</f>
        <v/>
      </c>
      <c r="E517" s="38" t="str">
        <f>IF($B517="","",SUM(VLOOKUP($B517,DADOS!$C$2:$I1014,6,0)*$C517))</f>
        <v/>
      </c>
      <c r="F517" s="39" t="str">
        <f>IF($E517="","",(VLOOKUP($B517,DADOS!$C$2:$I1014,7,0)))</f>
        <v/>
      </c>
      <c r="G517" s="40" t="str">
        <f t="shared" si="2"/>
        <v/>
      </c>
      <c r="H517" s="41"/>
      <c r="I517" s="42"/>
      <c r="J517" s="42"/>
      <c r="K517" s="42"/>
      <c r="L517" s="42"/>
      <c r="M517" s="42"/>
      <c r="N517" s="42"/>
      <c r="O517" s="42"/>
      <c r="P517" s="42"/>
      <c r="Q517" s="42"/>
      <c r="R517" s="42"/>
      <c r="S517" s="42"/>
      <c r="T517" s="42"/>
      <c r="U517" s="42"/>
      <c r="V517" s="42"/>
      <c r="W517" s="42"/>
      <c r="X517" s="42"/>
      <c r="Y517" s="42"/>
      <c r="Z517" s="42"/>
      <c r="AA517" s="42"/>
    </row>
    <row r="518">
      <c r="A518" s="36" t="str">
        <f>IF($B518="","",VLOOKUP($B518,DADOS!$C$2:$I1014,2,0))</f>
        <v/>
      </c>
      <c r="B518" s="37"/>
      <c r="C518" s="36"/>
      <c r="D518" s="38" t="str">
        <f>IF($B518="","",SUM(VLOOKUP($B518,DADOS!$C$2:$I1014,4,0)*$C518))</f>
        <v/>
      </c>
      <c r="E518" s="38" t="str">
        <f>IF($B518="","",SUM(VLOOKUP($B518,DADOS!$C$2:$I1014,6,0)*$C518))</f>
        <v/>
      </c>
      <c r="F518" s="39" t="str">
        <f>IF($E518="","",(VLOOKUP($B518,DADOS!$C$2:$I1014,7,0)))</f>
        <v/>
      </c>
      <c r="G518" s="40" t="str">
        <f t="shared" si="2"/>
        <v/>
      </c>
      <c r="H518" s="41"/>
      <c r="I518" s="42"/>
      <c r="J518" s="42"/>
      <c r="K518" s="42"/>
      <c r="L518" s="42"/>
      <c r="M518" s="42"/>
      <c r="N518" s="42"/>
      <c r="O518" s="42"/>
      <c r="P518" s="42"/>
      <c r="Q518" s="42"/>
      <c r="R518" s="42"/>
      <c r="S518" s="42"/>
      <c r="T518" s="42"/>
      <c r="U518" s="42"/>
      <c r="V518" s="42"/>
      <c r="W518" s="42"/>
      <c r="X518" s="42"/>
      <c r="Y518" s="42"/>
      <c r="Z518" s="42"/>
      <c r="AA518" s="42"/>
    </row>
    <row r="519">
      <c r="A519" s="36" t="str">
        <f>IF($B519="","",VLOOKUP($B519,DADOS!$C$2:$I1014,2,0))</f>
        <v/>
      </c>
      <c r="B519" s="37"/>
      <c r="C519" s="36"/>
      <c r="D519" s="38" t="str">
        <f>IF($B519="","",SUM(VLOOKUP($B519,DADOS!$C$2:$I1014,4,0)*$C519))</f>
        <v/>
      </c>
      <c r="E519" s="38" t="str">
        <f>IF($B519="","",SUM(VLOOKUP($B519,DADOS!$C$2:$I1014,6,0)*$C519))</f>
        <v/>
      </c>
      <c r="F519" s="39" t="str">
        <f>IF($E519="","",(VLOOKUP($B519,DADOS!$C$2:$I1014,7,0)))</f>
        <v/>
      </c>
      <c r="G519" s="40" t="str">
        <f t="shared" si="2"/>
        <v/>
      </c>
      <c r="H519" s="41"/>
      <c r="I519" s="42"/>
      <c r="J519" s="42"/>
      <c r="K519" s="42"/>
      <c r="L519" s="42"/>
      <c r="M519" s="42"/>
      <c r="N519" s="42"/>
      <c r="O519" s="42"/>
      <c r="P519" s="42"/>
      <c r="Q519" s="42"/>
      <c r="R519" s="42"/>
      <c r="S519" s="42"/>
      <c r="T519" s="42"/>
      <c r="U519" s="42"/>
      <c r="V519" s="42"/>
      <c r="W519" s="42"/>
      <c r="X519" s="42"/>
      <c r="Y519" s="42"/>
      <c r="Z519" s="42"/>
      <c r="AA519" s="42"/>
    </row>
    <row r="520">
      <c r="A520" s="36" t="str">
        <f>IF($B520="","",VLOOKUP($B520,DADOS!$C$2:$I1014,2,0))</f>
        <v/>
      </c>
      <c r="B520" s="37"/>
      <c r="C520" s="36"/>
      <c r="D520" s="38" t="str">
        <f>IF($B520="","",SUM(VLOOKUP($B520,DADOS!$C$2:$I1014,4,0)*$C520))</f>
        <v/>
      </c>
      <c r="E520" s="38" t="str">
        <f>IF($B520="","",SUM(VLOOKUP($B520,DADOS!$C$2:$I1014,6,0)*$C520))</f>
        <v/>
      </c>
      <c r="F520" s="39" t="str">
        <f>IF($E520="","",(VLOOKUP($B520,DADOS!$C$2:$I1014,7,0)))</f>
        <v/>
      </c>
      <c r="G520" s="40" t="str">
        <f t="shared" si="2"/>
        <v/>
      </c>
      <c r="H520" s="41"/>
      <c r="I520" s="42"/>
      <c r="J520" s="42"/>
      <c r="K520" s="42"/>
      <c r="L520" s="42"/>
      <c r="M520" s="42"/>
      <c r="N520" s="42"/>
      <c r="O520" s="42"/>
      <c r="P520" s="42"/>
      <c r="Q520" s="42"/>
      <c r="R520" s="42"/>
      <c r="S520" s="42"/>
      <c r="T520" s="42"/>
      <c r="U520" s="42"/>
      <c r="V520" s="42"/>
      <c r="W520" s="42"/>
      <c r="X520" s="42"/>
      <c r="Y520" s="42"/>
      <c r="Z520" s="42"/>
      <c r="AA520" s="42"/>
    </row>
    <row r="521">
      <c r="A521" s="36" t="str">
        <f>IF($B521="","",VLOOKUP($B521,DADOS!$C$2:$I1014,2,0))</f>
        <v/>
      </c>
      <c r="B521" s="37"/>
      <c r="C521" s="36"/>
      <c r="D521" s="38" t="str">
        <f>IF($B521="","",SUM(VLOOKUP($B521,DADOS!$C$2:$I1014,4,0)*$C521))</f>
        <v/>
      </c>
      <c r="E521" s="38" t="str">
        <f>IF($B521="","",SUM(VLOOKUP($B521,DADOS!$C$2:$I1014,6,0)*$C521))</f>
        <v/>
      </c>
      <c r="F521" s="39" t="str">
        <f>IF($E521="","",(VLOOKUP($B521,DADOS!$C$2:$I1014,7,0)))</f>
        <v/>
      </c>
      <c r="G521" s="40" t="str">
        <f t="shared" si="2"/>
        <v/>
      </c>
      <c r="H521" s="41"/>
      <c r="I521" s="42"/>
      <c r="J521" s="42"/>
      <c r="K521" s="42"/>
      <c r="L521" s="42"/>
      <c r="M521" s="42"/>
      <c r="N521" s="42"/>
      <c r="O521" s="42"/>
      <c r="P521" s="42"/>
      <c r="Q521" s="42"/>
      <c r="R521" s="42"/>
      <c r="S521" s="42"/>
      <c r="T521" s="42"/>
      <c r="U521" s="42"/>
      <c r="V521" s="42"/>
      <c r="W521" s="42"/>
      <c r="X521" s="42"/>
      <c r="Y521" s="42"/>
      <c r="Z521" s="42"/>
      <c r="AA521" s="42"/>
    </row>
    <row r="522">
      <c r="A522" s="36" t="str">
        <f>IF($B522="","",VLOOKUP($B522,DADOS!$C$2:$I1014,2,0))</f>
        <v/>
      </c>
      <c r="B522" s="37"/>
      <c r="C522" s="36"/>
      <c r="D522" s="38" t="str">
        <f>IF($B522="","",SUM(VLOOKUP($B522,DADOS!$C$2:$I1014,4,0)*$C522))</f>
        <v/>
      </c>
      <c r="E522" s="38" t="str">
        <f>IF($B522="","",SUM(VLOOKUP($B522,DADOS!$C$2:$I1014,6,0)*$C522))</f>
        <v/>
      </c>
      <c r="F522" s="39" t="str">
        <f>IF($E522="","",(VLOOKUP($B522,DADOS!$C$2:$I1014,7,0)))</f>
        <v/>
      </c>
      <c r="G522" s="40" t="str">
        <f t="shared" si="2"/>
        <v/>
      </c>
      <c r="H522" s="41"/>
      <c r="I522" s="42"/>
      <c r="J522" s="42"/>
      <c r="K522" s="42"/>
      <c r="L522" s="42"/>
      <c r="M522" s="42"/>
      <c r="N522" s="42"/>
      <c r="O522" s="42"/>
      <c r="P522" s="42"/>
      <c r="Q522" s="42"/>
      <c r="R522" s="42"/>
      <c r="S522" s="42"/>
      <c r="T522" s="42"/>
      <c r="U522" s="42"/>
      <c r="V522" s="42"/>
      <c r="W522" s="42"/>
      <c r="X522" s="42"/>
      <c r="Y522" s="42"/>
      <c r="Z522" s="42"/>
      <c r="AA522" s="42"/>
    </row>
    <row r="523">
      <c r="A523" s="36" t="str">
        <f>IF($B523="","",VLOOKUP($B523,DADOS!$C$2:$I1014,2,0))</f>
        <v/>
      </c>
      <c r="B523" s="37"/>
      <c r="C523" s="36"/>
      <c r="D523" s="38" t="str">
        <f>IF($B523="","",SUM(VLOOKUP($B523,DADOS!$C$2:$I1014,4,0)*$C523))</f>
        <v/>
      </c>
      <c r="E523" s="38" t="str">
        <f>IF($B523="","",SUM(VLOOKUP($B523,DADOS!$C$2:$I1014,6,0)*$C523))</f>
        <v/>
      </c>
      <c r="F523" s="39" t="str">
        <f>IF($E523="","",(VLOOKUP($B523,DADOS!$C$2:$I1014,7,0)))</f>
        <v/>
      </c>
      <c r="G523" s="40" t="str">
        <f t="shared" si="2"/>
        <v/>
      </c>
      <c r="H523" s="41"/>
      <c r="I523" s="42"/>
      <c r="J523" s="42"/>
      <c r="K523" s="42"/>
      <c r="L523" s="42"/>
      <c r="M523" s="42"/>
      <c r="N523" s="42"/>
      <c r="O523" s="42"/>
      <c r="P523" s="42"/>
      <c r="Q523" s="42"/>
      <c r="R523" s="42"/>
      <c r="S523" s="42"/>
      <c r="T523" s="42"/>
      <c r="U523" s="42"/>
      <c r="V523" s="42"/>
      <c r="W523" s="42"/>
      <c r="X523" s="42"/>
      <c r="Y523" s="42"/>
      <c r="Z523" s="42"/>
      <c r="AA523" s="42"/>
    </row>
    <row r="524">
      <c r="A524" s="36" t="str">
        <f>IF($B524="","",VLOOKUP($B524,DADOS!$C$2:$I1014,2,0))</f>
        <v/>
      </c>
      <c r="B524" s="37"/>
      <c r="C524" s="36"/>
      <c r="D524" s="38" t="str">
        <f>IF($B524="","",SUM(VLOOKUP($B524,DADOS!$C$2:$I1014,4,0)*$C524))</f>
        <v/>
      </c>
      <c r="E524" s="38" t="str">
        <f>IF($B524="","",SUM(VLOOKUP($B524,DADOS!$C$2:$I1014,6,0)*$C524))</f>
        <v/>
      </c>
      <c r="F524" s="39" t="str">
        <f>IF($E524="","",(VLOOKUP($B524,DADOS!$C$2:$I1014,7,0)))</f>
        <v/>
      </c>
      <c r="G524" s="40" t="str">
        <f t="shared" si="2"/>
        <v/>
      </c>
      <c r="H524" s="41"/>
      <c r="I524" s="42"/>
      <c r="J524" s="42"/>
      <c r="K524" s="42"/>
      <c r="L524" s="42"/>
      <c r="M524" s="42"/>
      <c r="N524" s="42"/>
      <c r="O524" s="42"/>
      <c r="P524" s="42"/>
      <c r="Q524" s="42"/>
      <c r="R524" s="42"/>
      <c r="S524" s="42"/>
      <c r="T524" s="42"/>
      <c r="U524" s="42"/>
      <c r="V524" s="42"/>
      <c r="W524" s="42"/>
      <c r="X524" s="42"/>
      <c r="Y524" s="42"/>
      <c r="Z524" s="42"/>
      <c r="AA524" s="42"/>
    </row>
    <row r="525">
      <c r="A525" s="36" t="str">
        <f>IF($B525="","",VLOOKUP($B525,DADOS!$C$2:$I1014,2,0))</f>
        <v/>
      </c>
      <c r="B525" s="37"/>
      <c r="C525" s="36"/>
      <c r="D525" s="38" t="str">
        <f>IF($B525="","",SUM(VLOOKUP($B525,DADOS!$C$2:$I1014,4,0)*$C525))</f>
        <v/>
      </c>
      <c r="E525" s="38" t="str">
        <f>IF($B525="","",SUM(VLOOKUP($B525,DADOS!$C$2:$I1014,6,0)*$C525))</f>
        <v/>
      </c>
      <c r="F525" s="39" t="str">
        <f>IF($E525="","",(VLOOKUP($B525,DADOS!$C$2:$I1014,7,0)))</f>
        <v/>
      </c>
      <c r="G525" s="40" t="str">
        <f t="shared" si="2"/>
        <v/>
      </c>
      <c r="H525" s="41"/>
      <c r="I525" s="42"/>
      <c r="J525" s="42"/>
      <c r="K525" s="42"/>
      <c r="L525" s="42"/>
      <c r="M525" s="42"/>
      <c r="N525" s="42"/>
      <c r="O525" s="42"/>
      <c r="P525" s="42"/>
      <c r="Q525" s="42"/>
      <c r="R525" s="42"/>
      <c r="S525" s="42"/>
      <c r="T525" s="42"/>
      <c r="U525" s="42"/>
      <c r="V525" s="42"/>
      <c r="W525" s="42"/>
      <c r="X525" s="42"/>
      <c r="Y525" s="42"/>
      <c r="Z525" s="42"/>
      <c r="AA525" s="42"/>
    </row>
    <row r="526">
      <c r="A526" s="36" t="str">
        <f>IF($B526="","",VLOOKUP($B526,DADOS!$C$2:$I1014,2,0))</f>
        <v/>
      </c>
      <c r="B526" s="37"/>
      <c r="C526" s="36"/>
      <c r="D526" s="38" t="str">
        <f>IF($B526="","",SUM(VLOOKUP($B526,DADOS!$C$2:$I1014,4,0)*$C526))</f>
        <v/>
      </c>
      <c r="E526" s="38" t="str">
        <f>IF($B526="","",SUM(VLOOKUP($B526,DADOS!$C$2:$I1014,6,0)*$C526))</f>
        <v/>
      </c>
      <c r="F526" s="39" t="str">
        <f>IF($E526="","",(VLOOKUP($B526,DADOS!$C$2:$I1014,7,0)))</f>
        <v/>
      </c>
      <c r="G526" s="40" t="str">
        <f t="shared" si="2"/>
        <v/>
      </c>
      <c r="H526" s="41"/>
      <c r="I526" s="42"/>
      <c r="J526" s="42"/>
      <c r="K526" s="42"/>
      <c r="L526" s="42"/>
      <c r="M526" s="42"/>
      <c r="N526" s="42"/>
      <c r="O526" s="42"/>
      <c r="P526" s="42"/>
      <c r="Q526" s="42"/>
      <c r="R526" s="42"/>
      <c r="S526" s="42"/>
      <c r="T526" s="42"/>
      <c r="U526" s="42"/>
      <c r="V526" s="42"/>
      <c r="W526" s="42"/>
      <c r="X526" s="42"/>
      <c r="Y526" s="42"/>
      <c r="Z526" s="42"/>
      <c r="AA526" s="42"/>
    </row>
    <row r="527">
      <c r="A527" s="36" t="str">
        <f>IF($B527="","",VLOOKUP($B527,DADOS!$C$2:$I1014,2,0))</f>
        <v/>
      </c>
      <c r="B527" s="37"/>
      <c r="C527" s="36"/>
      <c r="D527" s="38" t="str">
        <f>IF($B527="","",SUM(VLOOKUP($B527,DADOS!$C$2:$I1014,4,0)*$C527))</f>
        <v/>
      </c>
      <c r="E527" s="38" t="str">
        <f>IF($B527="","",SUM(VLOOKUP($B527,DADOS!$C$2:$I1014,6,0)*$C527))</f>
        <v/>
      </c>
      <c r="F527" s="39" t="str">
        <f>IF($E527="","",(VLOOKUP($B527,DADOS!$C$2:$I1014,7,0)))</f>
        <v/>
      </c>
      <c r="G527" s="40" t="str">
        <f t="shared" si="2"/>
        <v/>
      </c>
      <c r="H527" s="41"/>
      <c r="I527" s="42"/>
      <c r="J527" s="42"/>
      <c r="K527" s="42"/>
      <c r="L527" s="42"/>
      <c r="M527" s="42"/>
      <c r="N527" s="42"/>
      <c r="O527" s="42"/>
      <c r="P527" s="42"/>
      <c r="Q527" s="42"/>
      <c r="R527" s="42"/>
      <c r="S527" s="42"/>
      <c r="T527" s="42"/>
      <c r="U527" s="42"/>
      <c r="V527" s="42"/>
      <c r="W527" s="42"/>
      <c r="X527" s="42"/>
      <c r="Y527" s="42"/>
      <c r="Z527" s="42"/>
      <c r="AA527" s="42"/>
    </row>
    <row r="528">
      <c r="A528" s="36" t="str">
        <f>IF($B528="","",VLOOKUP($B528,DADOS!$C$2:$I1014,2,0))</f>
        <v/>
      </c>
      <c r="B528" s="37"/>
      <c r="C528" s="36"/>
      <c r="D528" s="38" t="str">
        <f>IF($B528="","",SUM(VLOOKUP($B528,DADOS!$C$2:$I1014,4,0)*$C528))</f>
        <v/>
      </c>
      <c r="E528" s="38" t="str">
        <f>IF($B528="","",SUM(VLOOKUP($B528,DADOS!$C$2:$I1014,6,0)*$C528))</f>
        <v/>
      </c>
      <c r="F528" s="39" t="str">
        <f>IF($E528="","",(VLOOKUP($B528,DADOS!$C$2:$I1014,7,0)))</f>
        <v/>
      </c>
      <c r="G528" s="40" t="str">
        <f t="shared" si="2"/>
        <v/>
      </c>
      <c r="H528" s="41"/>
      <c r="I528" s="42"/>
      <c r="J528" s="42"/>
      <c r="K528" s="42"/>
      <c r="L528" s="42"/>
      <c r="M528" s="42"/>
      <c r="N528" s="42"/>
      <c r="O528" s="42"/>
      <c r="P528" s="42"/>
      <c r="Q528" s="42"/>
      <c r="R528" s="42"/>
      <c r="S528" s="42"/>
      <c r="T528" s="42"/>
      <c r="U528" s="42"/>
      <c r="V528" s="42"/>
      <c r="W528" s="42"/>
      <c r="X528" s="42"/>
      <c r="Y528" s="42"/>
      <c r="Z528" s="42"/>
      <c r="AA528" s="42"/>
    </row>
    <row r="529">
      <c r="A529" s="36" t="str">
        <f>IF($B529="","",VLOOKUP($B529,DADOS!$C$2:$I1014,2,0))</f>
        <v/>
      </c>
      <c r="B529" s="37"/>
      <c r="C529" s="36"/>
      <c r="D529" s="38" t="str">
        <f>IF($B529="","",SUM(VLOOKUP($B529,DADOS!$C$2:$I1014,4,0)*$C529))</f>
        <v/>
      </c>
      <c r="E529" s="38" t="str">
        <f>IF($B529="","",SUM(VLOOKUP($B529,DADOS!$C$2:$I1014,6,0)*$C529))</f>
        <v/>
      </c>
      <c r="F529" s="39" t="str">
        <f>IF($E529="","",(VLOOKUP($B529,DADOS!$C$2:$I1014,7,0)))</f>
        <v/>
      </c>
      <c r="G529" s="40" t="str">
        <f t="shared" si="2"/>
        <v/>
      </c>
      <c r="H529" s="41"/>
      <c r="I529" s="42"/>
      <c r="J529" s="42"/>
      <c r="K529" s="42"/>
      <c r="L529" s="42"/>
      <c r="M529" s="42"/>
      <c r="N529" s="42"/>
      <c r="O529" s="42"/>
      <c r="P529" s="42"/>
      <c r="Q529" s="42"/>
      <c r="R529" s="42"/>
      <c r="S529" s="42"/>
      <c r="T529" s="42"/>
      <c r="U529" s="42"/>
      <c r="V529" s="42"/>
      <c r="W529" s="42"/>
      <c r="X529" s="42"/>
      <c r="Y529" s="42"/>
      <c r="Z529" s="42"/>
      <c r="AA529" s="42"/>
    </row>
    <row r="530">
      <c r="A530" s="36" t="str">
        <f>IF($B530="","",VLOOKUP($B530,DADOS!$C$2:$I1014,2,0))</f>
        <v/>
      </c>
      <c r="B530" s="37"/>
      <c r="C530" s="36"/>
      <c r="D530" s="38" t="str">
        <f>IF($B530="","",SUM(VLOOKUP($B530,DADOS!$C$2:$I1014,4,0)*$C530))</f>
        <v/>
      </c>
      <c r="E530" s="38" t="str">
        <f>IF($B530="","",SUM(VLOOKUP($B530,DADOS!$C$2:$I1014,6,0)*$C530))</f>
        <v/>
      </c>
      <c r="F530" s="39" t="str">
        <f>IF($E530="","",(VLOOKUP($B530,DADOS!$C$2:$I1014,7,0)))</f>
        <v/>
      </c>
      <c r="G530" s="40" t="str">
        <f t="shared" si="2"/>
        <v/>
      </c>
      <c r="H530" s="41"/>
      <c r="I530" s="42"/>
      <c r="J530" s="42"/>
      <c r="K530" s="42"/>
      <c r="L530" s="42"/>
      <c r="M530" s="42"/>
      <c r="N530" s="42"/>
      <c r="O530" s="42"/>
      <c r="P530" s="42"/>
      <c r="Q530" s="42"/>
      <c r="R530" s="42"/>
      <c r="S530" s="42"/>
      <c r="T530" s="42"/>
      <c r="U530" s="42"/>
      <c r="V530" s="42"/>
      <c r="W530" s="42"/>
      <c r="X530" s="42"/>
      <c r="Y530" s="42"/>
      <c r="Z530" s="42"/>
      <c r="AA530" s="42"/>
    </row>
    <row r="531">
      <c r="A531" s="36" t="str">
        <f>IF($B531="","",VLOOKUP($B531,DADOS!$C$2:$I1014,2,0))</f>
        <v/>
      </c>
      <c r="B531" s="37"/>
      <c r="C531" s="36"/>
      <c r="D531" s="38" t="str">
        <f>IF($B531="","",SUM(VLOOKUP($B531,DADOS!$C$2:$I1014,4,0)*$C531))</f>
        <v/>
      </c>
      <c r="E531" s="38" t="str">
        <f>IF($B531="","",SUM(VLOOKUP($B531,DADOS!$C$2:$I1014,6,0)*$C531))</f>
        <v/>
      </c>
      <c r="F531" s="39" t="str">
        <f>IF($E531="","",(VLOOKUP($B531,DADOS!$C$2:$I1014,7,0)))</f>
        <v/>
      </c>
      <c r="G531" s="40" t="str">
        <f t="shared" si="2"/>
        <v/>
      </c>
      <c r="H531" s="41"/>
      <c r="I531" s="42"/>
      <c r="J531" s="42"/>
      <c r="K531" s="42"/>
      <c r="L531" s="42"/>
      <c r="M531" s="42"/>
      <c r="N531" s="42"/>
      <c r="O531" s="42"/>
      <c r="P531" s="42"/>
      <c r="Q531" s="42"/>
      <c r="R531" s="42"/>
      <c r="S531" s="42"/>
      <c r="T531" s="42"/>
      <c r="U531" s="42"/>
      <c r="V531" s="42"/>
      <c r="W531" s="42"/>
      <c r="X531" s="42"/>
      <c r="Y531" s="42"/>
      <c r="Z531" s="42"/>
      <c r="AA531" s="42"/>
    </row>
    <row r="532">
      <c r="A532" s="36" t="str">
        <f>IF($B532="","",VLOOKUP($B532,DADOS!$C$2:$I1014,2,0))</f>
        <v/>
      </c>
      <c r="B532" s="37"/>
      <c r="C532" s="36"/>
      <c r="D532" s="38" t="str">
        <f>IF($B532="","",SUM(VLOOKUP($B532,DADOS!$C$2:$I1014,4,0)*$C532))</f>
        <v/>
      </c>
      <c r="E532" s="38" t="str">
        <f>IF($B532="","",SUM(VLOOKUP($B532,DADOS!$C$2:$I1014,6,0)*$C532))</f>
        <v/>
      </c>
      <c r="F532" s="39" t="str">
        <f>IF($E532="","",(VLOOKUP($B532,DADOS!$C$2:$I1014,7,0)))</f>
        <v/>
      </c>
      <c r="G532" s="40" t="str">
        <f t="shared" si="2"/>
        <v/>
      </c>
      <c r="H532" s="41"/>
      <c r="I532" s="42"/>
      <c r="J532" s="42"/>
      <c r="K532" s="42"/>
      <c r="L532" s="42"/>
      <c r="M532" s="42"/>
      <c r="N532" s="42"/>
      <c r="O532" s="42"/>
      <c r="P532" s="42"/>
      <c r="Q532" s="42"/>
      <c r="R532" s="42"/>
      <c r="S532" s="42"/>
      <c r="T532" s="42"/>
      <c r="U532" s="42"/>
      <c r="V532" s="42"/>
      <c r="W532" s="42"/>
      <c r="X532" s="42"/>
      <c r="Y532" s="42"/>
      <c r="Z532" s="42"/>
      <c r="AA532" s="42"/>
    </row>
    <row r="533">
      <c r="A533" s="36" t="str">
        <f>IF($B533="","",VLOOKUP($B533,DADOS!$C$2:$I1014,2,0))</f>
        <v/>
      </c>
      <c r="B533" s="37"/>
      <c r="C533" s="36"/>
      <c r="D533" s="38" t="str">
        <f>IF($B533="","",SUM(VLOOKUP($B533,DADOS!$C$2:$I1014,4,0)*$C533))</f>
        <v/>
      </c>
      <c r="E533" s="38" t="str">
        <f>IF($B533="","",SUM(VLOOKUP($B533,DADOS!$C$2:$I1014,6,0)*$C533))</f>
        <v/>
      </c>
      <c r="F533" s="39" t="str">
        <f>IF($E533="","",(VLOOKUP($B533,DADOS!$C$2:$I1014,7,0)))</f>
        <v/>
      </c>
      <c r="G533" s="40" t="str">
        <f t="shared" si="2"/>
        <v/>
      </c>
      <c r="H533" s="41"/>
      <c r="I533" s="42"/>
      <c r="J533" s="42"/>
      <c r="K533" s="42"/>
      <c r="L533" s="42"/>
      <c r="M533" s="42"/>
      <c r="N533" s="42"/>
      <c r="O533" s="42"/>
      <c r="P533" s="42"/>
      <c r="Q533" s="42"/>
      <c r="R533" s="42"/>
      <c r="S533" s="42"/>
      <c r="T533" s="42"/>
      <c r="U533" s="42"/>
      <c r="V533" s="42"/>
      <c r="W533" s="42"/>
      <c r="X533" s="42"/>
      <c r="Y533" s="42"/>
      <c r="Z533" s="42"/>
      <c r="AA533" s="42"/>
    </row>
    <row r="534">
      <c r="A534" s="36" t="str">
        <f>IF($B534="","",VLOOKUP($B534,DADOS!$C$2:$I1014,2,0))</f>
        <v/>
      </c>
      <c r="B534" s="37"/>
      <c r="C534" s="36"/>
      <c r="D534" s="38" t="str">
        <f>IF($B534="","",SUM(VLOOKUP($B534,DADOS!$C$2:$I1014,4,0)*$C534))</f>
        <v/>
      </c>
      <c r="E534" s="38" t="str">
        <f>IF($B534="","",SUM(VLOOKUP($B534,DADOS!$C$2:$I1014,6,0)*$C534))</f>
        <v/>
      </c>
      <c r="F534" s="39" t="str">
        <f>IF($E534="","",(VLOOKUP($B534,DADOS!$C$2:$I1014,7,0)))</f>
        <v/>
      </c>
      <c r="G534" s="40" t="str">
        <f t="shared" si="2"/>
        <v/>
      </c>
      <c r="H534" s="41"/>
      <c r="I534" s="42"/>
      <c r="J534" s="42"/>
      <c r="K534" s="42"/>
      <c r="L534" s="42"/>
      <c r="M534" s="42"/>
      <c r="N534" s="42"/>
      <c r="O534" s="42"/>
      <c r="P534" s="42"/>
      <c r="Q534" s="42"/>
      <c r="R534" s="42"/>
      <c r="S534" s="42"/>
      <c r="T534" s="42"/>
      <c r="U534" s="42"/>
      <c r="V534" s="42"/>
      <c r="W534" s="42"/>
      <c r="X534" s="42"/>
      <c r="Y534" s="42"/>
      <c r="Z534" s="42"/>
      <c r="AA534" s="42"/>
    </row>
    <row r="535">
      <c r="A535" s="36" t="str">
        <f>IF($B535="","",VLOOKUP($B535,DADOS!$C$2:$I1014,2,0))</f>
        <v/>
      </c>
      <c r="B535" s="37"/>
      <c r="C535" s="36"/>
      <c r="D535" s="38" t="str">
        <f>IF($B535="","",SUM(VLOOKUP($B535,DADOS!$C$2:$I1014,4,0)*$C535))</f>
        <v/>
      </c>
      <c r="E535" s="38" t="str">
        <f>IF($B535="","",SUM(VLOOKUP($B535,DADOS!$C$2:$I1014,6,0)*$C535))</f>
        <v/>
      </c>
      <c r="F535" s="39" t="str">
        <f>IF($E535="","",(VLOOKUP($B535,DADOS!$C$2:$I1014,7,0)))</f>
        <v/>
      </c>
      <c r="G535" s="40" t="str">
        <f t="shared" si="2"/>
        <v/>
      </c>
      <c r="H535" s="41"/>
      <c r="I535" s="42"/>
      <c r="J535" s="42"/>
      <c r="K535" s="42"/>
      <c r="L535" s="42"/>
      <c r="M535" s="42"/>
      <c r="N535" s="42"/>
      <c r="O535" s="42"/>
      <c r="P535" s="42"/>
      <c r="Q535" s="42"/>
      <c r="R535" s="42"/>
      <c r="S535" s="42"/>
      <c r="T535" s="42"/>
      <c r="U535" s="42"/>
      <c r="V535" s="42"/>
      <c r="W535" s="42"/>
      <c r="X535" s="42"/>
      <c r="Y535" s="42"/>
      <c r="Z535" s="42"/>
      <c r="AA535" s="42"/>
    </row>
    <row r="536">
      <c r="A536" s="36" t="str">
        <f>IF($B536="","",VLOOKUP($B536,DADOS!$C$2:$I1014,2,0))</f>
        <v/>
      </c>
      <c r="B536" s="37"/>
      <c r="C536" s="36"/>
      <c r="D536" s="38" t="str">
        <f>IF($B536="","",SUM(VLOOKUP($B536,DADOS!$C$2:$I1014,4,0)*$C536))</f>
        <v/>
      </c>
      <c r="E536" s="38" t="str">
        <f>IF($B536="","",SUM(VLOOKUP($B536,DADOS!$C$2:$I1014,6,0)*$C536))</f>
        <v/>
      </c>
      <c r="F536" s="39" t="str">
        <f>IF($E536="","",(VLOOKUP($B536,DADOS!$C$2:$I1014,7,0)))</f>
        <v/>
      </c>
      <c r="G536" s="40" t="str">
        <f t="shared" si="2"/>
        <v/>
      </c>
      <c r="H536" s="41"/>
      <c r="I536" s="42"/>
      <c r="J536" s="42"/>
      <c r="K536" s="42"/>
      <c r="L536" s="42"/>
      <c r="M536" s="42"/>
      <c r="N536" s="42"/>
      <c r="O536" s="42"/>
      <c r="P536" s="42"/>
      <c r="Q536" s="42"/>
      <c r="R536" s="42"/>
      <c r="S536" s="42"/>
      <c r="T536" s="42"/>
      <c r="U536" s="42"/>
      <c r="V536" s="42"/>
      <c r="W536" s="42"/>
      <c r="X536" s="42"/>
      <c r="Y536" s="42"/>
      <c r="Z536" s="42"/>
      <c r="AA536" s="42"/>
    </row>
    <row r="537">
      <c r="A537" s="36" t="str">
        <f>IF($B537="","",VLOOKUP($B537,DADOS!$C$2:$I1014,2,0))</f>
        <v/>
      </c>
      <c r="B537" s="37"/>
      <c r="C537" s="36"/>
      <c r="D537" s="38" t="str">
        <f>IF($B537="","",SUM(VLOOKUP($B537,DADOS!$C$2:$I1014,4,0)*$C537))</f>
        <v/>
      </c>
      <c r="E537" s="38" t="str">
        <f>IF($B537="","",SUM(VLOOKUP($B537,DADOS!$C$2:$I1014,6,0)*$C537))</f>
        <v/>
      </c>
      <c r="F537" s="39" t="str">
        <f>IF($E537="","",(VLOOKUP($B537,DADOS!$C$2:$I1014,7,0)))</f>
        <v/>
      </c>
      <c r="G537" s="40" t="str">
        <f t="shared" si="2"/>
        <v/>
      </c>
      <c r="H537" s="41"/>
      <c r="I537" s="42"/>
      <c r="J537" s="42"/>
      <c r="K537" s="42"/>
      <c r="L537" s="42"/>
      <c r="M537" s="42"/>
      <c r="N537" s="42"/>
      <c r="O537" s="42"/>
      <c r="P537" s="42"/>
      <c r="Q537" s="42"/>
      <c r="R537" s="42"/>
      <c r="S537" s="42"/>
      <c r="T537" s="42"/>
      <c r="U537" s="42"/>
      <c r="V537" s="42"/>
      <c r="W537" s="42"/>
      <c r="X537" s="42"/>
      <c r="Y537" s="42"/>
      <c r="Z537" s="42"/>
      <c r="AA537" s="42"/>
    </row>
    <row r="538">
      <c r="A538" s="36" t="str">
        <f>IF($B538="","",VLOOKUP($B538,DADOS!$C$2:$I1014,2,0))</f>
        <v/>
      </c>
      <c r="B538" s="37"/>
      <c r="C538" s="36"/>
      <c r="D538" s="38" t="str">
        <f>IF($B538="","",SUM(VLOOKUP($B538,DADOS!$C$2:$I1014,4,0)*$C538))</f>
        <v/>
      </c>
      <c r="E538" s="38" t="str">
        <f>IF($B538="","",SUM(VLOOKUP($B538,DADOS!$C$2:$I1014,6,0)*$C538))</f>
        <v/>
      </c>
      <c r="F538" s="39" t="str">
        <f>IF($E538="","",(VLOOKUP($B538,DADOS!$C$2:$I1014,7,0)))</f>
        <v/>
      </c>
      <c r="G538" s="40" t="str">
        <f t="shared" si="2"/>
        <v/>
      </c>
      <c r="H538" s="41"/>
      <c r="I538" s="42"/>
      <c r="J538" s="42"/>
      <c r="K538" s="42"/>
      <c r="L538" s="42"/>
      <c r="M538" s="42"/>
      <c r="N538" s="42"/>
      <c r="O538" s="42"/>
      <c r="P538" s="42"/>
      <c r="Q538" s="42"/>
      <c r="R538" s="42"/>
      <c r="S538" s="42"/>
      <c r="T538" s="42"/>
      <c r="U538" s="42"/>
      <c r="V538" s="42"/>
      <c r="W538" s="42"/>
      <c r="X538" s="42"/>
      <c r="Y538" s="42"/>
      <c r="Z538" s="42"/>
      <c r="AA538" s="42"/>
    </row>
    <row r="539">
      <c r="A539" s="36" t="str">
        <f>IF($B539="","",VLOOKUP($B539,DADOS!$C$2:$I1014,2,0))</f>
        <v/>
      </c>
      <c r="B539" s="37"/>
      <c r="C539" s="36"/>
      <c r="D539" s="38" t="str">
        <f>IF($B539="","",SUM(VLOOKUP($B539,DADOS!$C$2:$I1014,4,0)*$C539))</f>
        <v/>
      </c>
      <c r="E539" s="38" t="str">
        <f>IF($B539="","",SUM(VLOOKUP($B539,DADOS!$C$2:$I1014,6,0)*$C539))</f>
        <v/>
      </c>
      <c r="F539" s="39" t="str">
        <f>IF($E539="","",(VLOOKUP($B539,DADOS!$C$2:$I1014,7,0)))</f>
        <v/>
      </c>
      <c r="G539" s="40" t="str">
        <f t="shared" si="2"/>
        <v/>
      </c>
      <c r="H539" s="41"/>
      <c r="I539" s="42"/>
      <c r="J539" s="42"/>
      <c r="K539" s="42"/>
      <c r="L539" s="42"/>
      <c r="M539" s="42"/>
      <c r="N539" s="42"/>
      <c r="O539" s="42"/>
      <c r="P539" s="42"/>
      <c r="Q539" s="42"/>
      <c r="R539" s="42"/>
      <c r="S539" s="42"/>
      <c r="T539" s="42"/>
      <c r="U539" s="42"/>
      <c r="V539" s="42"/>
      <c r="W539" s="42"/>
      <c r="X539" s="42"/>
      <c r="Y539" s="42"/>
      <c r="Z539" s="42"/>
      <c r="AA539" s="42"/>
    </row>
    <row r="540">
      <c r="A540" s="36" t="str">
        <f>IF($B540="","",VLOOKUP($B540,DADOS!$C$2:$I1014,2,0))</f>
        <v/>
      </c>
      <c r="B540" s="37"/>
      <c r="C540" s="36"/>
      <c r="D540" s="38" t="str">
        <f>IF($B540="","",SUM(VLOOKUP($B540,DADOS!$C$2:$I1014,4,0)*$C540))</f>
        <v/>
      </c>
      <c r="E540" s="38" t="str">
        <f>IF($B540="","",SUM(VLOOKUP($B540,DADOS!$C$2:$I1014,6,0)*$C540))</f>
        <v/>
      </c>
      <c r="F540" s="39" t="str">
        <f>IF($E540="","",(VLOOKUP($B540,DADOS!$C$2:$I1014,7,0)))</f>
        <v/>
      </c>
      <c r="G540" s="40" t="str">
        <f t="shared" si="2"/>
        <v/>
      </c>
      <c r="H540" s="41"/>
      <c r="I540" s="42"/>
      <c r="J540" s="42"/>
      <c r="K540" s="42"/>
      <c r="L540" s="42"/>
      <c r="M540" s="42"/>
      <c r="N540" s="42"/>
      <c r="O540" s="42"/>
      <c r="P540" s="42"/>
      <c r="Q540" s="42"/>
      <c r="R540" s="42"/>
      <c r="S540" s="42"/>
      <c r="T540" s="42"/>
      <c r="U540" s="42"/>
      <c r="V540" s="42"/>
      <c r="W540" s="42"/>
      <c r="X540" s="42"/>
      <c r="Y540" s="42"/>
      <c r="Z540" s="42"/>
      <c r="AA540" s="42"/>
    </row>
    <row r="541">
      <c r="A541" s="36" t="str">
        <f>IF($B541="","",VLOOKUP($B541,DADOS!$C$2:$I1014,2,0))</f>
        <v/>
      </c>
      <c r="B541" s="37"/>
      <c r="C541" s="36"/>
      <c r="D541" s="38" t="str">
        <f>IF($B541="","",SUM(VLOOKUP($B541,DADOS!$C$2:$I1014,4,0)*$C541))</f>
        <v/>
      </c>
      <c r="E541" s="38" t="str">
        <f>IF($B541="","",SUM(VLOOKUP($B541,DADOS!$C$2:$I1014,6,0)*$C541))</f>
        <v/>
      </c>
      <c r="F541" s="39" t="str">
        <f>IF($E541="","",(VLOOKUP($B541,DADOS!$C$2:$I1014,7,0)))</f>
        <v/>
      </c>
      <c r="G541" s="40" t="str">
        <f t="shared" si="2"/>
        <v/>
      </c>
      <c r="H541" s="41"/>
      <c r="I541" s="42"/>
      <c r="J541" s="42"/>
      <c r="K541" s="42"/>
      <c r="L541" s="42"/>
      <c r="M541" s="42"/>
      <c r="N541" s="42"/>
      <c r="O541" s="42"/>
      <c r="P541" s="42"/>
      <c r="Q541" s="42"/>
      <c r="R541" s="42"/>
      <c r="S541" s="42"/>
      <c r="T541" s="42"/>
      <c r="U541" s="42"/>
      <c r="V541" s="42"/>
      <c r="W541" s="42"/>
      <c r="X541" s="42"/>
      <c r="Y541" s="42"/>
      <c r="Z541" s="42"/>
      <c r="AA541" s="42"/>
    </row>
    <row r="542">
      <c r="A542" s="36" t="str">
        <f>IF($B542="","",VLOOKUP($B542,DADOS!$C$2:$I1014,2,0))</f>
        <v/>
      </c>
      <c r="B542" s="37"/>
      <c r="C542" s="36"/>
      <c r="D542" s="38" t="str">
        <f>IF($B542="","",SUM(VLOOKUP($B542,DADOS!$C$2:$I1014,4,0)*$C542))</f>
        <v/>
      </c>
      <c r="E542" s="38" t="str">
        <f>IF($B542="","",SUM(VLOOKUP($B542,DADOS!$C$2:$I1014,6,0)*$C542))</f>
        <v/>
      </c>
      <c r="F542" s="39" t="str">
        <f>IF($E542="","",(VLOOKUP($B542,DADOS!$C$2:$I1014,7,0)))</f>
        <v/>
      </c>
      <c r="G542" s="40" t="str">
        <f t="shared" si="2"/>
        <v/>
      </c>
      <c r="H542" s="41"/>
      <c r="I542" s="42"/>
      <c r="J542" s="42"/>
      <c r="K542" s="42"/>
      <c r="L542" s="42"/>
      <c r="M542" s="42"/>
      <c r="N542" s="42"/>
      <c r="O542" s="42"/>
      <c r="P542" s="42"/>
      <c r="Q542" s="42"/>
      <c r="R542" s="42"/>
      <c r="S542" s="42"/>
      <c r="T542" s="42"/>
      <c r="U542" s="42"/>
      <c r="V542" s="42"/>
      <c r="W542" s="42"/>
      <c r="X542" s="42"/>
      <c r="Y542" s="42"/>
      <c r="Z542" s="42"/>
      <c r="AA542" s="42"/>
    </row>
    <row r="543">
      <c r="A543" s="36" t="str">
        <f>IF($B543="","",VLOOKUP($B543,DADOS!$C$2:$I1014,2,0))</f>
        <v/>
      </c>
      <c r="B543" s="37"/>
      <c r="C543" s="36"/>
      <c r="D543" s="38" t="str">
        <f>IF($B543="","",SUM(VLOOKUP($B543,DADOS!$C$2:$I1014,4,0)*$C543))</f>
        <v/>
      </c>
      <c r="E543" s="38" t="str">
        <f>IF($B543="","",SUM(VLOOKUP($B543,DADOS!$C$2:$I1014,6,0)*$C543))</f>
        <v/>
      </c>
      <c r="F543" s="39" t="str">
        <f>IF($E543="","",(VLOOKUP($B543,DADOS!$C$2:$I1014,7,0)))</f>
        <v/>
      </c>
      <c r="G543" s="40" t="str">
        <f t="shared" si="2"/>
        <v/>
      </c>
      <c r="H543" s="41"/>
      <c r="I543" s="42"/>
      <c r="J543" s="42"/>
      <c r="K543" s="42"/>
      <c r="L543" s="42"/>
      <c r="M543" s="42"/>
      <c r="N543" s="42"/>
      <c r="O543" s="42"/>
      <c r="P543" s="42"/>
      <c r="Q543" s="42"/>
      <c r="R543" s="42"/>
      <c r="S543" s="42"/>
      <c r="T543" s="42"/>
      <c r="U543" s="42"/>
      <c r="V543" s="42"/>
      <c r="W543" s="42"/>
      <c r="X543" s="42"/>
      <c r="Y543" s="42"/>
      <c r="Z543" s="42"/>
      <c r="AA543" s="42"/>
    </row>
    <row r="544">
      <c r="A544" s="36" t="str">
        <f>IF($B544="","",VLOOKUP($B544,DADOS!$C$2:$I1014,2,0))</f>
        <v/>
      </c>
      <c r="B544" s="37"/>
      <c r="C544" s="36"/>
      <c r="D544" s="38" t="str">
        <f>IF($B544="","",SUM(VLOOKUP($B544,DADOS!$C$2:$I1014,4,0)*$C544))</f>
        <v/>
      </c>
      <c r="E544" s="38" t="str">
        <f>IF($B544="","",SUM(VLOOKUP($B544,DADOS!$C$2:$I1014,6,0)*$C544))</f>
        <v/>
      </c>
      <c r="F544" s="39" t="str">
        <f>IF($E544="","",(VLOOKUP($B544,DADOS!$C$2:$I1014,7,0)))</f>
        <v/>
      </c>
      <c r="G544" s="40" t="str">
        <f t="shared" si="2"/>
        <v/>
      </c>
      <c r="H544" s="41"/>
      <c r="I544" s="42"/>
      <c r="J544" s="42"/>
      <c r="K544" s="42"/>
      <c r="L544" s="42"/>
      <c r="M544" s="42"/>
      <c r="N544" s="42"/>
      <c r="O544" s="42"/>
      <c r="P544" s="42"/>
      <c r="Q544" s="42"/>
      <c r="R544" s="42"/>
      <c r="S544" s="42"/>
      <c r="T544" s="42"/>
      <c r="U544" s="42"/>
      <c r="V544" s="42"/>
      <c r="W544" s="42"/>
      <c r="X544" s="42"/>
      <c r="Y544" s="42"/>
      <c r="Z544" s="42"/>
      <c r="AA544" s="42"/>
    </row>
    <row r="545">
      <c r="A545" s="36" t="str">
        <f>IF($B545="","",VLOOKUP($B545,DADOS!$C$2:$I1014,2,0))</f>
        <v/>
      </c>
      <c r="B545" s="37"/>
      <c r="C545" s="36"/>
      <c r="D545" s="38" t="str">
        <f>IF($B545="","",SUM(VLOOKUP($B545,DADOS!$C$2:$I1014,4,0)*$C545))</f>
        <v/>
      </c>
      <c r="E545" s="38" t="str">
        <f>IF($B545="","",SUM(VLOOKUP($B545,DADOS!$C$2:$I1014,6,0)*$C545))</f>
        <v/>
      </c>
      <c r="F545" s="39" t="str">
        <f>IF($E545="","",(VLOOKUP($B545,DADOS!$C$2:$I1014,7,0)))</f>
        <v/>
      </c>
      <c r="G545" s="40" t="str">
        <f t="shared" si="2"/>
        <v/>
      </c>
      <c r="H545" s="41"/>
      <c r="I545" s="42"/>
      <c r="J545" s="42"/>
      <c r="K545" s="42"/>
      <c r="L545" s="42"/>
      <c r="M545" s="42"/>
      <c r="N545" s="42"/>
      <c r="O545" s="42"/>
      <c r="P545" s="42"/>
      <c r="Q545" s="42"/>
      <c r="R545" s="42"/>
      <c r="S545" s="42"/>
      <c r="T545" s="42"/>
      <c r="U545" s="42"/>
      <c r="V545" s="42"/>
      <c r="W545" s="42"/>
      <c r="X545" s="42"/>
      <c r="Y545" s="42"/>
      <c r="Z545" s="42"/>
      <c r="AA545" s="42"/>
    </row>
    <row r="546">
      <c r="A546" s="36" t="str">
        <f>IF($B546="","",VLOOKUP($B546,DADOS!$C$2:$I1014,2,0))</f>
        <v/>
      </c>
      <c r="B546" s="37"/>
      <c r="C546" s="36"/>
      <c r="D546" s="38" t="str">
        <f>IF($B546="","",SUM(VLOOKUP($B546,DADOS!$C$2:$I1014,4,0)*$C546))</f>
        <v/>
      </c>
      <c r="E546" s="38" t="str">
        <f>IF($B546="","",SUM(VLOOKUP($B546,DADOS!$C$2:$I1014,6,0)*$C546))</f>
        <v/>
      </c>
      <c r="F546" s="39" t="str">
        <f>IF($E546="","",(VLOOKUP($B546,DADOS!$C$2:$I1014,7,0)))</f>
        <v/>
      </c>
      <c r="G546" s="40" t="str">
        <f t="shared" si="2"/>
        <v/>
      </c>
      <c r="H546" s="41"/>
      <c r="I546" s="42"/>
      <c r="J546" s="42"/>
      <c r="K546" s="42"/>
      <c r="L546" s="42"/>
      <c r="M546" s="42"/>
      <c r="N546" s="42"/>
      <c r="O546" s="42"/>
      <c r="P546" s="42"/>
      <c r="Q546" s="42"/>
      <c r="R546" s="42"/>
      <c r="S546" s="42"/>
      <c r="T546" s="42"/>
      <c r="U546" s="42"/>
      <c r="V546" s="42"/>
      <c r="W546" s="42"/>
      <c r="X546" s="42"/>
      <c r="Y546" s="42"/>
      <c r="Z546" s="42"/>
      <c r="AA546" s="42"/>
    </row>
    <row r="547">
      <c r="A547" s="36" t="str">
        <f>IF($B547="","",VLOOKUP($B547,DADOS!$C$2:$I1014,2,0))</f>
        <v/>
      </c>
      <c r="B547" s="37"/>
      <c r="C547" s="36"/>
      <c r="D547" s="38" t="str">
        <f>IF($B547="","",SUM(VLOOKUP($B547,DADOS!$C$2:$I1014,4,0)*$C547))</f>
        <v/>
      </c>
      <c r="E547" s="38" t="str">
        <f>IF($B547="","",SUM(VLOOKUP($B547,DADOS!$C$2:$I1014,6,0)*$C547))</f>
        <v/>
      </c>
      <c r="F547" s="39" t="str">
        <f>IF($E547="","",(VLOOKUP($B547,DADOS!$C$2:$I1014,7,0)))</f>
        <v/>
      </c>
      <c r="G547" s="40" t="str">
        <f t="shared" si="2"/>
        <v/>
      </c>
      <c r="H547" s="41"/>
      <c r="I547" s="42"/>
      <c r="J547" s="42"/>
      <c r="K547" s="42"/>
      <c r="L547" s="42"/>
      <c r="M547" s="42"/>
      <c r="N547" s="42"/>
      <c r="O547" s="42"/>
      <c r="P547" s="42"/>
      <c r="Q547" s="42"/>
      <c r="R547" s="42"/>
      <c r="S547" s="42"/>
      <c r="T547" s="42"/>
      <c r="U547" s="42"/>
      <c r="V547" s="42"/>
      <c r="W547" s="42"/>
      <c r="X547" s="42"/>
      <c r="Y547" s="42"/>
      <c r="Z547" s="42"/>
      <c r="AA547" s="42"/>
    </row>
    <row r="548">
      <c r="A548" s="36" t="str">
        <f>IF($B548="","",VLOOKUP($B548,DADOS!$C$2:$I1014,2,0))</f>
        <v/>
      </c>
      <c r="B548" s="37"/>
      <c r="C548" s="36"/>
      <c r="D548" s="38" t="str">
        <f>IF($B548="","",SUM(VLOOKUP($B548,DADOS!$C$2:$I1014,4,0)*$C548))</f>
        <v/>
      </c>
      <c r="E548" s="38" t="str">
        <f>IF($B548="","",SUM(VLOOKUP($B548,DADOS!$C$2:$I1014,6,0)*$C548))</f>
        <v/>
      </c>
      <c r="F548" s="39" t="str">
        <f>IF($E548="","",(VLOOKUP($B548,DADOS!$C$2:$I1014,7,0)))</f>
        <v/>
      </c>
      <c r="G548" s="40" t="str">
        <f t="shared" si="2"/>
        <v/>
      </c>
      <c r="H548" s="41"/>
      <c r="I548" s="42"/>
      <c r="J548" s="42"/>
      <c r="K548" s="42"/>
      <c r="L548" s="42"/>
      <c r="M548" s="42"/>
      <c r="N548" s="42"/>
      <c r="O548" s="42"/>
      <c r="P548" s="42"/>
      <c r="Q548" s="42"/>
      <c r="R548" s="42"/>
      <c r="S548" s="42"/>
      <c r="T548" s="42"/>
      <c r="U548" s="42"/>
      <c r="V548" s="42"/>
      <c r="W548" s="42"/>
      <c r="X548" s="42"/>
      <c r="Y548" s="42"/>
      <c r="Z548" s="42"/>
      <c r="AA548" s="42"/>
    </row>
    <row r="549">
      <c r="A549" s="36" t="str">
        <f>IF($B549="","",VLOOKUP($B549,DADOS!$C$2:$I1014,2,0))</f>
        <v/>
      </c>
      <c r="B549" s="37"/>
      <c r="C549" s="36"/>
      <c r="D549" s="38" t="str">
        <f>IF($B549="","",SUM(VLOOKUP($B549,DADOS!$C$2:$I1014,4,0)*$C549))</f>
        <v/>
      </c>
      <c r="E549" s="38" t="str">
        <f>IF($B549="","",SUM(VLOOKUP($B549,DADOS!$C$2:$I1014,6,0)*$C549))</f>
        <v/>
      </c>
      <c r="F549" s="39" t="str">
        <f>IF($E549="","",(VLOOKUP($B549,DADOS!$C$2:$I1014,7,0)))</f>
        <v/>
      </c>
      <c r="G549" s="40" t="str">
        <f t="shared" si="2"/>
        <v/>
      </c>
      <c r="H549" s="41"/>
      <c r="I549" s="42"/>
      <c r="J549" s="42"/>
      <c r="K549" s="42"/>
      <c r="L549" s="42"/>
      <c r="M549" s="42"/>
      <c r="N549" s="42"/>
      <c r="O549" s="42"/>
      <c r="P549" s="42"/>
      <c r="Q549" s="42"/>
      <c r="R549" s="42"/>
      <c r="S549" s="42"/>
      <c r="T549" s="42"/>
      <c r="U549" s="42"/>
      <c r="V549" s="42"/>
      <c r="W549" s="42"/>
      <c r="X549" s="42"/>
      <c r="Y549" s="42"/>
      <c r="Z549" s="42"/>
      <c r="AA549" s="42"/>
    </row>
    <row r="550">
      <c r="A550" s="36" t="str">
        <f>IF($B550="","",VLOOKUP($B550,DADOS!$C$2:$I1014,2,0))</f>
        <v/>
      </c>
      <c r="B550" s="37"/>
      <c r="C550" s="36"/>
      <c r="D550" s="38" t="str">
        <f>IF($B550="","",SUM(VLOOKUP($B550,DADOS!$C$2:$I1014,4,0)*$C550))</f>
        <v/>
      </c>
      <c r="E550" s="38" t="str">
        <f>IF($B550="","",SUM(VLOOKUP($B550,DADOS!$C$2:$I1014,6,0)*$C550))</f>
        <v/>
      </c>
      <c r="F550" s="39" t="str">
        <f>IF($E550="","",(VLOOKUP($B550,DADOS!$C$2:$I1014,7,0)))</f>
        <v/>
      </c>
      <c r="G550" s="40" t="str">
        <f t="shared" si="2"/>
        <v/>
      </c>
      <c r="H550" s="41"/>
      <c r="I550" s="42"/>
      <c r="J550" s="42"/>
      <c r="K550" s="42"/>
      <c r="L550" s="42"/>
      <c r="M550" s="42"/>
      <c r="N550" s="42"/>
      <c r="O550" s="42"/>
      <c r="P550" s="42"/>
      <c r="Q550" s="42"/>
      <c r="R550" s="42"/>
      <c r="S550" s="42"/>
      <c r="T550" s="42"/>
      <c r="U550" s="42"/>
      <c r="V550" s="42"/>
      <c r="W550" s="42"/>
      <c r="X550" s="42"/>
      <c r="Y550" s="42"/>
      <c r="Z550" s="42"/>
      <c r="AA550" s="42"/>
    </row>
    <row r="551">
      <c r="A551" s="36" t="str">
        <f>IF($B551="","",VLOOKUP($B551,DADOS!$C$2:$I1014,2,0))</f>
        <v/>
      </c>
      <c r="B551" s="37"/>
      <c r="C551" s="36"/>
      <c r="D551" s="38" t="str">
        <f>IF($B551="","",SUM(VLOOKUP($B551,DADOS!$C$2:$I1014,4,0)*$C551))</f>
        <v/>
      </c>
      <c r="E551" s="38" t="str">
        <f>IF($B551="","",SUM(VLOOKUP($B551,DADOS!$C$2:$I1014,6,0)*$C551))</f>
        <v/>
      </c>
      <c r="F551" s="39" t="str">
        <f>IF($E551="","",(VLOOKUP($B551,DADOS!$C$2:$I1014,7,0)))</f>
        <v/>
      </c>
      <c r="G551" s="40" t="str">
        <f t="shared" si="2"/>
        <v/>
      </c>
      <c r="H551" s="41"/>
      <c r="I551" s="42"/>
      <c r="J551" s="42"/>
      <c r="K551" s="42"/>
      <c r="L551" s="42"/>
      <c r="M551" s="42"/>
      <c r="N551" s="42"/>
      <c r="O551" s="42"/>
      <c r="P551" s="42"/>
      <c r="Q551" s="42"/>
      <c r="R551" s="42"/>
      <c r="S551" s="42"/>
      <c r="T551" s="42"/>
      <c r="U551" s="42"/>
      <c r="V551" s="42"/>
      <c r="W551" s="42"/>
      <c r="X551" s="42"/>
      <c r="Y551" s="42"/>
      <c r="Z551" s="42"/>
      <c r="AA551" s="42"/>
    </row>
    <row r="552">
      <c r="A552" s="36" t="str">
        <f>IF($B552="","",VLOOKUP($B552,DADOS!$C$2:$I1014,2,0))</f>
        <v/>
      </c>
      <c r="B552" s="37"/>
      <c r="C552" s="36"/>
      <c r="D552" s="38" t="str">
        <f>IF($B552="","",SUM(VLOOKUP($B552,DADOS!$C$2:$I1014,4,0)*$C552))</f>
        <v/>
      </c>
      <c r="E552" s="38" t="str">
        <f>IF($B552="","",SUM(VLOOKUP($B552,DADOS!$C$2:$I1014,6,0)*$C552))</f>
        <v/>
      </c>
      <c r="F552" s="39" t="str">
        <f>IF($E552="","",(VLOOKUP($B552,DADOS!$C$2:$I1014,7,0)))</f>
        <v/>
      </c>
      <c r="G552" s="40" t="str">
        <f t="shared" si="2"/>
        <v/>
      </c>
      <c r="H552" s="41"/>
      <c r="I552" s="42"/>
      <c r="J552" s="42"/>
      <c r="K552" s="42"/>
      <c r="L552" s="42"/>
      <c r="M552" s="42"/>
      <c r="N552" s="42"/>
      <c r="O552" s="42"/>
      <c r="P552" s="42"/>
      <c r="Q552" s="42"/>
      <c r="R552" s="42"/>
      <c r="S552" s="42"/>
      <c r="T552" s="42"/>
      <c r="U552" s="42"/>
      <c r="V552" s="42"/>
      <c r="W552" s="42"/>
      <c r="X552" s="42"/>
      <c r="Y552" s="42"/>
      <c r="Z552" s="42"/>
      <c r="AA552" s="42"/>
    </row>
    <row r="553">
      <c r="A553" s="36" t="str">
        <f>IF($B553="","",VLOOKUP($B553,DADOS!$C$2:$I1014,2,0))</f>
        <v/>
      </c>
      <c r="B553" s="37"/>
      <c r="C553" s="36"/>
      <c r="D553" s="38" t="str">
        <f>IF($B553="","",SUM(VLOOKUP($B553,DADOS!$C$2:$I1014,4,0)*$C553))</f>
        <v/>
      </c>
      <c r="E553" s="38" t="str">
        <f>IF($B553="","",SUM(VLOOKUP($B553,DADOS!$C$2:$I1014,6,0)*$C553))</f>
        <v/>
      </c>
      <c r="F553" s="39" t="str">
        <f>IF($E553="","",(VLOOKUP($B553,DADOS!$C$2:$I1014,7,0)))</f>
        <v/>
      </c>
      <c r="G553" s="40" t="str">
        <f t="shared" si="2"/>
        <v/>
      </c>
      <c r="H553" s="41"/>
      <c r="I553" s="42"/>
      <c r="J553" s="42"/>
      <c r="K553" s="42"/>
      <c r="L553" s="42"/>
      <c r="M553" s="42"/>
      <c r="N553" s="42"/>
      <c r="O553" s="42"/>
      <c r="P553" s="42"/>
      <c r="Q553" s="42"/>
      <c r="R553" s="42"/>
      <c r="S553" s="42"/>
      <c r="T553" s="42"/>
      <c r="U553" s="42"/>
      <c r="V553" s="42"/>
      <c r="W553" s="42"/>
      <c r="X553" s="42"/>
      <c r="Y553" s="42"/>
      <c r="Z553" s="42"/>
      <c r="AA553" s="42"/>
    </row>
    <row r="554">
      <c r="A554" s="36" t="str">
        <f>IF($B554="","",VLOOKUP($B554,DADOS!$C$2:$I1014,2,0))</f>
        <v/>
      </c>
      <c r="B554" s="37"/>
      <c r="C554" s="36"/>
      <c r="D554" s="38" t="str">
        <f>IF($B554="","",SUM(VLOOKUP($B554,DADOS!$C$2:$I1014,4,0)*$C554))</f>
        <v/>
      </c>
      <c r="E554" s="38" t="str">
        <f>IF($B554="","",SUM(VLOOKUP($B554,DADOS!$C$2:$I1014,6,0)*$C554))</f>
        <v/>
      </c>
      <c r="F554" s="39" t="str">
        <f>IF($E554="","",(VLOOKUP($B554,DADOS!$C$2:$I1014,7,0)))</f>
        <v/>
      </c>
      <c r="G554" s="40" t="str">
        <f t="shared" si="2"/>
        <v/>
      </c>
      <c r="H554" s="41"/>
      <c r="I554" s="42"/>
      <c r="J554" s="42"/>
      <c r="K554" s="42"/>
      <c r="L554" s="42"/>
      <c r="M554" s="42"/>
      <c r="N554" s="42"/>
      <c r="O554" s="42"/>
      <c r="P554" s="42"/>
      <c r="Q554" s="42"/>
      <c r="R554" s="42"/>
      <c r="S554" s="42"/>
      <c r="T554" s="42"/>
      <c r="U554" s="42"/>
      <c r="V554" s="42"/>
      <c r="W554" s="42"/>
      <c r="X554" s="42"/>
      <c r="Y554" s="42"/>
      <c r="Z554" s="42"/>
      <c r="AA554" s="42"/>
    </row>
    <row r="555">
      <c r="A555" s="36" t="str">
        <f>IF($B555="","",VLOOKUP($B555,DADOS!$C$2:$I1014,2,0))</f>
        <v/>
      </c>
      <c r="B555" s="37"/>
      <c r="C555" s="36"/>
      <c r="D555" s="38" t="str">
        <f>IF($B555="","",SUM(VLOOKUP($B555,DADOS!$C$2:$I1014,4,0)*$C555))</f>
        <v/>
      </c>
      <c r="E555" s="38" t="str">
        <f>IF($B555="","",SUM(VLOOKUP($B555,DADOS!$C$2:$I1014,6,0)*$C555))</f>
        <v/>
      </c>
      <c r="F555" s="39" t="str">
        <f>IF($E555="","",(VLOOKUP($B555,DADOS!$C$2:$I1014,7,0)))</f>
        <v/>
      </c>
      <c r="G555" s="40" t="str">
        <f t="shared" si="2"/>
        <v/>
      </c>
      <c r="H555" s="41"/>
      <c r="I555" s="42"/>
      <c r="J555" s="42"/>
      <c r="K555" s="42"/>
      <c r="L555" s="42"/>
      <c r="M555" s="42"/>
      <c r="N555" s="42"/>
      <c r="O555" s="42"/>
      <c r="P555" s="42"/>
      <c r="Q555" s="42"/>
      <c r="R555" s="42"/>
      <c r="S555" s="42"/>
      <c r="T555" s="42"/>
      <c r="U555" s="42"/>
      <c r="V555" s="42"/>
      <c r="W555" s="42"/>
      <c r="X555" s="42"/>
      <c r="Y555" s="42"/>
      <c r="Z555" s="42"/>
      <c r="AA555" s="42"/>
    </row>
    <row r="556">
      <c r="A556" s="36" t="str">
        <f>IF($B556="","",VLOOKUP($B556,DADOS!$C$2:$I1014,2,0))</f>
        <v/>
      </c>
      <c r="B556" s="37"/>
      <c r="C556" s="36"/>
      <c r="D556" s="38" t="str">
        <f>IF($B556="","",SUM(VLOOKUP($B556,DADOS!$C$2:$I1014,4,0)*$C556))</f>
        <v/>
      </c>
      <c r="E556" s="38" t="str">
        <f>IF($B556="","",SUM(VLOOKUP($B556,DADOS!$C$2:$I1014,6,0)*$C556))</f>
        <v/>
      </c>
      <c r="F556" s="39" t="str">
        <f>IF($E556="","",(VLOOKUP($B556,DADOS!$C$2:$I1014,7,0)))</f>
        <v/>
      </c>
      <c r="G556" s="40" t="str">
        <f t="shared" si="2"/>
        <v/>
      </c>
      <c r="H556" s="41"/>
      <c r="I556" s="42"/>
      <c r="J556" s="42"/>
      <c r="K556" s="42"/>
      <c r="L556" s="42"/>
      <c r="M556" s="42"/>
      <c r="N556" s="42"/>
      <c r="O556" s="42"/>
      <c r="P556" s="42"/>
      <c r="Q556" s="42"/>
      <c r="R556" s="42"/>
      <c r="S556" s="42"/>
      <c r="T556" s="42"/>
      <c r="U556" s="42"/>
      <c r="V556" s="42"/>
      <c r="W556" s="42"/>
      <c r="X556" s="42"/>
      <c r="Y556" s="42"/>
      <c r="Z556" s="42"/>
      <c r="AA556" s="42"/>
    </row>
    <row r="557">
      <c r="A557" s="36" t="str">
        <f>IF($B557="","",VLOOKUP($B557,DADOS!$C$2:$I1014,2,0))</f>
        <v/>
      </c>
      <c r="B557" s="37"/>
      <c r="C557" s="36"/>
      <c r="D557" s="38" t="str">
        <f>IF($B557="","",SUM(VLOOKUP($B557,DADOS!$C$2:$I1014,4,0)*$C557))</f>
        <v/>
      </c>
      <c r="E557" s="38" t="str">
        <f>IF($B557="","",SUM(VLOOKUP($B557,DADOS!$C$2:$I1014,6,0)*$C557))</f>
        <v/>
      </c>
      <c r="F557" s="39" t="str">
        <f>IF($E557="","",(VLOOKUP($B557,DADOS!$C$2:$I1014,7,0)))</f>
        <v/>
      </c>
      <c r="G557" s="40" t="str">
        <f t="shared" si="2"/>
        <v/>
      </c>
      <c r="H557" s="41"/>
      <c r="I557" s="42"/>
      <c r="J557" s="42"/>
      <c r="K557" s="42"/>
      <c r="L557" s="42"/>
      <c r="M557" s="42"/>
      <c r="N557" s="42"/>
      <c r="O557" s="42"/>
      <c r="P557" s="42"/>
      <c r="Q557" s="42"/>
      <c r="R557" s="42"/>
      <c r="S557" s="42"/>
      <c r="T557" s="42"/>
      <c r="U557" s="42"/>
      <c r="V557" s="42"/>
      <c r="W557" s="42"/>
      <c r="X557" s="42"/>
      <c r="Y557" s="42"/>
      <c r="Z557" s="42"/>
      <c r="AA557" s="42"/>
    </row>
    <row r="558">
      <c r="A558" s="36" t="str">
        <f>IF($B558="","",VLOOKUP($B558,DADOS!$C$2:$I1014,2,0))</f>
        <v/>
      </c>
      <c r="B558" s="37"/>
      <c r="C558" s="36"/>
      <c r="D558" s="38" t="str">
        <f>IF($B558="","",SUM(VLOOKUP($B558,DADOS!$C$2:$I1014,4,0)*$C558))</f>
        <v/>
      </c>
      <c r="E558" s="38" t="str">
        <f>IF($B558="","",SUM(VLOOKUP($B558,DADOS!$C$2:$I1014,6,0)*$C558))</f>
        <v/>
      </c>
      <c r="F558" s="39" t="str">
        <f>IF($E558="","",(VLOOKUP($B558,DADOS!$C$2:$I1014,7,0)))</f>
        <v/>
      </c>
      <c r="G558" s="40" t="str">
        <f t="shared" si="2"/>
        <v/>
      </c>
      <c r="H558" s="41"/>
      <c r="I558" s="42"/>
      <c r="J558" s="42"/>
      <c r="K558" s="42"/>
      <c r="L558" s="42"/>
      <c r="M558" s="42"/>
      <c r="N558" s="42"/>
      <c r="O558" s="42"/>
      <c r="P558" s="42"/>
      <c r="Q558" s="42"/>
      <c r="R558" s="42"/>
      <c r="S558" s="42"/>
      <c r="T558" s="42"/>
      <c r="U558" s="42"/>
      <c r="V558" s="42"/>
      <c r="W558" s="42"/>
      <c r="X558" s="42"/>
      <c r="Y558" s="42"/>
      <c r="Z558" s="42"/>
      <c r="AA558" s="42"/>
    </row>
    <row r="559">
      <c r="A559" s="36" t="str">
        <f>IF($B559="","",VLOOKUP($B559,DADOS!$C$2:$I1014,2,0))</f>
        <v/>
      </c>
      <c r="B559" s="37"/>
      <c r="C559" s="36"/>
      <c r="D559" s="38" t="str">
        <f>IF($B559="","",SUM(VLOOKUP($B559,DADOS!$C$2:$I1014,4,0)*$C559))</f>
        <v/>
      </c>
      <c r="E559" s="38" t="str">
        <f>IF($B559="","",SUM(VLOOKUP($B559,DADOS!$C$2:$I1014,6,0)*$C559))</f>
        <v/>
      </c>
      <c r="F559" s="39" t="str">
        <f>IF($E559="","",(VLOOKUP($B559,DADOS!$C$2:$I1014,7,0)))</f>
        <v/>
      </c>
      <c r="G559" s="40" t="str">
        <f t="shared" si="2"/>
        <v/>
      </c>
      <c r="H559" s="41"/>
      <c r="I559" s="42"/>
      <c r="J559" s="42"/>
      <c r="K559" s="42"/>
      <c r="L559" s="42"/>
      <c r="M559" s="42"/>
      <c r="N559" s="42"/>
      <c r="O559" s="42"/>
      <c r="P559" s="42"/>
      <c r="Q559" s="42"/>
      <c r="R559" s="42"/>
      <c r="S559" s="42"/>
      <c r="T559" s="42"/>
      <c r="U559" s="42"/>
      <c r="V559" s="42"/>
      <c r="W559" s="42"/>
      <c r="X559" s="42"/>
      <c r="Y559" s="42"/>
      <c r="Z559" s="42"/>
      <c r="AA559" s="42"/>
    </row>
    <row r="560">
      <c r="A560" s="36" t="str">
        <f>IF($B560="","",VLOOKUP($B560,DADOS!$C$2:$I1014,2,0))</f>
        <v/>
      </c>
      <c r="B560" s="37"/>
      <c r="C560" s="36"/>
      <c r="D560" s="38" t="str">
        <f>IF($B560="","",SUM(VLOOKUP($B560,DADOS!$C$2:$I1014,4,0)*$C560))</f>
        <v/>
      </c>
      <c r="E560" s="38" t="str">
        <f>IF($B560="","",SUM(VLOOKUP($B560,DADOS!$C$2:$I1014,6,0)*$C560))</f>
        <v/>
      </c>
      <c r="F560" s="39" t="str">
        <f>IF($E560="","",(VLOOKUP($B560,DADOS!$C$2:$I1014,7,0)))</f>
        <v/>
      </c>
      <c r="G560" s="40" t="str">
        <f t="shared" si="2"/>
        <v/>
      </c>
      <c r="H560" s="41"/>
      <c r="I560" s="42"/>
      <c r="J560" s="42"/>
      <c r="K560" s="42"/>
      <c r="L560" s="42"/>
      <c r="M560" s="42"/>
      <c r="N560" s="42"/>
      <c r="O560" s="42"/>
      <c r="P560" s="42"/>
      <c r="Q560" s="42"/>
      <c r="R560" s="42"/>
      <c r="S560" s="42"/>
      <c r="T560" s="42"/>
      <c r="U560" s="42"/>
      <c r="V560" s="42"/>
      <c r="W560" s="42"/>
      <c r="X560" s="42"/>
      <c r="Y560" s="42"/>
      <c r="Z560" s="42"/>
      <c r="AA560" s="42"/>
    </row>
    <row r="561">
      <c r="A561" s="36" t="str">
        <f>IF($B561="","",VLOOKUP($B561,DADOS!$C$2:$I1014,2,0))</f>
        <v/>
      </c>
      <c r="B561" s="37"/>
      <c r="C561" s="36"/>
      <c r="D561" s="38" t="str">
        <f>IF($B561="","",SUM(VLOOKUP($B561,DADOS!$C$2:$I1014,4,0)*$C561))</f>
        <v/>
      </c>
      <c r="E561" s="38" t="str">
        <f>IF($B561="","",SUM(VLOOKUP($B561,DADOS!$C$2:$I1014,6,0)*$C561))</f>
        <v/>
      </c>
      <c r="F561" s="39" t="str">
        <f>IF($E561="","",(VLOOKUP($B561,DADOS!$C$2:$I1014,7,0)))</f>
        <v/>
      </c>
      <c r="G561" s="40" t="str">
        <f t="shared" si="2"/>
        <v/>
      </c>
      <c r="H561" s="41"/>
      <c r="I561" s="42"/>
      <c r="J561" s="42"/>
      <c r="K561" s="42"/>
      <c r="L561" s="42"/>
      <c r="M561" s="42"/>
      <c r="N561" s="42"/>
      <c r="O561" s="42"/>
      <c r="P561" s="42"/>
      <c r="Q561" s="42"/>
      <c r="R561" s="42"/>
      <c r="S561" s="42"/>
      <c r="T561" s="42"/>
      <c r="U561" s="42"/>
      <c r="V561" s="42"/>
      <c r="W561" s="42"/>
      <c r="X561" s="42"/>
      <c r="Y561" s="42"/>
      <c r="Z561" s="42"/>
      <c r="AA561" s="42"/>
    </row>
    <row r="562">
      <c r="A562" s="36" t="str">
        <f>IF($B562="","",VLOOKUP($B562,DADOS!$C$2:$I1014,2,0))</f>
        <v/>
      </c>
      <c r="B562" s="37"/>
      <c r="C562" s="36"/>
      <c r="D562" s="38" t="str">
        <f>IF($B562="","",SUM(VLOOKUP($B562,DADOS!$C$2:$I1014,4,0)*$C562))</f>
        <v/>
      </c>
      <c r="E562" s="38" t="str">
        <f>IF($B562="","",SUM(VLOOKUP($B562,DADOS!$C$2:$I1014,6,0)*$C562))</f>
        <v/>
      </c>
      <c r="F562" s="39" t="str">
        <f>IF($E562="","",(VLOOKUP($B562,DADOS!$C$2:$I1014,7,0)))</f>
        <v/>
      </c>
      <c r="G562" s="40" t="str">
        <f t="shared" si="2"/>
        <v/>
      </c>
      <c r="H562" s="41"/>
      <c r="I562" s="42"/>
      <c r="J562" s="42"/>
      <c r="K562" s="42"/>
      <c r="L562" s="42"/>
      <c r="M562" s="42"/>
      <c r="N562" s="42"/>
      <c r="O562" s="42"/>
      <c r="P562" s="42"/>
      <c r="Q562" s="42"/>
      <c r="R562" s="42"/>
      <c r="S562" s="42"/>
      <c r="T562" s="42"/>
      <c r="U562" s="42"/>
      <c r="V562" s="42"/>
      <c r="W562" s="42"/>
      <c r="X562" s="42"/>
      <c r="Y562" s="42"/>
      <c r="Z562" s="42"/>
      <c r="AA562" s="42"/>
    </row>
    <row r="563">
      <c r="A563" s="36" t="str">
        <f>IF($B563="","",VLOOKUP($B563,DADOS!$C$2:$I1014,2,0))</f>
        <v/>
      </c>
      <c r="B563" s="37"/>
      <c r="C563" s="36"/>
      <c r="D563" s="38" t="str">
        <f>IF($B563="","",SUM(VLOOKUP($B563,DADOS!$C$2:$I1014,4,0)*$C563))</f>
        <v/>
      </c>
      <c r="E563" s="38" t="str">
        <f>IF($B563="","",SUM(VLOOKUP($B563,DADOS!$C$2:$I1014,6,0)*$C563))</f>
        <v/>
      </c>
      <c r="F563" s="39" t="str">
        <f>IF($E563="","",(VLOOKUP($B563,DADOS!$C$2:$I1014,7,0)))</f>
        <v/>
      </c>
      <c r="G563" s="40" t="str">
        <f t="shared" si="2"/>
        <v/>
      </c>
      <c r="H563" s="41"/>
      <c r="I563" s="42"/>
      <c r="J563" s="42"/>
      <c r="K563" s="42"/>
      <c r="L563" s="42"/>
      <c r="M563" s="42"/>
      <c r="N563" s="42"/>
      <c r="O563" s="42"/>
      <c r="P563" s="42"/>
      <c r="Q563" s="42"/>
      <c r="R563" s="42"/>
      <c r="S563" s="42"/>
      <c r="T563" s="42"/>
      <c r="U563" s="42"/>
      <c r="V563" s="42"/>
      <c r="W563" s="42"/>
      <c r="X563" s="42"/>
      <c r="Y563" s="42"/>
      <c r="Z563" s="42"/>
      <c r="AA563" s="42"/>
    </row>
    <row r="564">
      <c r="A564" s="36" t="str">
        <f>IF($B564="","",VLOOKUP($B564,DADOS!$C$2:$I1014,2,0))</f>
        <v/>
      </c>
      <c r="B564" s="37"/>
      <c r="C564" s="36"/>
      <c r="D564" s="38" t="str">
        <f>IF($B564="","",SUM(VLOOKUP($B564,DADOS!$C$2:$I1014,4,0)*$C564))</f>
        <v/>
      </c>
      <c r="E564" s="38" t="str">
        <f>IF($B564="","",SUM(VLOOKUP($B564,DADOS!$C$2:$I1014,6,0)*$C564))</f>
        <v/>
      </c>
      <c r="F564" s="39" t="str">
        <f>IF($E564="","",(VLOOKUP($B564,DADOS!$C$2:$I1014,7,0)))</f>
        <v/>
      </c>
      <c r="G564" s="40" t="str">
        <f t="shared" si="2"/>
        <v/>
      </c>
      <c r="H564" s="41"/>
      <c r="I564" s="42"/>
      <c r="J564" s="42"/>
      <c r="K564" s="42"/>
      <c r="L564" s="42"/>
      <c r="M564" s="42"/>
      <c r="N564" s="42"/>
      <c r="O564" s="42"/>
      <c r="P564" s="42"/>
      <c r="Q564" s="42"/>
      <c r="R564" s="42"/>
      <c r="S564" s="42"/>
      <c r="T564" s="42"/>
      <c r="U564" s="42"/>
      <c r="V564" s="42"/>
      <c r="W564" s="42"/>
      <c r="X564" s="42"/>
      <c r="Y564" s="42"/>
      <c r="Z564" s="42"/>
      <c r="AA564" s="42"/>
    </row>
    <row r="565">
      <c r="A565" s="36" t="str">
        <f>IF($B565="","",VLOOKUP($B565,DADOS!$C$2:$I1014,2,0))</f>
        <v/>
      </c>
      <c r="B565" s="37"/>
      <c r="C565" s="36"/>
      <c r="D565" s="38" t="str">
        <f>IF($B565="","",SUM(VLOOKUP($B565,DADOS!$C$2:$I1014,4,0)*$C565))</f>
        <v/>
      </c>
      <c r="E565" s="38" t="str">
        <f>IF($B565="","",SUM(VLOOKUP($B565,DADOS!$C$2:$I1014,6,0)*$C565))</f>
        <v/>
      </c>
      <c r="F565" s="39" t="str">
        <f>IF($E565="","",(VLOOKUP($B565,DADOS!$C$2:$I1014,7,0)))</f>
        <v/>
      </c>
      <c r="G565" s="40" t="str">
        <f t="shared" si="2"/>
        <v/>
      </c>
      <c r="H565" s="41"/>
      <c r="I565" s="42"/>
      <c r="J565" s="42"/>
      <c r="K565" s="42"/>
      <c r="L565" s="42"/>
      <c r="M565" s="42"/>
      <c r="N565" s="42"/>
      <c r="O565" s="42"/>
      <c r="P565" s="42"/>
      <c r="Q565" s="42"/>
      <c r="R565" s="42"/>
      <c r="S565" s="42"/>
      <c r="T565" s="42"/>
      <c r="U565" s="42"/>
      <c r="V565" s="42"/>
      <c r="W565" s="42"/>
      <c r="X565" s="42"/>
      <c r="Y565" s="42"/>
      <c r="Z565" s="42"/>
      <c r="AA565" s="42"/>
    </row>
    <row r="566">
      <c r="A566" s="36" t="str">
        <f>IF($B566="","",VLOOKUP($B566,DADOS!$C$2:$I1014,2,0))</f>
        <v/>
      </c>
      <c r="B566" s="37"/>
      <c r="C566" s="36"/>
      <c r="D566" s="38" t="str">
        <f>IF($B566="","",SUM(VLOOKUP($B566,DADOS!$C$2:$I1014,4,0)*$C566))</f>
        <v/>
      </c>
      <c r="E566" s="38" t="str">
        <f>IF($B566="","",SUM(VLOOKUP($B566,DADOS!$C$2:$I1014,6,0)*$C566))</f>
        <v/>
      </c>
      <c r="F566" s="39" t="str">
        <f>IF($E566="","",(VLOOKUP($B566,DADOS!$C$2:$I1014,7,0)))</f>
        <v/>
      </c>
      <c r="G566" s="40" t="str">
        <f t="shared" si="2"/>
        <v/>
      </c>
      <c r="H566" s="41"/>
      <c r="I566" s="42"/>
      <c r="J566" s="42"/>
      <c r="K566" s="42"/>
      <c r="L566" s="42"/>
      <c r="M566" s="42"/>
      <c r="N566" s="42"/>
      <c r="O566" s="42"/>
      <c r="P566" s="42"/>
      <c r="Q566" s="42"/>
      <c r="R566" s="42"/>
      <c r="S566" s="42"/>
      <c r="T566" s="42"/>
      <c r="U566" s="42"/>
      <c r="V566" s="42"/>
      <c r="W566" s="42"/>
      <c r="X566" s="42"/>
      <c r="Y566" s="42"/>
      <c r="Z566" s="42"/>
      <c r="AA566" s="42"/>
    </row>
    <row r="567">
      <c r="A567" s="36" t="str">
        <f>IF($B567="","",VLOOKUP($B567,DADOS!$C$2:$I1014,2,0))</f>
        <v/>
      </c>
      <c r="B567" s="37"/>
      <c r="C567" s="36"/>
      <c r="D567" s="38" t="str">
        <f>IF($B567="","",SUM(VLOOKUP($B567,DADOS!$C$2:$I1014,4,0)*$C567))</f>
        <v/>
      </c>
      <c r="E567" s="38" t="str">
        <f>IF($B567="","",SUM(VLOOKUP($B567,DADOS!$C$2:$I1014,6,0)*$C567))</f>
        <v/>
      </c>
      <c r="F567" s="39" t="str">
        <f>IF($E567="","",(VLOOKUP($B567,DADOS!$C$2:$I1014,7,0)))</f>
        <v/>
      </c>
      <c r="G567" s="40" t="str">
        <f t="shared" si="2"/>
        <v/>
      </c>
      <c r="H567" s="41"/>
      <c r="I567" s="42"/>
      <c r="J567" s="42"/>
      <c r="K567" s="42"/>
      <c r="L567" s="42"/>
      <c r="M567" s="42"/>
      <c r="N567" s="42"/>
      <c r="O567" s="42"/>
      <c r="P567" s="42"/>
      <c r="Q567" s="42"/>
      <c r="R567" s="42"/>
      <c r="S567" s="42"/>
      <c r="T567" s="42"/>
      <c r="U567" s="42"/>
      <c r="V567" s="42"/>
      <c r="W567" s="42"/>
      <c r="X567" s="42"/>
      <c r="Y567" s="42"/>
      <c r="Z567" s="42"/>
      <c r="AA567" s="42"/>
    </row>
    <row r="568">
      <c r="A568" s="36" t="str">
        <f>IF($B568="","",VLOOKUP($B568,DADOS!$C$2:$I1014,2,0))</f>
        <v/>
      </c>
      <c r="B568" s="37"/>
      <c r="C568" s="36"/>
      <c r="D568" s="38" t="str">
        <f>IF($B568="","",SUM(VLOOKUP($B568,DADOS!$C$2:$I1014,4,0)*$C568))</f>
        <v/>
      </c>
      <c r="E568" s="38" t="str">
        <f>IF($B568="","",SUM(VLOOKUP($B568,DADOS!$C$2:$I1014,6,0)*$C568))</f>
        <v/>
      </c>
      <c r="F568" s="39" t="str">
        <f>IF($E568="","",(VLOOKUP($B568,DADOS!$C$2:$I1014,7,0)))</f>
        <v/>
      </c>
      <c r="G568" s="40" t="str">
        <f t="shared" si="2"/>
        <v/>
      </c>
      <c r="H568" s="41"/>
      <c r="I568" s="42"/>
      <c r="J568" s="42"/>
      <c r="K568" s="42"/>
      <c r="L568" s="42"/>
      <c r="M568" s="42"/>
      <c r="N568" s="42"/>
      <c r="O568" s="42"/>
      <c r="P568" s="42"/>
      <c r="Q568" s="42"/>
      <c r="R568" s="42"/>
      <c r="S568" s="42"/>
      <c r="T568" s="42"/>
      <c r="U568" s="42"/>
      <c r="V568" s="42"/>
      <c r="W568" s="42"/>
      <c r="X568" s="42"/>
      <c r="Y568" s="42"/>
      <c r="Z568" s="42"/>
      <c r="AA568" s="42"/>
    </row>
    <row r="569">
      <c r="A569" s="36" t="str">
        <f>IF($B569="","",VLOOKUP($B569,DADOS!$C$2:$I1014,2,0))</f>
        <v/>
      </c>
      <c r="B569" s="37"/>
      <c r="C569" s="36"/>
      <c r="D569" s="38" t="str">
        <f>IF($B569="","",SUM(VLOOKUP($B569,DADOS!$C$2:$I1014,4,0)*$C569))</f>
        <v/>
      </c>
      <c r="E569" s="38" t="str">
        <f>IF($B569="","",SUM(VLOOKUP($B569,DADOS!$C$2:$I1014,6,0)*$C569))</f>
        <v/>
      </c>
      <c r="F569" s="39" t="str">
        <f>IF($E569="","",(VLOOKUP($B569,DADOS!$C$2:$I1014,7,0)))</f>
        <v/>
      </c>
      <c r="G569" s="40" t="str">
        <f t="shared" si="2"/>
        <v/>
      </c>
      <c r="H569" s="41"/>
      <c r="I569" s="42"/>
      <c r="J569" s="42"/>
      <c r="K569" s="42"/>
      <c r="L569" s="42"/>
      <c r="M569" s="42"/>
      <c r="N569" s="42"/>
      <c r="O569" s="42"/>
      <c r="P569" s="42"/>
      <c r="Q569" s="42"/>
      <c r="R569" s="42"/>
      <c r="S569" s="42"/>
      <c r="T569" s="42"/>
      <c r="U569" s="42"/>
      <c r="V569" s="42"/>
      <c r="W569" s="42"/>
      <c r="X569" s="42"/>
      <c r="Y569" s="42"/>
      <c r="Z569" s="42"/>
      <c r="AA569" s="42"/>
    </row>
    <row r="570">
      <c r="A570" s="36" t="str">
        <f>IF($B570="","",VLOOKUP($B570,DADOS!$C$2:$I1014,2,0))</f>
        <v/>
      </c>
      <c r="B570" s="37"/>
      <c r="C570" s="36"/>
      <c r="D570" s="38" t="str">
        <f>IF($B570="","",SUM(VLOOKUP($B570,DADOS!$C$2:$I1014,4,0)*$C570))</f>
        <v/>
      </c>
      <c r="E570" s="38" t="str">
        <f>IF($B570="","",SUM(VLOOKUP($B570,DADOS!$C$2:$I1014,6,0)*$C570))</f>
        <v/>
      </c>
      <c r="F570" s="39" t="str">
        <f>IF($E570="","",(VLOOKUP($B570,DADOS!$C$2:$I1014,7,0)))</f>
        <v/>
      </c>
      <c r="G570" s="40" t="str">
        <f t="shared" si="2"/>
        <v/>
      </c>
      <c r="H570" s="41"/>
      <c r="I570" s="42"/>
      <c r="J570" s="42"/>
      <c r="K570" s="42"/>
      <c r="L570" s="42"/>
      <c r="M570" s="42"/>
      <c r="N570" s="42"/>
      <c r="O570" s="42"/>
      <c r="P570" s="42"/>
      <c r="Q570" s="42"/>
      <c r="R570" s="42"/>
      <c r="S570" s="42"/>
      <c r="T570" s="42"/>
      <c r="U570" s="42"/>
      <c r="V570" s="42"/>
      <c r="W570" s="42"/>
      <c r="X570" s="42"/>
      <c r="Y570" s="42"/>
      <c r="Z570" s="42"/>
      <c r="AA570" s="42"/>
    </row>
    <row r="571">
      <c r="A571" s="36" t="str">
        <f>IF($B571="","",VLOOKUP($B571,DADOS!$C$2:$I1014,2,0))</f>
        <v/>
      </c>
      <c r="B571" s="37"/>
      <c r="C571" s="36"/>
      <c r="D571" s="38" t="str">
        <f>IF($B571="","",SUM(VLOOKUP($B571,DADOS!$C$2:$I1014,4,0)*$C571))</f>
        <v/>
      </c>
      <c r="E571" s="38" t="str">
        <f>IF($B571="","",SUM(VLOOKUP($B571,DADOS!$C$2:$I1014,6,0)*$C571))</f>
        <v/>
      </c>
      <c r="F571" s="39" t="str">
        <f>IF($E571="","",(VLOOKUP($B571,DADOS!$C$2:$I1014,7,0)))</f>
        <v/>
      </c>
      <c r="G571" s="40" t="str">
        <f t="shared" si="2"/>
        <v/>
      </c>
      <c r="H571" s="41"/>
      <c r="I571" s="42"/>
      <c r="J571" s="42"/>
      <c r="K571" s="42"/>
      <c r="L571" s="42"/>
      <c r="M571" s="42"/>
      <c r="N571" s="42"/>
      <c r="O571" s="42"/>
      <c r="P571" s="42"/>
      <c r="Q571" s="42"/>
      <c r="R571" s="42"/>
      <c r="S571" s="42"/>
      <c r="T571" s="42"/>
      <c r="U571" s="42"/>
      <c r="V571" s="42"/>
      <c r="W571" s="42"/>
      <c r="X571" s="42"/>
      <c r="Y571" s="42"/>
      <c r="Z571" s="42"/>
      <c r="AA571" s="42"/>
    </row>
    <row r="572">
      <c r="A572" s="36" t="str">
        <f>IF($B572="","",VLOOKUP($B572,DADOS!$C$2:$I1014,2,0))</f>
        <v/>
      </c>
      <c r="B572" s="37"/>
      <c r="C572" s="36"/>
      <c r="D572" s="38" t="str">
        <f>IF($B572="","",SUM(VLOOKUP($B572,DADOS!$C$2:$I1014,4,0)*$C572))</f>
        <v/>
      </c>
      <c r="E572" s="38" t="str">
        <f>IF($B572="","",SUM(VLOOKUP($B572,DADOS!$C$2:$I1014,6,0)*$C572))</f>
        <v/>
      </c>
      <c r="F572" s="39" t="str">
        <f>IF($E572="","",(VLOOKUP($B572,DADOS!$C$2:$I1014,7,0)))</f>
        <v/>
      </c>
      <c r="G572" s="40" t="str">
        <f t="shared" si="2"/>
        <v/>
      </c>
      <c r="H572" s="41"/>
      <c r="I572" s="42"/>
      <c r="J572" s="42"/>
      <c r="K572" s="42"/>
      <c r="L572" s="42"/>
      <c r="M572" s="42"/>
      <c r="N572" s="42"/>
      <c r="O572" s="42"/>
      <c r="P572" s="42"/>
      <c r="Q572" s="42"/>
      <c r="R572" s="42"/>
      <c r="S572" s="42"/>
      <c r="T572" s="42"/>
      <c r="U572" s="42"/>
      <c r="V572" s="42"/>
      <c r="W572" s="42"/>
      <c r="X572" s="42"/>
      <c r="Y572" s="42"/>
      <c r="Z572" s="42"/>
      <c r="AA572" s="42"/>
    </row>
    <row r="573">
      <c r="A573" s="36" t="str">
        <f>IF($B573="","",VLOOKUP($B573,DADOS!$C$2:$I1014,2,0))</f>
        <v/>
      </c>
      <c r="B573" s="37"/>
      <c r="C573" s="36"/>
      <c r="D573" s="38" t="str">
        <f>IF($B573="","",SUM(VLOOKUP($B573,DADOS!$C$2:$I1014,4,0)*$C573))</f>
        <v/>
      </c>
      <c r="E573" s="38" t="str">
        <f>IF($B573="","",SUM(VLOOKUP($B573,DADOS!$C$2:$I1014,6,0)*$C573))</f>
        <v/>
      </c>
      <c r="F573" s="39" t="str">
        <f>IF($E573="","",(VLOOKUP($B573,DADOS!$C$2:$I1014,7,0)))</f>
        <v/>
      </c>
      <c r="G573" s="40" t="str">
        <f t="shared" si="2"/>
        <v/>
      </c>
      <c r="H573" s="41"/>
      <c r="I573" s="42"/>
      <c r="J573" s="42"/>
      <c r="K573" s="42"/>
      <c r="L573" s="42"/>
      <c r="M573" s="42"/>
      <c r="N573" s="42"/>
      <c r="O573" s="42"/>
      <c r="P573" s="42"/>
      <c r="Q573" s="42"/>
      <c r="R573" s="42"/>
      <c r="S573" s="42"/>
      <c r="T573" s="42"/>
      <c r="U573" s="42"/>
      <c r="V573" s="42"/>
      <c r="W573" s="42"/>
      <c r="X573" s="42"/>
      <c r="Y573" s="42"/>
      <c r="Z573" s="42"/>
      <c r="AA573" s="42"/>
    </row>
    <row r="574">
      <c r="A574" s="36" t="str">
        <f>IF($B574="","",VLOOKUP($B574,DADOS!$C$2:$I1014,2,0))</f>
        <v/>
      </c>
      <c r="B574" s="37"/>
      <c r="C574" s="36"/>
      <c r="D574" s="38" t="str">
        <f>IF($B574="","",SUM(VLOOKUP($B574,DADOS!$C$2:$I1014,4,0)*$C574))</f>
        <v/>
      </c>
      <c r="E574" s="38" t="str">
        <f>IF($B574="","",SUM(VLOOKUP($B574,DADOS!$C$2:$I1014,6,0)*$C574))</f>
        <v/>
      </c>
      <c r="F574" s="39" t="str">
        <f>IF($E574="","",(VLOOKUP($B574,DADOS!$C$2:$I1014,7,0)))</f>
        <v/>
      </c>
      <c r="G574" s="40" t="str">
        <f t="shared" si="2"/>
        <v/>
      </c>
      <c r="H574" s="41"/>
      <c r="I574" s="42"/>
      <c r="J574" s="42"/>
      <c r="K574" s="42"/>
      <c r="L574" s="42"/>
      <c r="M574" s="42"/>
      <c r="N574" s="42"/>
      <c r="O574" s="42"/>
      <c r="P574" s="42"/>
      <c r="Q574" s="42"/>
      <c r="R574" s="42"/>
      <c r="S574" s="42"/>
      <c r="T574" s="42"/>
      <c r="U574" s="42"/>
      <c r="V574" s="42"/>
      <c r="W574" s="42"/>
      <c r="X574" s="42"/>
      <c r="Y574" s="42"/>
      <c r="Z574" s="42"/>
      <c r="AA574" s="42"/>
    </row>
    <row r="575">
      <c r="A575" s="36" t="str">
        <f>IF($B575="","",VLOOKUP($B575,DADOS!$C$2:$I1014,2,0))</f>
        <v/>
      </c>
      <c r="B575" s="37"/>
      <c r="C575" s="36"/>
      <c r="D575" s="38" t="str">
        <f>IF($B575="","",SUM(VLOOKUP($B575,DADOS!$C$2:$I1014,4,0)*$C575))</f>
        <v/>
      </c>
      <c r="E575" s="38" t="str">
        <f>IF($B575="","",SUM(VLOOKUP($B575,DADOS!$C$2:$I1014,6,0)*$C575))</f>
        <v/>
      </c>
      <c r="F575" s="39" t="str">
        <f>IF($E575="","",(VLOOKUP($B575,DADOS!$C$2:$I1014,7,0)))</f>
        <v/>
      </c>
      <c r="G575" s="40" t="str">
        <f t="shared" si="2"/>
        <v/>
      </c>
      <c r="H575" s="41"/>
      <c r="I575" s="42"/>
      <c r="J575" s="42"/>
      <c r="K575" s="42"/>
      <c r="L575" s="42"/>
      <c r="M575" s="42"/>
      <c r="N575" s="42"/>
      <c r="O575" s="42"/>
      <c r="P575" s="42"/>
      <c r="Q575" s="42"/>
      <c r="R575" s="42"/>
      <c r="S575" s="42"/>
      <c r="T575" s="42"/>
      <c r="U575" s="42"/>
      <c r="V575" s="42"/>
      <c r="W575" s="42"/>
      <c r="X575" s="42"/>
      <c r="Y575" s="42"/>
      <c r="Z575" s="42"/>
      <c r="AA575" s="42"/>
    </row>
    <row r="576">
      <c r="A576" s="36" t="str">
        <f>IF($B576="","",VLOOKUP($B576,DADOS!$C$2:$I1014,2,0))</f>
        <v/>
      </c>
      <c r="B576" s="37"/>
      <c r="C576" s="36"/>
      <c r="D576" s="38" t="str">
        <f>IF($B576="","",SUM(VLOOKUP($B576,DADOS!$C$2:$I1014,4,0)*$C576))</f>
        <v/>
      </c>
      <c r="E576" s="38" t="str">
        <f>IF($B576="","",SUM(VLOOKUP($B576,DADOS!$C$2:$I1014,6,0)*$C576))</f>
        <v/>
      </c>
      <c r="F576" s="39" t="str">
        <f>IF($E576="","",(VLOOKUP($B576,DADOS!$C$2:$I1014,7,0)))</f>
        <v/>
      </c>
      <c r="G576" s="40" t="str">
        <f t="shared" si="2"/>
        <v/>
      </c>
      <c r="H576" s="41"/>
      <c r="I576" s="42"/>
      <c r="J576" s="42"/>
      <c r="K576" s="42"/>
      <c r="L576" s="42"/>
      <c r="M576" s="42"/>
      <c r="N576" s="42"/>
      <c r="O576" s="42"/>
      <c r="P576" s="42"/>
      <c r="Q576" s="42"/>
      <c r="R576" s="42"/>
      <c r="S576" s="42"/>
      <c r="T576" s="42"/>
      <c r="U576" s="42"/>
      <c r="V576" s="42"/>
      <c r="W576" s="42"/>
      <c r="X576" s="42"/>
      <c r="Y576" s="42"/>
      <c r="Z576" s="42"/>
      <c r="AA576" s="42"/>
    </row>
    <row r="577">
      <c r="A577" s="36" t="str">
        <f>IF($B577="","",VLOOKUP($B577,DADOS!$C$2:$I1014,2,0))</f>
        <v/>
      </c>
      <c r="B577" s="37"/>
      <c r="C577" s="36"/>
      <c r="D577" s="38" t="str">
        <f>IF($B577="","",SUM(VLOOKUP($B577,DADOS!$C$2:$I1014,4,0)*$C577))</f>
        <v/>
      </c>
      <c r="E577" s="38" t="str">
        <f>IF($B577="","",SUM(VLOOKUP($B577,DADOS!$C$2:$I1014,6,0)*$C577))</f>
        <v/>
      </c>
      <c r="F577" s="39" t="str">
        <f>IF($E577="","",(VLOOKUP($B577,DADOS!$C$2:$I1014,7,0)))</f>
        <v/>
      </c>
      <c r="G577" s="40" t="str">
        <f t="shared" si="2"/>
        <v/>
      </c>
      <c r="H577" s="41"/>
      <c r="I577" s="42"/>
      <c r="J577" s="42"/>
      <c r="K577" s="42"/>
      <c r="L577" s="42"/>
      <c r="M577" s="42"/>
      <c r="N577" s="42"/>
      <c r="O577" s="42"/>
      <c r="P577" s="42"/>
      <c r="Q577" s="42"/>
      <c r="R577" s="42"/>
      <c r="S577" s="42"/>
      <c r="T577" s="42"/>
      <c r="U577" s="42"/>
      <c r="V577" s="42"/>
      <c r="W577" s="42"/>
      <c r="X577" s="42"/>
      <c r="Y577" s="42"/>
      <c r="Z577" s="42"/>
      <c r="AA577" s="42"/>
    </row>
    <row r="578">
      <c r="A578" s="36" t="str">
        <f>IF($B578="","",VLOOKUP($B578,DADOS!$C$2:$I1014,2,0))</f>
        <v/>
      </c>
      <c r="B578" s="37"/>
      <c r="C578" s="36"/>
      <c r="D578" s="38" t="str">
        <f>IF($B578="","",SUM(VLOOKUP($B578,DADOS!$C$2:$I1014,4,0)*$C578))</f>
        <v/>
      </c>
      <c r="E578" s="38" t="str">
        <f>IF($B578="","",SUM(VLOOKUP($B578,DADOS!$C$2:$I1014,6,0)*$C578))</f>
        <v/>
      </c>
      <c r="F578" s="39" t="str">
        <f>IF($E578="","",(VLOOKUP($B578,DADOS!$C$2:$I1014,7,0)))</f>
        <v/>
      </c>
      <c r="G578" s="40" t="str">
        <f t="shared" si="2"/>
        <v/>
      </c>
      <c r="H578" s="41"/>
      <c r="I578" s="42"/>
      <c r="J578" s="42"/>
      <c r="K578" s="42"/>
      <c r="L578" s="42"/>
      <c r="M578" s="42"/>
      <c r="N578" s="42"/>
      <c r="O578" s="42"/>
      <c r="P578" s="42"/>
      <c r="Q578" s="42"/>
      <c r="R578" s="42"/>
      <c r="S578" s="42"/>
      <c r="T578" s="42"/>
      <c r="U578" s="42"/>
      <c r="V578" s="42"/>
      <c r="W578" s="42"/>
      <c r="X578" s="42"/>
      <c r="Y578" s="42"/>
      <c r="Z578" s="42"/>
      <c r="AA578" s="42"/>
    </row>
    <row r="579">
      <c r="A579" s="36" t="str">
        <f>IF($B579="","",VLOOKUP($B579,DADOS!$C$2:$I1014,2,0))</f>
        <v/>
      </c>
      <c r="B579" s="37"/>
      <c r="C579" s="36"/>
      <c r="D579" s="38" t="str">
        <f>IF($B579="","",SUM(VLOOKUP($B579,DADOS!$C$2:$I1014,4,0)*$C579))</f>
        <v/>
      </c>
      <c r="E579" s="38" t="str">
        <f>IF($B579="","",SUM(VLOOKUP($B579,DADOS!$C$2:$I1014,6,0)*$C579))</f>
        <v/>
      </c>
      <c r="F579" s="39" t="str">
        <f>IF($E579="","",(VLOOKUP($B579,DADOS!$C$2:$I1014,7,0)))</f>
        <v/>
      </c>
      <c r="G579" s="40" t="str">
        <f t="shared" si="2"/>
        <v/>
      </c>
      <c r="H579" s="41"/>
      <c r="I579" s="42"/>
      <c r="J579" s="42"/>
      <c r="K579" s="42"/>
      <c r="L579" s="42"/>
      <c r="M579" s="42"/>
      <c r="N579" s="42"/>
      <c r="O579" s="42"/>
      <c r="P579" s="42"/>
      <c r="Q579" s="42"/>
      <c r="R579" s="42"/>
      <c r="S579" s="42"/>
      <c r="T579" s="42"/>
      <c r="U579" s="42"/>
      <c r="V579" s="42"/>
      <c r="W579" s="42"/>
      <c r="X579" s="42"/>
      <c r="Y579" s="42"/>
      <c r="Z579" s="42"/>
      <c r="AA579" s="42"/>
    </row>
    <row r="580">
      <c r="A580" s="36" t="str">
        <f>IF($B580="","",VLOOKUP($B580,DADOS!$C$2:$I1014,2,0))</f>
        <v/>
      </c>
      <c r="B580" s="37"/>
      <c r="C580" s="36"/>
      <c r="D580" s="38" t="str">
        <f>IF($B580="","",SUM(VLOOKUP($B580,DADOS!$C$2:$I1014,4,0)*$C580))</f>
        <v/>
      </c>
      <c r="E580" s="38" t="str">
        <f>IF($B580="","",SUM(VLOOKUP($B580,DADOS!$C$2:$I1014,6,0)*$C580))</f>
        <v/>
      </c>
      <c r="F580" s="39" t="str">
        <f>IF($E580="","",(VLOOKUP($B580,DADOS!$C$2:$I1014,7,0)))</f>
        <v/>
      </c>
      <c r="G580" s="40" t="str">
        <f t="shared" si="2"/>
        <v/>
      </c>
      <c r="H580" s="41"/>
      <c r="I580" s="42"/>
      <c r="J580" s="42"/>
      <c r="K580" s="42"/>
      <c r="L580" s="42"/>
      <c r="M580" s="42"/>
      <c r="N580" s="42"/>
      <c r="O580" s="42"/>
      <c r="P580" s="42"/>
      <c r="Q580" s="42"/>
      <c r="R580" s="42"/>
      <c r="S580" s="42"/>
      <c r="T580" s="42"/>
      <c r="U580" s="42"/>
      <c r="V580" s="42"/>
      <c r="W580" s="42"/>
      <c r="X580" s="42"/>
      <c r="Y580" s="42"/>
      <c r="Z580" s="42"/>
      <c r="AA580" s="42"/>
    </row>
    <row r="581">
      <c r="A581" s="36" t="str">
        <f>IF($B581="","",VLOOKUP($B581,DADOS!$C$2:$I1014,2,0))</f>
        <v/>
      </c>
      <c r="B581" s="37"/>
      <c r="C581" s="36"/>
      <c r="D581" s="38" t="str">
        <f>IF($B581="","",SUM(VLOOKUP($B581,DADOS!$C$2:$I1014,4,0)*$C581))</f>
        <v/>
      </c>
      <c r="E581" s="38" t="str">
        <f>IF($B581="","",SUM(VLOOKUP($B581,DADOS!$C$2:$I1014,6,0)*$C581))</f>
        <v/>
      </c>
      <c r="F581" s="39" t="str">
        <f>IF($E581="","",(VLOOKUP($B581,DADOS!$C$2:$I1014,7,0)))</f>
        <v/>
      </c>
      <c r="G581" s="40" t="str">
        <f t="shared" si="2"/>
        <v/>
      </c>
      <c r="H581" s="41"/>
      <c r="I581" s="42"/>
      <c r="J581" s="42"/>
      <c r="K581" s="42"/>
      <c r="L581" s="42"/>
      <c r="M581" s="42"/>
      <c r="N581" s="42"/>
      <c r="O581" s="42"/>
      <c r="P581" s="42"/>
      <c r="Q581" s="42"/>
      <c r="R581" s="42"/>
      <c r="S581" s="42"/>
      <c r="T581" s="42"/>
      <c r="U581" s="42"/>
      <c r="V581" s="42"/>
      <c r="W581" s="42"/>
      <c r="X581" s="42"/>
      <c r="Y581" s="42"/>
      <c r="Z581" s="42"/>
      <c r="AA581" s="42"/>
    </row>
    <row r="582">
      <c r="A582" s="36" t="str">
        <f>IF($B582="","",VLOOKUP($B582,DADOS!$C$2:$I1014,2,0))</f>
        <v/>
      </c>
      <c r="B582" s="37"/>
      <c r="C582" s="36"/>
      <c r="D582" s="38" t="str">
        <f>IF($B582="","",SUM(VLOOKUP($B582,DADOS!$C$2:$I1014,4,0)*$C582))</f>
        <v/>
      </c>
      <c r="E582" s="38" t="str">
        <f>IF($B582="","",SUM(VLOOKUP($B582,DADOS!$C$2:$I1014,6,0)*$C582))</f>
        <v/>
      </c>
      <c r="F582" s="39" t="str">
        <f>IF($E582="","",(VLOOKUP($B582,DADOS!$C$2:$I1014,7,0)))</f>
        <v/>
      </c>
      <c r="G582" s="40" t="str">
        <f t="shared" si="2"/>
        <v/>
      </c>
      <c r="H582" s="41"/>
      <c r="I582" s="42"/>
      <c r="J582" s="42"/>
      <c r="K582" s="42"/>
      <c r="L582" s="42"/>
      <c r="M582" s="42"/>
      <c r="N582" s="42"/>
      <c r="O582" s="42"/>
      <c r="P582" s="42"/>
      <c r="Q582" s="42"/>
      <c r="R582" s="42"/>
      <c r="S582" s="42"/>
      <c r="T582" s="42"/>
      <c r="U582" s="42"/>
      <c r="V582" s="42"/>
      <c r="W582" s="42"/>
      <c r="X582" s="42"/>
      <c r="Y582" s="42"/>
      <c r="Z582" s="42"/>
      <c r="AA582" s="42"/>
    </row>
    <row r="583">
      <c r="A583" s="36" t="str">
        <f>IF($B583="","",VLOOKUP($B583,DADOS!$C$2:$I1014,2,0))</f>
        <v/>
      </c>
      <c r="B583" s="37"/>
      <c r="C583" s="36"/>
      <c r="D583" s="38" t="str">
        <f>IF($B583="","",SUM(VLOOKUP($B583,DADOS!$C$2:$I1014,4,0)*$C583))</f>
        <v/>
      </c>
      <c r="E583" s="38" t="str">
        <f>IF($B583="","",SUM(VLOOKUP($B583,DADOS!$C$2:$I1014,6,0)*$C583))</f>
        <v/>
      </c>
      <c r="F583" s="39" t="str">
        <f>IF($E583="","",(VLOOKUP($B583,DADOS!$C$2:$I1014,7,0)))</f>
        <v/>
      </c>
      <c r="G583" s="40" t="str">
        <f t="shared" si="2"/>
        <v/>
      </c>
      <c r="H583" s="41"/>
      <c r="I583" s="42"/>
      <c r="J583" s="42"/>
      <c r="K583" s="42"/>
      <c r="L583" s="42"/>
      <c r="M583" s="42"/>
      <c r="N583" s="42"/>
      <c r="O583" s="42"/>
      <c r="P583" s="42"/>
      <c r="Q583" s="42"/>
      <c r="R583" s="42"/>
      <c r="S583" s="42"/>
      <c r="T583" s="42"/>
      <c r="U583" s="42"/>
      <c r="V583" s="42"/>
      <c r="W583" s="42"/>
      <c r="X583" s="42"/>
      <c r="Y583" s="42"/>
      <c r="Z583" s="42"/>
      <c r="AA583" s="42"/>
    </row>
    <row r="584">
      <c r="A584" s="36" t="str">
        <f>IF($B584="","",VLOOKUP($B584,DADOS!$C$2:$I1014,2,0))</f>
        <v/>
      </c>
      <c r="B584" s="37"/>
      <c r="C584" s="36"/>
      <c r="D584" s="38" t="str">
        <f>IF($B584="","",SUM(VLOOKUP($B584,DADOS!$C$2:$I1014,4,0)*$C584))</f>
        <v/>
      </c>
      <c r="E584" s="38" t="str">
        <f>IF($B584="","",SUM(VLOOKUP($B584,DADOS!$C$2:$I1014,6,0)*$C584))</f>
        <v/>
      </c>
      <c r="F584" s="39" t="str">
        <f>IF($E584="","",(VLOOKUP($B584,DADOS!$C$2:$I1014,7,0)))</f>
        <v/>
      </c>
      <c r="G584" s="40" t="str">
        <f t="shared" si="2"/>
        <v/>
      </c>
      <c r="H584" s="41"/>
      <c r="I584" s="42"/>
      <c r="J584" s="42"/>
      <c r="K584" s="42"/>
      <c r="L584" s="42"/>
      <c r="M584" s="42"/>
      <c r="N584" s="42"/>
      <c r="O584" s="42"/>
      <c r="P584" s="42"/>
      <c r="Q584" s="42"/>
      <c r="R584" s="42"/>
      <c r="S584" s="42"/>
      <c r="T584" s="42"/>
      <c r="U584" s="42"/>
      <c r="V584" s="42"/>
      <c r="W584" s="42"/>
      <c r="X584" s="42"/>
      <c r="Y584" s="42"/>
      <c r="Z584" s="42"/>
      <c r="AA584" s="42"/>
    </row>
    <row r="585">
      <c r="A585" s="36" t="str">
        <f>IF($B585="","",VLOOKUP($B585,DADOS!$C$2:$I1014,2,0))</f>
        <v/>
      </c>
      <c r="B585" s="37"/>
      <c r="C585" s="36"/>
      <c r="D585" s="38" t="str">
        <f>IF($B585="","",SUM(VLOOKUP($B585,DADOS!$C$2:$I1014,4,0)*$C585))</f>
        <v/>
      </c>
      <c r="E585" s="38" t="str">
        <f>IF($B585="","",SUM(VLOOKUP($B585,DADOS!$C$2:$I1014,6,0)*$C585))</f>
        <v/>
      </c>
      <c r="F585" s="39" t="str">
        <f>IF($E585="","",(VLOOKUP($B585,DADOS!$C$2:$I1014,7,0)))</f>
        <v/>
      </c>
      <c r="G585" s="40" t="str">
        <f t="shared" si="2"/>
        <v/>
      </c>
      <c r="H585" s="41"/>
      <c r="I585" s="42"/>
      <c r="J585" s="42"/>
      <c r="K585" s="42"/>
      <c r="L585" s="42"/>
      <c r="M585" s="42"/>
      <c r="N585" s="42"/>
      <c r="O585" s="42"/>
      <c r="P585" s="42"/>
      <c r="Q585" s="42"/>
      <c r="R585" s="42"/>
      <c r="S585" s="42"/>
      <c r="T585" s="42"/>
      <c r="U585" s="42"/>
      <c r="V585" s="42"/>
      <c r="W585" s="42"/>
      <c r="X585" s="42"/>
      <c r="Y585" s="42"/>
      <c r="Z585" s="42"/>
      <c r="AA585" s="42"/>
    </row>
    <row r="586">
      <c r="A586" s="36" t="str">
        <f>IF($B586="","",VLOOKUP($B586,DADOS!$C$2:$I1014,2,0))</f>
        <v/>
      </c>
      <c r="B586" s="37"/>
      <c r="C586" s="36"/>
      <c r="D586" s="38" t="str">
        <f>IF($B586="","",SUM(VLOOKUP($B586,DADOS!$C$2:$I1014,4,0)*$C586))</f>
        <v/>
      </c>
      <c r="E586" s="38" t="str">
        <f>IF($B586="","",SUM(VLOOKUP($B586,DADOS!$C$2:$I1014,6,0)*$C586))</f>
        <v/>
      </c>
      <c r="F586" s="39" t="str">
        <f>IF($E586="","",(VLOOKUP($B586,DADOS!$C$2:$I1014,7,0)))</f>
        <v/>
      </c>
      <c r="G586" s="40" t="str">
        <f t="shared" si="2"/>
        <v/>
      </c>
      <c r="H586" s="41"/>
      <c r="I586" s="42"/>
      <c r="J586" s="42"/>
      <c r="K586" s="42"/>
      <c r="L586" s="42"/>
      <c r="M586" s="42"/>
      <c r="N586" s="42"/>
      <c r="O586" s="42"/>
      <c r="P586" s="42"/>
      <c r="Q586" s="42"/>
      <c r="R586" s="42"/>
      <c r="S586" s="42"/>
      <c r="T586" s="42"/>
      <c r="U586" s="42"/>
      <c r="V586" s="42"/>
      <c r="W586" s="42"/>
      <c r="X586" s="42"/>
      <c r="Y586" s="42"/>
      <c r="Z586" s="42"/>
      <c r="AA586" s="42"/>
    </row>
    <row r="587">
      <c r="A587" s="36" t="str">
        <f>IF($B587="","",VLOOKUP($B587,DADOS!$C$2:$I1014,2,0))</f>
        <v/>
      </c>
      <c r="B587" s="37"/>
      <c r="C587" s="36"/>
      <c r="D587" s="38" t="str">
        <f>IF($B587="","",SUM(VLOOKUP($B587,DADOS!$C$2:$I1014,4,0)*$C587))</f>
        <v/>
      </c>
      <c r="E587" s="38" t="str">
        <f>IF($B587="","",SUM(VLOOKUP($B587,DADOS!$C$2:$I1014,6,0)*$C587))</f>
        <v/>
      </c>
      <c r="F587" s="39" t="str">
        <f>IF($E587="","",(VLOOKUP($B587,DADOS!$C$2:$I1014,7,0)))</f>
        <v/>
      </c>
      <c r="G587" s="40" t="str">
        <f t="shared" si="2"/>
        <v/>
      </c>
      <c r="H587" s="41"/>
      <c r="I587" s="42"/>
      <c r="J587" s="42"/>
      <c r="K587" s="42"/>
      <c r="L587" s="42"/>
      <c r="M587" s="42"/>
      <c r="N587" s="42"/>
      <c r="O587" s="42"/>
      <c r="P587" s="42"/>
      <c r="Q587" s="42"/>
      <c r="R587" s="42"/>
      <c r="S587" s="42"/>
      <c r="T587" s="42"/>
      <c r="U587" s="42"/>
      <c r="V587" s="42"/>
      <c r="W587" s="42"/>
      <c r="X587" s="42"/>
      <c r="Y587" s="42"/>
      <c r="Z587" s="42"/>
      <c r="AA587" s="42"/>
    </row>
    <row r="588">
      <c r="A588" s="36" t="str">
        <f>IF($B588="","",VLOOKUP($B588,DADOS!$C$2:$I1014,2,0))</f>
        <v/>
      </c>
      <c r="B588" s="37"/>
      <c r="C588" s="36"/>
      <c r="D588" s="38" t="str">
        <f>IF($B588="","",SUM(VLOOKUP($B588,DADOS!$C$2:$I1014,4,0)*$C588))</f>
        <v/>
      </c>
      <c r="E588" s="38" t="str">
        <f>IF($B588="","",SUM(VLOOKUP($B588,DADOS!$C$2:$I1014,6,0)*$C588))</f>
        <v/>
      </c>
      <c r="F588" s="39" t="str">
        <f>IF($E588="","",(VLOOKUP($B588,DADOS!$C$2:$I1014,7,0)))</f>
        <v/>
      </c>
      <c r="G588" s="40" t="str">
        <f t="shared" si="2"/>
        <v/>
      </c>
      <c r="H588" s="41"/>
      <c r="I588" s="42"/>
      <c r="J588" s="42"/>
      <c r="K588" s="42"/>
      <c r="L588" s="42"/>
      <c r="M588" s="42"/>
      <c r="N588" s="42"/>
      <c r="O588" s="42"/>
      <c r="P588" s="42"/>
      <c r="Q588" s="42"/>
      <c r="R588" s="42"/>
      <c r="S588" s="42"/>
      <c r="T588" s="42"/>
      <c r="U588" s="42"/>
      <c r="V588" s="42"/>
      <c r="W588" s="42"/>
      <c r="X588" s="42"/>
      <c r="Y588" s="42"/>
      <c r="Z588" s="42"/>
      <c r="AA588" s="42"/>
    </row>
    <row r="589">
      <c r="A589" s="36" t="str">
        <f>IF($B589="","",VLOOKUP($B589,DADOS!$C$2:$I1014,2,0))</f>
        <v/>
      </c>
      <c r="B589" s="37"/>
      <c r="C589" s="36"/>
      <c r="D589" s="38" t="str">
        <f>IF($B589="","",SUM(VLOOKUP($B589,DADOS!$C$2:$I1014,4,0)*$C589))</f>
        <v/>
      </c>
      <c r="E589" s="38" t="str">
        <f>IF($B589="","",SUM(VLOOKUP($B589,DADOS!$C$2:$I1014,6,0)*$C589))</f>
        <v/>
      </c>
      <c r="F589" s="39" t="str">
        <f>IF($E589="","",(VLOOKUP($B589,DADOS!$C$2:$I1014,7,0)))</f>
        <v/>
      </c>
      <c r="G589" s="40" t="str">
        <f t="shared" si="2"/>
        <v/>
      </c>
      <c r="H589" s="41"/>
      <c r="I589" s="42"/>
      <c r="J589" s="42"/>
      <c r="K589" s="42"/>
      <c r="L589" s="42"/>
      <c r="M589" s="42"/>
      <c r="N589" s="42"/>
      <c r="O589" s="42"/>
      <c r="P589" s="42"/>
      <c r="Q589" s="42"/>
      <c r="R589" s="42"/>
      <c r="S589" s="42"/>
      <c r="T589" s="42"/>
      <c r="U589" s="42"/>
      <c r="V589" s="42"/>
      <c r="W589" s="42"/>
      <c r="X589" s="42"/>
      <c r="Y589" s="42"/>
      <c r="Z589" s="42"/>
      <c r="AA589" s="42"/>
    </row>
    <row r="590">
      <c r="A590" s="36" t="str">
        <f>IF($B590="","",VLOOKUP($B590,DADOS!$C$2:$I1014,2,0))</f>
        <v/>
      </c>
      <c r="B590" s="37"/>
      <c r="C590" s="36"/>
      <c r="D590" s="38" t="str">
        <f>IF($B590="","",SUM(VLOOKUP($B590,DADOS!$C$2:$I1014,4,0)*$C590))</f>
        <v/>
      </c>
      <c r="E590" s="38" t="str">
        <f>IF($B590="","",SUM(VLOOKUP($B590,DADOS!$C$2:$I1014,6,0)*$C590))</f>
        <v/>
      </c>
      <c r="F590" s="39" t="str">
        <f>IF($E590="","",(VLOOKUP($B590,DADOS!$C$2:$I1014,7,0)))</f>
        <v/>
      </c>
      <c r="G590" s="40" t="str">
        <f t="shared" si="2"/>
        <v/>
      </c>
      <c r="H590" s="41"/>
      <c r="I590" s="42"/>
      <c r="J590" s="42"/>
      <c r="K590" s="42"/>
      <c r="L590" s="42"/>
      <c r="M590" s="42"/>
      <c r="N590" s="42"/>
      <c r="O590" s="42"/>
      <c r="P590" s="42"/>
      <c r="Q590" s="42"/>
      <c r="R590" s="42"/>
      <c r="S590" s="42"/>
      <c r="T590" s="42"/>
      <c r="U590" s="42"/>
      <c r="V590" s="42"/>
      <c r="W590" s="42"/>
      <c r="X590" s="42"/>
      <c r="Y590" s="42"/>
      <c r="Z590" s="42"/>
      <c r="AA590" s="42"/>
    </row>
    <row r="591">
      <c r="A591" s="36" t="str">
        <f>IF($B591="","",VLOOKUP($B591,DADOS!$C$2:$I1014,2,0))</f>
        <v/>
      </c>
      <c r="B591" s="37"/>
      <c r="C591" s="36"/>
      <c r="D591" s="38" t="str">
        <f>IF($B591="","",SUM(VLOOKUP($B591,DADOS!$C$2:$I1014,4,0)*$C591))</f>
        <v/>
      </c>
      <c r="E591" s="38" t="str">
        <f>IF($B591="","",SUM(VLOOKUP($B591,DADOS!$C$2:$I1014,6,0)*$C591))</f>
        <v/>
      </c>
      <c r="F591" s="39" t="str">
        <f>IF($E591="","",(VLOOKUP($B591,DADOS!$C$2:$I1014,7,0)))</f>
        <v/>
      </c>
      <c r="G591" s="40" t="str">
        <f t="shared" si="2"/>
        <v/>
      </c>
      <c r="H591" s="41"/>
      <c r="I591" s="42"/>
      <c r="J591" s="42"/>
      <c r="K591" s="42"/>
      <c r="L591" s="42"/>
      <c r="M591" s="42"/>
      <c r="N591" s="42"/>
      <c r="O591" s="42"/>
      <c r="P591" s="42"/>
      <c r="Q591" s="42"/>
      <c r="R591" s="42"/>
      <c r="S591" s="42"/>
      <c r="T591" s="42"/>
      <c r="U591" s="42"/>
      <c r="V591" s="42"/>
      <c r="W591" s="42"/>
      <c r="X591" s="42"/>
      <c r="Y591" s="42"/>
      <c r="Z591" s="42"/>
      <c r="AA591" s="42"/>
    </row>
    <row r="592">
      <c r="A592" s="36" t="str">
        <f>IF($B592="","",VLOOKUP($B592,DADOS!$C$2:$I1014,2,0))</f>
        <v/>
      </c>
      <c r="B592" s="37"/>
      <c r="C592" s="36"/>
      <c r="D592" s="38" t="str">
        <f>IF($B592="","",SUM(VLOOKUP($B592,DADOS!$C$2:$I1014,4,0)*$C592))</f>
        <v/>
      </c>
      <c r="E592" s="38" t="str">
        <f>IF($B592="","",SUM(VLOOKUP($B592,DADOS!$C$2:$I1014,6,0)*$C592))</f>
        <v/>
      </c>
      <c r="F592" s="39" t="str">
        <f>IF($E592="","",(VLOOKUP($B592,DADOS!$C$2:$I1014,7,0)))</f>
        <v/>
      </c>
      <c r="G592" s="40" t="str">
        <f t="shared" si="2"/>
        <v/>
      </c>
      <c r="H592" s="41"/>
      <c r="I592" s="42"/>
      <c r="J592" s="42"/>
      <c r="K592" s="42"/>
      <c r="L592" s="42"/>
      <c r="M592" s="42"/>
      <c r="N592" s="42"/>
      <c r="O592" s="42"/>
      <c r="P592" s="42"/>
      <c r="Q592" s="42"/>
      <c r="R592" s="42"/>
      <c r="S592" s="42"/>
      <c r="T592" s="42"/>
      <c r="U592" s="42"/>
      <c r="V592" s="42"/>
      <c r="W592" s="42"/>
      <c r="X592" s="42"/>
      <c r="Y592" s="42"/>
      <c r="Z592" s="42"/>
      <c r="AA592" s="42"/>
    </row>
    <row r="593">
      <c r="A593" s="36" t="str">
        <f>IF($B593="","",VLOOKUP($B593,DADOS!$C$2:$I1014,2,0))</f>
        <v/>
      </c>
      <c r="B593" s="37"/>
      <c r="C593" s="36"/>
      <c r="D593" s="38" t="str">
        <f>IF($B593="","",SUM(VLOOKUP($B593,DADOS!$C$2:$I1014,4,0)*$C593))</f>
        <v/>
      </c>
      <c r="E593" s="38" t="str">
        <f>IF($B593="","",SUM(VLOOKUP($B593,DADOS!$C$2:$I1014,6,0)*$C593))</f>
        <v/>
      </c>
      <c r="F593" s="39" t="str">
        <f>IF($E593="","",(VLOOKUP($B593,DADOS!$C$2:$I1014,7,0)))</f>
        <v/>
      </c>
      <c r="G593" s="40" t="str">
        <f t="shared" si="2"/>
        <v/>
      </c>
      <c r="H593" s="41"/>
      <c r="I593" s="42"/>
      <c r="J593" s="42"/>
      <c r="K593" s="42"/>
      <c r="L593" s="42"/>
      <c r="M593" s="42"/>
      <c r="N593" s="42"/>
      <c r="O593" s="42"/>
      <c r="P593" s="42"/>
      <c r="Q593" s="42"/>
      <c r="R593" s="42"/>
      <c r="S593" s="42"/>
      <c r="T593" s="42"/>
      <c r="U593" s="42"/>
      <c r="V593" s="42"/>
      <c r="W593" s="42"/>
      <c r="X593" s="42"/>
      <c r="Y593" s="42"/>
      <c r="Z593" s="42"/>
      <c r="AA593" s="42"/>
    </row>
    <row r="594">
      <c r="A594" s="36" t="str">
        <f>IF($B594="","",VLOOKUP($B594,DADOS!$C$2:$I1014,2,0))</f>
        <v/>
      </c>
      <c r="B594" s="37"/>
      <c r="C594" s="36"/>
      <c r="D594" s="38" t="str">
        <f>IF($B594="","",SUM(VLOOKUP($B594,DADOS!$C$2:$I1014,4,0)*$C594))</f>
        <v/>
      </c>
      <c r="E594" s="38" t="str">
        <f>IF($B594="","",SUM(VLOOKUP($B594,DADOS!$C$2:$I1014,6,0)*$C594))</f>
        <v/>
      </c>
      <c r="F594" s="39" t="str">
        <f>IF($E594="","",(VLOOKUP($B594,DADOS!$C$2:$I1014,7,0)))</f>
        <v/>
      </c>
      <c r="G594" s="40" t="str">
        <f t="shared" si="2"/>
        <v/>
      </c>
      <c r="H594" s="41"/>
      <c r="I594" s="42"/>
      <c r="J594" s="42"/>
      <c r="K594" s="42"/>
      <c r="L594" s="42"/>
      <c r="M594" s="42"/>
      <c r="N594" s="42"/>
      <c r="O594" s="42"/>
      <c r="P594" s="42"/>
      <c r="Q594" s="42"/>
      <c r="R594" s="42"/>
      <c r="S594" s="42"/>
      <c r="T594" s="42"/>
      <c r="U594" s="42"/>
      <c r="V594" s="42"/>
      <c r="W594" s="42"/>
      <c r="X594" s="42"/>
      <c r="Y594" s="42"/>
      <c r="Z594" s="42"/>
      <c r="AA594" s="42"/>
    </row>
    <row r="595">
      <c r="A595" s="36" t="str">
        <f>IF($B595="","",VLOOKUP($B595,DADOS!$C$2:$I1014,2,0))</f>
        <v/>
      </c>
      <c r="B595" s="37"/>
      <c r="C595" s="36"/>
      <c r="D595" s="38" t="str">
        <f>IF($B595="","",SUM(VLOOKUP($B595,DADOS!$C$2:$I1014,4,0)*$C595))</f>
        <v/>
      </c>
      <c r="E595" s="38" t="str">
        <f>IF($B595="","",SUM(VLOOKUP($B595,DADOS!$C$2:$I1014,6,0)*$C595))</f>
        <v/>
      </c>
      <c r="F595" s="39" t="str">
        <f>IF($E595="","",(VLOOKUP($B595,DADOS!$C$2:$I1014,7,0)))</f>
        <v/>
      </c>
      <c r="G595" s="40" t="str">
        <f t="shared" si="2"/>
        <v/>
      </c>
      <c r="H595" s="41"/>
      <c r="I595" s="42"/>
      <c r="J595" s="42"/>
      <c r="K595" s="42"/>
      <c r="L595" s="42"/>
      <c r="M595" s="42"/>
      <c r="N595" s="42"/>
      <c r="O595" s="42"/>
      <c r="P595" s="42"/>
      <c r="Q595" s="42"/>
      <c r="R595" s="42"/>
      <c r="S595" s="42"/>
      <c r="T595" s="42"/>
      <c r="U595" s="42"/>
      <c r="V595" s="42"/>
      <c r="W595" s="42"/>
      <c r="X595" s="42"/>
      <c r="Y595" s="42"/>
      <c r="Z595" s="42"/>
      <c r="AA595" s="42"/>
    </row>
    <row r="596">
      <c r="A596" s="36" t="str">
        <f>IF($B596="","",VLOOKUP($B596,DADOS!$C$2:$I1014,2,0))</f>
        <v/>
      </c>
      <c r="B596" s="37"/>
      <c r="C596" s="36"/>
      <c r="D596" s="38" t="str">
        <f>IF($B596="","",SUM(VLOOKUP($B596,DADOS!$C$2:$I1014,4,0)*$C596))</f>
        <v/>
      </c>
      <c r="E596" s="38" t="str">
        <f>IF($B596="","",SUM(VLOOKUP($B596,DADOS!$C$2:$I1014,6,0)*$C596))</f>
        <v/>
      </c>
      <c r="F596" s="39" t="str">
        <f>IF($E596="","",(VLOOKUP($B596,DADOS!$C$2:$I1014,7,0)))</f>
        <v/>
      </c>
      <c r="G596" s="40" t="str">
        <f t="shared" si="2"/>
        <v/>
      </c>
      <c r="H596" s="41"/>
      <c r="I596" s="42"/>
      <c r="J596" s="42"/>
      <c r="K596" s="42"/>
      <c r="L596" s="42"/>
      <c r="M596" s="42"/>
      <c r="N596" s="42"/>
      <c r="O596" s="42"/>
      <c r="P596" s="42"/>
      <c r="Q596" s="42"/>
      <c r="R596" s="42"/>
      <c r="S596" s="42"/>
      <c r="T596" s="42"/>
      <c r="U596" s="42"/>
      <c r="V596" s="42"/>
      <c r="W596" s="42"/>
      <c r="X596" s="42"/>
      <c r="Y596" s="42"/>
      <c r="Z596" s="42"/>
      <c r="AA596" s="42"/>
    </row>
    <row r="597">
      <c r="A597" s="36" t="str">
        <f>IF($B597="","",VLOOKUP($B597,DADOS!$C$2:$I1014,2,0))</f>
        <v/>
      </c>
      <c r="B597" s="37"/>
      <c r="C597" s="36"/>
      <c r="D597" s="38" t="str">
        <f>IF($B597="","",SUM(VLOOKUP($B597,DADOS!$C$2:$I1014,4,0)*$C597))</f>
        <v/>
      </c>
      <c r="E597" s="38" t="str">
        <f>IF($B597="","",SUM(VLOOKUP($B597,DADOS!$C$2:$I1014,6,0)*$C597))</f>
        <v/>
      </c>
      <c r="F597" s="39" t="str">
        <f>IF($E597="","",(VLOOKUP($B597,DADOS!$C$2:$I1014,7,0)))</f>
        <v/>
      </c>
      <c r="G597" s="40" t="str">
        <f t="shared" si="2"/>
        <v/>
      </c>
      <c r="H597" s="41"/>
      <c r="I597" s="42"/>
      <c r="J597" s="42"/>
      <c r="K597" s="42"/>
      <c r="L597" s="42"/>
      <c r="M597" s="42"/>
      <c r="N597" s="42"/>
      <c r="O597" s="42"/>
      <c r="P597" s="42"/>
      <c r="Q597" s="42"/>
      <c r="R597" s="42"/>
      <c r="S597" s="42"/>
      <c r="T597" s="42"/>
      <c r="U597" s="42"/>
      <c r="V597" s="42"/>
      <c r="W597" s="42"/>
      <c r="X597" s="42"/>
      <c r="Y597" s="42"/>
      <c r="Z597" s="42"/>
      <c r="AA597" s="42"/>
    </row>
    <row r="598">
      <c r="A598" s="36" t="str">
        <f>IF($B598="","",VLOOKUP($B598,DADOS!$C$2:$I1014,2,0))</f>
        <v/>
      </c>
      <c r="B598" s="37"/>
      <c r="C598" s="36"/>
      <c r="D598" s="38" t="str">
        <f>IF($B598="","",SUM(VLOOKUP($B598,DADOS!$C$2:$I1014,4,0)*$C598))</f>
        <v/>
      </c>
      <c r="E598" s="38" t="str">
        <f>IF($B598="","",SUM(VLOOKUP($B598,DADOS!$C$2:$I1014,6,0)*$C598))</f>
        <v/>
      </c>
      <c r="F598" s="39" t="str">
        <f>IF($E598="","",(VLOOKUP($B598,DADOS!$C$2:$I1014,7,0)))</f>
        <v/>
      </c>
      <c r="G598" s="40" t="str">
        <f t="shared" si="2"/>
        <v/>
      </c>
      <c r="H598" s="41"/>
      <c r="I598" s="42"/>
      <c r="J598" s="42"/>
      <c r="K598" s="42"/>
      <c r="L598" s="42"/>
      <c r="M598" s="42"/>
      <c r="N598" s="42"/>
      <c r="O598" s="42"/>
      <c r="P598" s="42"/>
      <c r="Q598" s="42"/>
      <c r="R598" s="42"/>
      <c r="S598" s="42"/>
      <c r="T598" s="42"/>
      <c r="U598" s="42"/>
      <c r="V598" s="42"/>
      <c r="W598" s="42"/>
      <c r="X598" s="42"/>
      <c r="Y598" s="42"/>
      <c r="Z598" s="42"/>
      <c r="AA598" s="42"/>
    </row>
    <row r="599">
      <c r="A599" s="36" t="str">
        <f>IF($B599="","",VLOOKUP($B599,DADOS!$C$2:$I1014,2,0))</f>
        <v/>
      </c>
      <c r="B599" s="37"/>
      <c r="C599" s="36"/>
      <c r="D599" s="38" t="str">
        <f>IF($B599="","",SUM(VLOOKUP($B599,DADOS!$C$2:$I1014,4,0)*$C599))</f>
        <v/>
      </c>
      <c r="E599" s="38" t="str">
        <f>IF($B599="","",SUM(VLOOKUP($B599,DADOS!$C$2:$I1014,6,0)*$C599))</f>
        <v/>
      </c>
      <c r="F599" s="39" t="str">
        <f>IF($E599="","",(VLOOKUP($B599,DADOS!$C$2:$I1014,7,0)))</f>
        <v/>
      </c>
      <c r="G599" s="40" t="str">
        <f t="shared" si="2"/>
        <v/>
      </c>
      <c r="H599" s="41"/>
      <c r="I599" s="42"/>
      <c r="J599" s="42"/>
      <c r="K599" s="42"/>
      <c r="L599" s="42"/>
      <c r="M599" s="42"/>
      <c r="N599" s="42"/>
      <c r="O599" s="42"/>
      <c r="P599" s="42"/>
      <c r="Q599" s="42"/>
      <c r="R599" s="42"/>
      <c r="S599" s="42"/>
      <c r="T599" s="42"/>
      <c r="U599" s="42"/>
      <c r="V599" s="42"/>
      <c r="W599" s="42"/>
      <c r="X599" s="42"/>
      <c r="Y599" s="42"/>
      <c r="Z599" s="42"/>
      <c r="AA599" s="42"/>
    </row>
    <row r="600">
      <c r="A600" s="36" t="str">
        <f>IF($B600="","",VLOOKUP($B600,DADOS!$C$2:$I1014,2,0))</f>
        <v/>
      </c>
      <c r="B600" s="37"/>
      <c r="C600" s="36"/>
      <c r="D600" s="38" t="str">
        <f>IF($B600="","",SUM(VLOOKUP($B600,DADOS!$C$2:$I1014,4,0)*$C600))</f>
        <v/>
      </c>
      <c r="E600" s="38" t="str">
        <f>IF($B600="","",SUM(VLOOKUP($B600,DADOS!$C$2:$I1014,6,0)*$C600))</f>
        <v/>
      </c>
      <c r="F600" s="39" t="str">
        <f>IF($E600="","",(VLOOKUP($B600,DADOS!$C$2:$I1014,7,0)))</f>
        <v/>
      </c>
      <c r="G600" s="40" t="str">
        <f t="shared" si="2"/>
        <v/>
      </c>
      <c r="H600" s="41"/>
      <c r="I600" s="42"/>
      <c r="J600" s="42"/>
      <c r="K600" s="42"/>
      <c r="L600" s="42"/>
      <c r="M600" s="42"/>
      <c r="N600" s="42"/>
      <c r="O600" s="42"/>
      <c r="P600" s="42"/>
      <c r="Q600" s="42"/>
      <c r="R600" s="42"/>
      <c r="S600" s="42"/>
      <c r="T600" s="42"/>
      <c r="U600" s="42"/>
      <c r="V600" s="42"/>
      <c r="W600" s="42"/>
      <c r="X600" s="42"/>
      <c r="Y600" s="42"/>
      <c r="Z600" s="42"/>
      <c r="AA600" s="42"/>
    </row>
    <row r="601">
      <c r="A601" s="36" t="str">
        <f>IF($B601="","",VLOOKUP($B601,DADOS!$C$2:$I1014,2,0))</f>
        <v/>
      </c>
      <c r="B601" s="37"/>
      <c r="C601" s="36"/>
      <c r="D601" s="38" t="str">
        <f>IF($B601="","",SUM(VLOOKUP($B601,DADOS!$C$2:$I1014,4,0)*$C601))</f>
        <v/>
      </c>
      <c r="E601" s="38" t="str">
        <f>IF($B601="","",SUM(VLOOKUP($B601,DADOS!$C$2:$I1014,6,0)*$C601))</f>
        <v/>
      </c>
      <c r="F601" s="39" t="str">
        <f>IF($E601="","",(VLOOKUP($B601,DADOS!$C$2:$I1014,7,0)))</f>
        <v/>
      </c>
      <c r="G601" s="40" t="str">
        <f t="shared" si="2"/>
        <v/>
      </c>
      <c r="H601" s="41"/>
      <c r="I601" s="42"/>
      <c r="J601" s="42"/>
      <c r="K601" s="42"/>
      <c r="L601" s="42"/>
      <c r="M601" s="42"/>
      <c r="N601" s="42"/>
      <c r="O601" s="42"/>
      <c r="P601" s="42"/>
      <c r="Q601" s="42"/>
      <c r="R601" s="42"/>
      <c r="S601" s="42"/>
      <c r="T601" s="42"/>
      <c r="U601" s="42"/>
      <c r="V601" s="42"/>
      <c r="W601" s="42"/>
      <c r="X601" s="42"/>
      <c r="Y601" s="42"/>
      <c r="Z601" s="42"/>
      <c r="AA601" s="42"/>
    </row>
    <row r="602">
      <c r="A602" s="36" t="str">
        <f>IF($B602="","",VLOOKUP($B602,DADOS!$C$2:$I1014,2,0))</f>
        <v/>
      </c>
      <c r="B602" s="37"/>
      <c r="C602" s="36"/>
      <c r="D602" s="38" t="str">
        <f>IF($B602="","",SUM(VLOOKUP($B602,DADOS!$C$2:$I1014,4,0)*$C602))</f>
        <v/>
      </c>
      <c r="E602" s="38" t="str">
        <f>IF($B602="","",SUM(VLOOKUP($B602,DADOS!$C$2:$I1014,6,0)*$C602))</f>
        <v/>
      </c>
      <c r="F602" s="39" t="str">
        <f>IF($E602="","",(VLOOKUP($B602,DADOS!$C$2:$I1014,7,0)))</f>
        <v/>
      </c>
      <c r="G602" s="40" t="str">
        <f t="shared" si="2"/>
        <v/>
      </c>
      <c r="H602" s="41"/>
      <c r="I602" s="42"/>
      <c r="J602" s="42"/>
      <c r="K602" s="42"/>
      <c r="L602" s="42"/>
      <c r="M602" s="42"/>
      <c r="N602" s="42"/>
      <c r="O602" s="42"/>
      <c r="P602" s="42"/>
      <c r="Q602" s="42"/>
      <c r="R602" s="42"/>
      <c r="S602" s="42"/>
      <c r="T602" s="42"/>
      <c r="U602" s="42"/>
      <c r="V602" s="42"/>
      <c r="W602" s="42"/>
      <c r="X602" s="42"/>
      <c r="Y602" s="42"/>
      <c r="Z602" s="42"/>
      <c r="AA602" s="42"/>
    </row>
    <row r="603">
      <c r="A603" s="36" t="str">
        <f>IF($B603="","",VLOOKUP($B603,DADOS!$C$2:$I1014,2,0))</f>
        <v/>
      </c>
      <c r="B603" s="37"/>
      <c r="C603" s="36"/>
      <c r="D603" s="38" t="str">
        <f>IF($B603="","",SUM(VLOOKUP($B603,DADOS!$C$2:$I1014,4,0)*$C603))</f>
        <v/>
      </c>
      <c r="E603" s="38" t="str">
        <f>IF($B603="","",SUM(VLOOKUP($B603,DADOS!$C$2:$I1014,6,0)*$C603))</f>
        <v/>
      </c>
      <c r="F603" s="39" t="str">
        <f>IF($E603="","",(VLOOKUP($B603,DADOS!$C$2:$I1014,7,0)))</f>
        <v/>
      </c>
      <c r="G603" s="40" t="str">
        <f t="shared" si="2"/>
        <v/>
      </c>
      <c r="H603" s="41"/>
      <c r="I603" s="42"/>
      <c r="J603" s="42"/>
      <c r="K603" s="42"/>
      <c r="L603" s="42"/>
      <c r="M603" s="42"/>
      <c r="N603" s="42"/>
      <c r="O603" s="42"/>
      <c r="P603" s="42"/>
      <c r="Q603" s="42"/>
      <c r="R603" s="42"/>
      <c r="S603" s="42"/>
      <c r="T603" s="42"/>
      <c r="U603" s="42"/>
      <c r="V603" s="42"/>
      <c r="W603" s="42"/>
      <c r="X603" s="42"/>
      <c r="Y603" s="42"/>
      <c r="Z603" s="42"/>
      <c r="AA603" s="42"/>
    </row>
    <row r="604">
      <c r="A604" s="36" t="str">
        <f>IF($B604="","",VLOOKUP($B604,DADOS!$C$2:$I1014,2,0))</f>
        <v/>
      </c>
      <c r="B604" s="37"/>
      <c r="C604" s="36"/>
      <c r="D604" s="38" t="str">
        <f>IF($B604="","",SUM(VLOOKUP($B604,DADOS!$C$2:$I1014,4,0)*$C604))</f>
        <v/>
      </c>
      <c r="E604" s="38" t="str">
        <f>IF($B604="","",SUM(VLOOKUP($B604,DADOS!$C$2:$I1014,6,0)*$C604))</f>
        <v/>
      </c>
      <c r="F604" s="39" t="str">
        <f>IF($E604="","",(VLOOKUP($B604,DADOS!$C$2:$I1014,7,0)))</f>
        <v/>
      </c>
      <c r="G604" s="40" t="str">
        <f t="shared" si="2"/>
        <v/>
      </c>
      <c r="H604" s="41"/>
      <c r="I604" s="42"/>
      <c r="J604" s="42"/>
      <c r="K604" s="42"/>
      <c r="L604" s="42"/>
      <c r="M604" s="42"/>
      <c r="N604" s="42"/>
      <c r="O604" s="42"/>
      <c r="P604" s="42"/>
      <c r="Q604" s="42"/>
      <c r="R604" s="42"/>
      <c r="S604" s="42"/>
      <c r="T604" s="42"/>
      <c r="U604" s="42"/>
      <c r="V604" s="42"/>
      <c r="W604" s="42"/>
      <c r="X604" s="42"/>
      <c r="Y604" s="42"/>
      <c r="Z604" s="42"/>
      <c r="AA604" s="42"/>
    </row>
    <row r="605">
      <c r="A605" s="36" t="str">
        <f>IF($B605="","",VLOOKUP($B605,DADOS!$C$2:$I1014,2,0))</f>
        <v/>
      </c>
      <c r="B605" s="37"/>
      <c r="C605" s="36"/>
      <c r="D605" s="38" t="str">
        <f>IF($B605="","",SUM(VLOOKUP($B605,DADOS!$C$2:$I1014,4,0)*$C605))</f>
        <v/>
      </c>
      <c r="E605" s="38" t="str">
        <f>IF($B605="","",SUM(VLOOKUP($B605,DADOS!$C$2:$I1014,6,0)*$C605))</f>
        <v/>
      </c>
      <c r="F605" s="39" t="str">
        <f>IF($E605="","",(VLOOKUP($B605,DADOS!$C$2:$I1014,7,0)))</f>
        <v/>
      </c>
      <c r="G605" s="40" t="str">
        <f t="shared" si="2"/>
        <v/>
      </c>
      <c r="H605" s="41"/>
      <c r="I605" s="42"/>
      <c r="J605" s="42"/>
      <c r="K605" s="42"/>
      <c r="L605" s="42"/>
      <c r="M605" s="42"/>
      <c r="N605" s="42"/>
      <c r="O605" s="42"/>
      <c r="P605" s="42"/>
      <c r="Q605" s="42"/>
      <c r="R605" s="42"/>
      <c r="S605" s="42"/>
      <c r="T605" s="42"/>
      <c r="U605" s="42"/>
      <c r="V605" s="42"/>
      <c r="W605" s="42"/>
      <c r="X605" s="42"/>
      <c r="Y605" s="42"/>
      <c r="Z605" s="42"/>
      <c r="AA605" s="42"/>
    </row>
    <row r="606">
      <c r="A606" s="36" t="str">
        <f>IF($B606="","",VLOOKUP($B606,DADOS!$C$2:$I1014,2,0))</f>
        <v/>
      </c>
      <c r="B606" s="37"/>
      <c r="C606" s="36"/>
      <c r="D606" s="38" t="str">
        <f>IF($B606="","",SUM(VLOOKUP($B606,DADOS!$C$2:$I1014,4,0)*$C606))</f>
        <v/>
      </c>
      <c r="E606" s="38" t="str">
        <f>IF($B606="","",SUM(VLOOKUP($B606,DADOS!$C$2:$I1014,6,0)*$C606))</f>
        <v/>
      </c>
      <c r="F606" s="39" t="str">
        <f>IF($E606="","",(VLOOKUP($B606,DADOS!$C$2:$I1014,7,0)))</f>
        <v/>
      </c>
      <c r="G606" s="40" t="str">
        <f t="shared" si="2"/>
        <v/>
      </c>
      <c r="H606" s="41"/>
      <c r="I606" s="42"/>
      <c r="J606" s="42"/>
      <c r="K606" s="42"/>
      <c r="L606" s="42"/>
      <c r="M606" s="42"/>
      <c r="N606" s="42"/>
      <c r="O606" s="42"/>
      <c r="P606" s="42"/>
      <c r="Q606" s="42"/>
      <c r="R606" s="42"/>
      <c r="S606" s="42"/>
      <c r="T606" s="42"/>
      <c r="U606" s="42"/>
      <c r="V606" s="42"/>
      <c r="W606" s="42"/>
      <c r="X606" s="42"/>
      <c r="Y606" s="42"/>
      <c r="Z606" s="42"/>
      <c r="AA606" s="42"/>
    </row>
    <row r="607">
      <c r="A607" s="36" t="str">
        <f>IF($B607="","",VLOOKUP($B607,DADOS!$C$2:$I1014,2,0))</f>
        <v/>
      </c>
      <c r="B607" s="37"/>
      <c r="C607" s="36"/>
      <c r="D607" s="38" t="str">
        <f>IF($B607="","",SUM(VLOOKUP($B607,DADOS!$C$2:$I1014,4,0)*$C607))</f>
        <v/>
      </c>
      <c r="E607" s="38" t="str">
        <f>IF($B607="","",SUM(VLOOKUP($B607,DADOS!$C$2:$I1014,6,0)*$C607))</f>
        <v/>
      </c>
      <c r="F607" s="39" t="str">
        <f>IF($E607="","",(VLOOKUP($B607,DADOS!$C$2:$I1014,7,0)))</f>
        <v/>
      </c>
      <c r="G607" s="40" t="str">
        <f t="shared" si="2"/>
        <v/>
      </c>
      <c r="H607" s="41"/>
      <c r="I607" s="42"/>
      <c r="J607" s="42"/>
      <c r="K607" s="42"/>
      <c r="L607" s="42"/>
      <c r="M607" s="42"/>
      <c r="N607" s="42"/>
      <c r="O607" s="42"/>
      <c r="P607" s="42"/>
      <c r="Q607" s="42"/>
      <c r="R607" s="42"/>
      <c r="S607" s="42"/>
      <c r="T607" s="42"/>
      <c r="U607" s="42"/>
      <c r="V607" s="42"/>
      <c r="W607" s="42"/>
      <c r="X607" s="42"/>
      <c r="Y607" s="42"/>
      <c r="Z607" s="42"/>
      <c r="AA607" s="42"/>
    </row>
    <row r="608">
      <c r="A608" s="36" t="str">
        <f>IF($B608="","",VLOOKUP($B608,DADOS!$C$2:$I1014,2,0))</f>
        <v/>
      </c>
      <c r="B608" s="37"/>
      <c r="C608" s="36"/>
      <c r="D608" s="38" t="str">
        <f>IF($B608="","",SUM(VLOOKUP($B608,DADOS!$C$2:$I1014,4,0)*$C608))</f>
        <v/>
      </c>
      <c r="E608" s="38" t="str">
        <f>IF($B608="","",SUM(VLOOKUP($B608,DADOS!$C$2:$I1014,6,0)*$C608))</f>
        <v/>
      </c>
      <c r="F608" s="39" t="str">
        <f>IF($E608="","",(VLOOKUP($B608,DADOS!$C$2:$I1014,7,0)))</f>
        <v/>
      </c>
      <c r="G608" s="40" t="str">
        <f t="shared" si="2"/>
        <v/>
      </c>
      <c r="H608" s="41"/>
      <c r="I608" s="42"/>
      <c r="J608" s="42"/>
      <c r="K608" s="42"/>
      <c r="L608" s="42"/>
      <c r="M608" s="42"/>
      <c r="N608" s="42"/>
      <c r="O608" s="42"/>
      <c r="P608" s="42"/>
      <c r="Q608" s="42"/>
      <c r="R608" s="42"/>
      <c r="S608" s="42"/>
      <c r="T608" s="42"/>
      <c r="U608" s="42"/>
      <c r="V608" s="42"/>
      <c r="W608" s="42"/>
      <c r="X608" s="42"/>
      <c r="Y608" s="42"/>
      <c r="Z608" s="42"/>
      <c r="AA608" s="42"/>
    </row>
    <row r="609">
      <c r="A609" s="36" t="str">
        <f>IF($B609="","",VLOOKUP($B609,DADOS!$C$2:$I1014,2,0))</f>
        <v/>
      </c>
      <c r="B609" s="37"/>
      <c r="C609" s="36"/>
      <c r="D609" s="38" t="str">
        <f>IF($B609="","",SUM(VLOOKUP($B609,DADOS!$C$2:$I1014,4,0)*$C609))</f>
        <v/>
      </c>
      <c r="E609" s="38" t="str">
        <f>IF($B609="","",SUM(VLOOKUP($B609,DADOS!$C$2:$I1014,6,0)*$C609))</f>
        <v/>
      </c>
      <c r="F609" s="39" t="str">
        <f>IF($E609="","",(VLOOKUP($B609,DADOS!$C$2:$I1014,7,0)))</f>
        <v/>
      </c>
      <c r="G609" s="40" t="str">
        <f t="shared" si="2"/>
        <v/>
      </c>
      <c r="H609" s="41"/>
      <c r="I609" s="42"/>
      <c r="J609" s="42"/>
      <c r="K609" s="42"/>
      <c r="L609" s="42"/>
      <c r="M609" s="42"/>
      <c r="N609" s="42"/>
      <c r="O609" s="42"/>
      <c r="P609" s="42"/>
      <c r="Q609" s="42"/>
      <c r="R609" s="42"/>
      <c r="S609" s="42"/>
      <c r="T609" s="42"/>
      <c r="U609" s="42"/>
      <c r="V609" s="42"/>
      <c r="W609" s="42"/>
      <c r="X609" s="42"/>
      <c r="Y609" s="42"/>
      <c r="Z609" s="42"/>
      <c r="AA609" s="42"/>
    </row>
    <row r="610">
      <c r="A610" s="36" t="str">
        <f>IF($B610="","",VLOOKUP($B610,DADOS!$C$2:$I1014,2,0))</f>
        <v/>
      </c>
      <c r="B610" s="37"/>
      <c r="C610" s="36"/>
      <c r="D610" s="38" t="str">
        <f>IF($B610="","",SUM(VLOOKUP($B610,DADOS!$C$2:$I1014,4,0)*$C610))</f>
        <v/>
      </c>
      <c r="E610" s="38" t="str">
        <f>IF($B610="","",SUM(VLOOKUP($B610,DADOS!$C$2:$I1014,6,0)*$C610))</f>
        <v/>
      </c>
      <c r="F610" s="39" t="str">
        <f>IF($E610="","",(VLOOKUP($B610,DADOS!$C$2:$I1014,7,0)))</f>
        <v/>
      </c>
      <c r="G610" s="40" t="str">
        <f t="shared" si="2"/>
        <v/>
      </c>
      <c r="H610" s="41"/>
      <c r="I610" s="42"/>
      <c r="J610" s="42"/>
      <c r="K610" s="42"/>
      <c r="L610" s="42"/>
      <c r="M610" s="42"/>
      <c r="N610" s="42"/>
      <c r="O610" s="42"/>
      <c r="P610" s="42"/>
      <c r="Q610" s="42"/>
      <c r="R610" s="42"/>
      <c r="S610" s="42"/>
      <c r="T610" s="42"/>
      <c r="U610" s="42"/>
      <c r="V610" s="42"/>
      <c r="W610" s="42"/>
      <c r="X610" s="42"/>
      <c r="Y610" s="42"/>
      <c r="Z610" s="42"/>
      <c r="AA610" s="42"/>
    </row>
    <row r="611">
      <c r="A611" s="36" t="str">
        <f>IF($B611="","",VLOOKUP($B611,DADOS!$C$2:$I1014,2,0))</f>
        <v/>
      </c>
      <c r="B611" s="37"/>
      <c r="C611" s="36"/>
      <c r="D611" s="38" t="str">
        <f>IF($B611="","",SUM(VLOOKUP($B611,DADOS!$C$2:$I1014,4,0)*$C611))</f>
        <v/>
      </c>
      <c r="E611" s="38" t="str">
        <f>IF($B611="","",SUM(VLOOKUP($B611,DADOS!$C$2:$I1014,6,0)*$C611))</f>
        <v/>
      </c>
      <c r="F611" s="39" t="str">
        <f>IF($E611="","",(VLOOKUP($B611,DADOS!$C$2:$I1014,7,0)))</f>
        <v/>
      </c>
      <c r="G611" s="40" t="str">
        <f t="shared" si="2"/>
        <v/>
      </c>
      <c r="H611" s="41"/>
      <c r="I611" s="42"/>
      <c r="J611" s="42"/>
      <c r="K611" s="42"/>
      <c r="L611" s="42"/>
      <c r="M611" s="42"/>
      <c r="N611" s="42"/>
      <c r="O611" s="42"/>
      <c r="P611" s="42"/>
      <c r="Q611" s="42"/>
      <c r="R611" s="42"/>
      <c r="S611" s="42"/>
      <c r="T611" s="42"/>
      <c r="U611" s="42"/>
      <c r="V611" s="42"/>
      <c r="W611" s="42"/>
      <c r="X611" s="42"/>
      <c r="Y611" s="42"/>
      <c r="Z611" s="42"/>
      <c r="AA611" s="42"/>
    </row>
    <row r="612">
      <c r="A612" s="36" t="str">
        <f>IF($B612="","",VLOOKUP($B612,DADOS!$C$2:$I1014,2,0))</f>
        <v/>
      </c>
      <c r="B612" s="37"/>
      <c r="C612" s="36"/>
      <c r="D612" s="38" t="str">
        <f>IF($B612="","",SUM(VLOOKUP($B612,DADOS!$C$2:$I1014,4,0)*$C612))</f>
        <v/>
      </c>
      <c r="E612" s="38" t="str">
        <f>IF($B612="","",SUM(VLOOKUP($B612,DADOS!$C$2:$I1014,6,0)*$C612))</f>
        <v/>
      </c>
      <c r="F612" s="39" t="str">
        <f>IF($E612="","",(VLOOKUP($B612,DADOS!$C$2:$I1014,7,0)))</f>
        <v/>
      </c>
      <c r="G612" s="40" t="str">
        <f t="shared" si="2"/>
        <v/>
      </c>
      <c r="H612" s="41"/>
      <c r="I612" s="42"/>
      <c r="J612" s="42"/>
      <c r="K612" s="42"/>
      <c r="L612" s="42"/>
      <c r="M612" s="42"/>
      <c r="N612" s="42"/>
      <c r="O612" s="42"/>
      <c r="P612" s="42"/>
      <c r="Q612" s="42"/>
      <c r="R612" s="42"/>
      <c r="S612" s="42"/>
      <c r="T612" s="42"/>
      <c r="U612" s="42"/>
      <c r="V612" s="42"/>
      <c r="W612" s="42"/>
      <c r="X612" s="42"/>
      <c r="Y612" s="42"/>
      <c r="Z612" s="42"/>
      <c r="AA612" s="42"/>
    </row>
    <row r="613">
      <c r="A613" s="36" t="str">
        <f>IF($B613="","",VLOOKUP($B613,DADOS!$C$2:$I1014,2,0))</f>
        <v/>
      </c>
      <c r="B613" s="37"/>
      <c r="C613" s="36"/>
      <c r="D613" s="38" t="str">
        <f>IF($B613="","",SUM(VLOOKUP($B613,DADOS!$C$2:$I1014,4,0)*$C613))</f>
        <v/>
      </c>
      <c r="E613" s="38" t="str">
        <f>IF($B613="","",SUM(VLOOKUP($B613,DADOS!$C$2:$I1014,6,0)*$C613))</f>
        <v/>
      </c>
      <c r="F613" s="39" t="str">
        <f>IF($E613="","",(VLOOKUP($B613,DADOS!$C$2:$I1014,7,0)))</f>
        <v/>
      </c>
      <c r="G613" s="40" t="str">
        <f t="shared" si="2"/>
        <v/>
      </c>
      <c r="H613" s="41"/>
      <c r="I613" s="42"/>
      <c r="J613" s="42"/>
      <c r="K613" s="42"/>
      <c r="L613" s="42"/>
      <c r="M613" s="42"/>
      <c r="N613" s="42"/>
      <c r="O613" s="42"/>
      <c r="P613" s="42"/>
      <c r="Q613" s="42"/>
      <c r="R613" s="42"/>
      <c r="S613" s="42"/>
      <c r="T613" s="42"/>
      <c r="U613" s="42"/>
      <c r="V613" s="42"/>
      <c r="W613" s="42"/>
      <c r="X613" s="42"/>
      <c r="Y613" s="42"/>
      <c r="Z613" s="42"/>
      <c r="AA613" s="42"/>
    </row>
    <row r="614">
      <c r="A614" s="36" t="str">
        <f>IF($B614="","",VLOOKUP($B614,DADOS!$C$2:$I1014,2,0))</f>
        <v/>
      </c>
      <c r="B614" s="37"/>
      <c r="C614" s="36"/>
      <c r="D614" s="38" t="str">
        <f>IF($B614="","",SUM(VLOOKUP($B614,DADOS!$C$2:$I1014,4,0)*$C614))</f>
        <v/>
      </c>
      <c r="E614" s="38" t="str">
        <f>IF($B614="","",SUM(VLOOKUP($B614,DADOS!$C$2:$I1014,6,0)*$C614))</f>
        <v/>
      </c>
      <c r="F614" s="39" t="str">
        <f>IF($E614="","",(VLOOKUP($B614,DADOS!$C$2:$I1014,7,0)))</f>
        <v/>
      </c>
      <c r="G614" s="40" t="str">
        <f t="shared" si="2"/>
        <v/>
      </c>
      <c r="H614" s="41"/>
      <c r="I614" s="42"/>
      <c r="J614" s="42"/>
      <c r="K614" s="42"/>
      <c r="L614" s="42"/>
      <c r="M614" s="42"/>
      <c r="N614" s="42"/>
      <c r="O614" s="42"/>
      <c r="P614" s="42"/>
      <c r="Q614" s="42"/>
      <c r="R614" s="42"/>
      <c r="S614" s="42"/>
      <c r="T614" s="42"/>
      <c r="U614" s="42"/>
      <c r="V614" s="42"/>
      <c r="W614" s="42"/>
      <c r="X614" s="42"/>
      <c r="Y614" s="42"/>
      <c r="Z614" s="42"/>
      <c r="AA614" s="42"/>
    </row>
    <row r="615">
      <c r="A615" s="36" t="str">
        <f>IF($B615="","",VLOOKUP($B615,DADOS!$C$2:$I1014,2,0))</f>
        <v/>
      </c>
      <c r="B615" s="37"/>
      <c r="C615" s="36"/>
      <c r="D615" s="38" t="str">
        <f>IF($B615="","",SUM(VLOOKUP($B615,DADOS!$C$2:$I1014,4,0)*$C615))</f>
        <v/>
      </c>
      <c r="E615" s="38" t="str">
        <f>IF($B615="","",SUM(VLOOKUP($B615,DADOS!$C$2:$I1014,6,0)*$C615))</f>
        <v/>
      </c>
      <c r="F615" s="39" t="str">
        <f>IF($E615="","",(VLOOKUP($B615,DADOS!$C$2:$I1014,7,0)))</f>
        <v/>
      </c>
      <c r="G615" s="40" t="str">
        <f t="shared" si="2"/>
        <v/>
      </c>
      <c r="H615" s="41"/>
      <c r="I615" s="42"/>
      <c r="J615" s="42"/>
      <c r="K615" s="42"/>
      <c r="L615" s="42"/>
      <c r="M615" s="42"/>
      <c r="N615" s="42"/>
      <c r="O615" s="42"/>
      <c r="P615" s="42"/>
      <c r="Q615" s="42"/>
      <c r="R615" s="42"/>
      <c r="S615" s="42"/>
      <c r="T615" s="42"/>
      <c r="U615" s="42"/>
      <c r="V615" s="42"/>
      <c r="W615" s="42"/>
      <c r="X615" s="42"/>
      <c r="Y615" s="42"/>
      <c r="Z615" s="42"/>
      <c r="AA615" s="42"/>
    </row>
    <row r="616">
      <c r="A616" s="36" t="str">
        <f>IF($B616="","",VLOOKUP($B616,DADOS!$C$2:$I1014,2,0))</f>
        <v/>
      </c>
      <c r="B616" s="37"/>
      <c r="C616" s="36"/>
      <c r="D616" s="38" t="str">
        <f>IF($B616="","",SUM(VLOOKUP($B616,DADOS!$C$2:$I1014,4,0)*$C616))</f>
        <v/>
      </c>
      <c r="E616" s="38" t="str">
        <f>IF($B616="","",SUM(VLOOKUP($B616,DADOS!$C$2:$I1014,6,0)*$C616))</f>
        <v/>
      </c>
      <c r="F616" s="39" t="str">
        <f>IF($E616="","",(VLOOKUP($B616,DADOS!$C$2:$I1014,7,0)))</f>
        <v/>
      </c>
      <c r="G616" s="40" t="str">
        <f t="shared" si="2"/>
        <v/>
      </c>
      <c r="H616" s="41"/>
      <c r="I616" s="42"/>
      <c r="J616" s="42"/>
      <c r="K616" s="42"/>
      <c r="L616" s="42"/>
      <c r="M616" s="42"/>
      <c r="N616" s="42"/>
      <c r="O616" s="42"/>
      <c r="P616" s="42"/>
      <c r="Q616" s="42"/>
      <c r="R616" s="42"/>
      <c r="S616" s="42"/>
      <c r="T616" s="42"/>
      <c r="U616" s="42"/>
      <c r="V616" s="42"/>
      <c r="W616" s="42"/>
      <c r="X616" s="42"/>
      <c r="Y616" s="42"/>
      <c r="Z616" s="42"/>
      <c r="AA616" s="42"/>
    </row>
    <row r="617">
      <c r="A617" s="36" t="str">
        <f>IF($B617="","",VLOOKUP($B617,DADOS!$C$2:$I1014,2,0))</f>
        <v/>
      </c>
      <c r="B617" s="37"/>
      <c r="C617" s="36"/>
      <c r="D617" s="38" t="str">
        <f>IF($B617="","",SUM(VLOOKUP($B617,DADOS!$C$2:$I1014,4,0)*$C617))</f>
        <v/>
      </c>
      <c r="E617" s="38" t="str">
        <f>IF($B617="","",SUM(VLOOKUP($B617,DADOS!$C$2:$I1014,6,0)*$C617))</f>
        <v/>
      </c>
      <c r="F617" s="39" t="str">
        <f>IF($E617="","",(VLOOKUP($B617,DADOS!$C$2:$I1014,7,0)))</f>
        <v/>
      </c>
      <c r="G617" s="40" t="str">
        <f t="shared" si="2"/>
        <v/>
      </c>
      <c r="H617" s="41"/>
      <c r="I617" s="42"/>
      <c r="J617" s="42"/>
      <c r="K617" s="42"/>
      <c r="L617" s="42"/>
      <c r="M617" s="42"/>
      <c r="N617" s="42"/>
      <c r="O617" s="42"/>
      <c r="P617" s="42"/>
      <c r="Q617" s="42"/>
      <c r="R617" s="42"/>
      <c r="S617" s="42"/>
      <c r="T617" s="42"/>
      <c r="U617" s="42"/>
      <c r="V617" s="42"/>
      <c r="W617" s="42"/>
      <c r="X617" s="42"/>
      <c r="Y617" s="42"/>
      <c r="Z617" s="42"/>
      <c r="AA617" s="42"/>
    </row>
    <row r="618">
      <c r="A618" s="36" t="str">
        <f>IF($B618="","",VLOOKUP($B618,DADOS!$C$2:$I1014,2,0))</f>
        <v/>
      </c>
      <c r="B618" s="37"/>
      <c r="C618" s="36"/>
      <c r="D618" s="38" t="str">
        <f>IF($B618="","",SUM(VLOOKUP($B618,DADOS!$C$2:$I1014,4,0)*$C618))</f>
        <v/>
      </c>
      <c r="E618" s="38" t="str">
        <f>IF($B618="","",SUM(VLOOKUP($B618,DADOS!$C$2:$I1014,6,0)*$C618))</f>
        <v/>
      </c>
      <c r="F618" s="39" t="str">
        <f>IF($E618="","",(VLOOKUP($B618,DADOS!$C$2:$I1014,7,0)))</f>
        <v/>
      </c>
      <c r="G618" s="40" t="str">
        <f t="shared" si="2"/>
        <v/>
      </c>
      <c r="H618" s="41"/>
      <c r="I618" s="42"/>
      <c r="J618" s="42"/>
      <c r="K618" s="42"/>
      <c r="L618" s="42"/>
      <c r="M618" s="42"/>
      <c r="N618" s="42"/>
      <c r="O618" s="42"/>
      <c r="P618" s="42"/>
      <c r="Q618" s="42"/>
      <c r="R618" s="42"/>
      <c r="S618" s="42"/>
      <c r="T618" s="42"/>
      <c r="U618" s="42"/>
      <c r="V618" s="42"/>
      <c r="W618" s="42"/>
      <c r="X618" s="42"/>
      <c r="Y618" s="42"/>
      <c r="Z618" s="42"/>
      <c r="AA618" s="42"/>
    </row>
    <row r="619">
      <c r="A619" s="36" t="str">
        <f>IF($B619="","",VLOOKUP($B619,DADOS!$C$2:$I1014,2,0))</f>
        <v/>
      </c>
      <c r="B619" s="37"/>
      <c r="C619" s="36"/>
      <c r="D619" s="38" t="str">
        <f>IF($B619="","",SUM(VLOOKUP($B619,DADOS!$C$2:$I1014,4,0)*$C619))</f>
        <v/>
      </c>
      <c r="E619" s="38" t="str">
        <f>IF($B619="","",SUM(VLOOKUP($B619,DADOS!$C$2:$I1014,6,0)*$C619))</f>
        <v/>
      </c>
      <c r="F619" s="39" t="str">
        <f>IF($E619="","",(VLOOKUP($B619,DADOS!$C$2:$I1014,7,0)))</f>
        <v/>
      </c>
      <c r="G619" s="40" t="str">
        <f t="shared" si="2"/>
        <v/>
      </c>
      <c r="H619" s="41"/>
      <c r="I619" s="42"/>
      <c r="J619" s="42"/>
      <c r="K619" s="42"/>
      <c r="L619" s="42"/>
      <c r="M619" s="42"/>
      <c r="N619" s="42"/>
      <c r="O619" s="42"/>
      <c r="P619" s="42"/>
      <c r="Q619" s="42"/>
      <c r="R619" s="42"/>
      <c r="S619" s="42"/>
      <c r="T619" s="42"/>
      <c r="U619" s="42"/>
      <c r="V619" s="42"/>
      <c r="W619" s="42"/>
      <c r="X619" s="42"/>
      <c r="Y619" s="42"/>
      <c r="Z619" s="42"/>
      <c r="AA619" s="42"/>
    </row>
    <row r="620">
      <c r="A620" s="36" t="str">
        <f>IF($B620="","",VLOOKUP($B620,DADOS!$C$2:$I1014,2,0))</f>
        <v/>
      </c>
      <c r="B620" s="37"/>
      <c r="C620" s="36"/>
      <c r="D620" s="38" t="str">
        <f>IF($B620="","",SUM(VLOOKUP($B620,DADOS!$C$2:$I1014,4,0)*$C620))</f>
        <v/>
      </c>
      <c r="E620" s="38" t="str">
        <f>IF($B620="","",SUM(VLOOKUP($B620,DADOS!$C$2:$I1014,6,0)*$C620))</f>
        <v/>
      </c>
      <c r="F620" s="39" t="str">
        <f>IF($E620="","",(VLOOKUP($B620,DADOS!$C$2:$I1014,7,0)))</f>
        <v/>
      </c>
      <c r="G620" s="40" t="str">
        <f t="shared" si="2"/>
        <v/>
      </c>
      <c r="H620" s="41"/>
      <c r="I620" s="42"/>
      <c r="J620" s="42"/>
      <c r="K620" s="42"/>
      <c r="L620" s="42"/>
      <c r="M620" s="42"/>
      <c r="N620" s="42"/>
      <c r="O620" s="42"/>
      <c r="P620" s="42"/>
      <c r="Q620" s="42"/>
      <c r="R620" s="42"/>
      <c r="S620" s="42"/>
      <c r="T620" s="42"/>
      <c r="U620" s="42"/>
      <c r="V620" s="42"/>
      <c r="W620" s="42"/>
      <c r="X620" s="42"/>
      <c r="Y620" s="42"/>
      <c r="Z620" s="42"/>
      <c r="AA620" s="42"/>
    </row>
    <row r="621">
      <c r="A621" s="36" t="str">
        <f>IF($B621="","",VLOOKUP($B621,DADOS!$C$2:$I1014,2,0))</f>
        <v/>
      </c>
      <c r="B621" s="37"/>
      <c r="C621" s="36"/>
      <c r="D621" s="38" t="str">
        <f>IF($B621="","",SUM(VLOOKUP($B621,DADOS!$C$2:$I1014,4,0)*$C621))</f>
        <v/>
      </c>
      <c r="E621" s="38" t="str">
        <f>IF($B621="","",SUM(VLOOKUP($B621,DADOS!$C$2:$I1014,6,0)*$C621))</f>
        <v/>
      </c>
      <c r="F621" s="39" t="str">
        <f>IF($E621="","",(VLOOKUP($B621,DADOS!$C$2:$I1014,7,0)))</f>
        <v/>
      </c>
      <c r="G621" s="40" t="str">
        <f t="shared" si="2"/>
        <v/>
      </c>
      <c r="H621" s="41"/>
      <c r="I621" s="42"/>
      <c r="J621" s="42"/>
      <c r="K621" s="42"/>
      <c r="L621" s="42"/>
      <c r="M621" s="42"/>
      <c r="N621" s="42"/>
      <c r="O621" s="42"/>
      <c r="P621" s="42"/>
      <c r="Q621" s="42"/>
      <c r="R621" s="42"/>
      <c r="S621" s="42"/>
      <c r="T621" s="42"/>
      <c r="U621" s="42"/>
      <c r="V621" s="42"/>
      <c r="W621" s="42"/>
      <c r="X621" s="42"/>
      <c r="Y621" s="42"/>
      <c r="Z621" s="42"/>
      <c r="AA621" s="42"/>
    </row>
    <row r="622">
      <c r="A622" s="36" t="str">
        <f>IF($B622="","",VLOOKUP($B622,DADOS!$C$2:$I1014,2,0))</f>
        <v/>
      </c>
      <c r="B622" s="37"/>
      <c r="C622" s="36"/>
      <c r="D622" s="38" t="str">
        <f>IF($B622="","",SUM(VLOOKUP($B622,DADOS!$C$2:$I1014,4,0)*$C622))</f>
        <v/>
      </c>
      <c r="E622" s="38" t="str">
        <f>IF($B622="","",SUM(VLOOKUP($B622,DADOS!$C$2:$I1014,6,0)*$C622))</f>
        <v/>
      </c>
      <c r="F622" s="39" t="str">
        <f>IF($E622="","",(VLOOKUP($B622,DADOS!$C$2:$I1014,7,0)))</f>
        <v/>
      </c>
      <c r="G622" s="40" t="str">
        <f t="shared" si="2"/>
        <v/>
      </c>
      <c r="H622" s="41"/>
      <c r="I622" s="42"/>
      <c r="J622" s="42"/>
      <c r="K622" s="42"/>
      <c r="L622" s="42"/>
      <c r="M622" s="42"/>
      <c r="N622" s="42"/>
      <c r="O622" s="42"/>
      <c r="P622" s="42"/>
      <c r="Q622" s="42"/>
      <c r="R622" s="42"/>
      <c r="S622" s="42"/>
      <c r="T622" s="42"/>
      <c r="U622" s="42"/>
      <c r="V622" s="42"/>
      <c r="W622" s="42"/>
      <c r="X622" s="42"/>
      <c r="Y622" s="42"/>
      <c r="Z622" s="42"/>
      <c r="AA622" s="42"/>
    </row>
    <row r="623">
      <c r="A623" s="36" t="str">
        <f>IF($B623="","",VLOOKUP($B623,DADOS!$C$2:$I1014,2,0))</f>
        <v/>
      </c>
      <c r="B623" s="37"/>
      <c r="C623" s="36"/>
      <c r="D623" s="38" t="str">
        <f>IF($B623="","",SUM(VLOOKUP($B623,DADOS!$C$2:$I1014,4,0)*$C623))</f>
        <v/>
      </c>
      <c r="E623" s="38" t="str">
        <f>IF($B623="","",SUM(VLOOKUP($B623,DADOS!$C$2:$I1014,6,0)*$C623))</f>
        <v/>
      </c>
      <c r="F623" s="39" t="str">
        <f>IF($E623="","",(VLOOKUP($B623,DADOS!$C$2:$I1014,7,0)))</f>
        <v/>
      </c>
      <c r="G623" s="40" t="str">
        <f t="shared" si="2"/>
        <v/>
      </c>
      <c r="H623" s="41"/>
      <c r="I623" s="42"/>
      <c r="J623" s="42"/>
      <c r="K623" s="42"/>
      <c r="L623" s="42"/>
      <c r="M623" s="42"/>
      <c r="N623" s="42"/>
      <c r="O623" s="42"/>
      <c r="P623" s="42"/>
      <c r="Q623" s="42"/>
      <c r="R623" s="42"/>
      <c r="S623" s="42"/>
      <c r="T623" s="42"/>
      <c r="U623" s="42"/>
      <c r="V623" s="42"/>
      <c r="W623" s="42"/>
      <c r="X623" s="42"/>
      <c r="Y623" s="42"/>
      <c r="Z623" s="42"/>
      <c r="AA623" s="42"/>
    </row>
    <row r="624">
      <c r="A624" s="36" t="str">
        <f>IF($B624="","",VLOOKUP($B624,DADOS!$C$2:$I1014,2,0))</f>
        <v/>
      </c>
      <c r="B624" s="37"/>
      <c r="C624" s="36"/>
      <c r="D624" s="38" t="str">
        <f>IF($B624="","",SUM(VLOOKUP($B624,DADOS!$C$2:$I1014,4,0)*$C624))</f>
        <v/>
      </c>
      <c r="E624" s="38" t="str">
        <f>IF($B624="","",SUM(VLOOKUP($B624,DADOS!$C$2:$I1014,6,0)*$C624))</f>
        <v/>
      </c>
      <c r="F624" s="39" t="str">
        <f>IF($E624="","",(VLOOKUP($B624,DADOS!$C$2:$I1014,7,0)))</f>
        <v/>
      </c>
      <c r="G624" s="40" t="str">
        <f t="shared" si="2"/>
        <v/>
      </c>
      <c r="H624" s="41"/>
      <c r="I624" s="42"/>
      <c r="J624" s="42"/>
      <c r="K624" s="42"/>
      <c r="L624" s="42"/>
      <c r="M624" s="42"/>
      <c r="N624" s="42"/>
      <c r="O624" s="42"/>
      <c r="P624" s="42"/>
      <c r="Q624" s="42"/>
      <c r="R624" s="42"/>
      <c r="S624" s="42"/>
      <c r="T624" s="42"/>
      <c r="U624" s="42"/>
      <c r="V624" s="42"/>
      <c r="W624" s="42"/>
      <c r="X624" s="42"/>
      <c r="Y624" s="42"/>
      <c r="Z624" s="42"/>
      <c r="AA624" s="42"/>
    </row>
    <row r="625">
      <c r="A625" s="36" t="str">
        <f>IF($B625="","",VLOOKUP($B625,DADOS!$C$2:$I1014,2,0))</f>
        <v/>
      </c>
      <c r="B625" s="37"/>
      <c r="C625" s="36"/>
      <c r="D625" s="38" t="str">
        <f>IF($B625="","",SUM(VLOOKUP($B625,DADOS!$C$2:$I1014,4,0)*$C625))</f>
        <v/>
      </c>
      <c r="E625" s="38" t="str">
        <f>IF($B625="","",SUM(VLOOKUP($B625,DADOS!$C$2:$I1014,6,0)*$C625))</f>
        <v/>
      </c>
      <c r="F625" s="39" t="str">
        <f>IF($E625="","",(VLOOKUP($B625,DADOS!$C$2:$I1014,7,0)))</f>
        <v/>
      </c>
      <c r="G625" s="40" t="str">
        <f t="shared" si="2"/>
        <v/>
      </c>
      <c r="H625" s="41"/>
      <c r="I625" s="42"/>
      <c r="J625" s="42"/>
      <c r="K625" s="42"/>
      <c r="L625" s="42"/>
      <c r="M625" s="42"/>
      <c r="N625" s="42"/>
      <c r="O625" s="42"/>
      <c r="P625" s="42"/>
      <c r="Q625" s="42"/>
      <c r="R625" s="42"/>
      <c r="S625" s="42"/>
      <c r="T625" s="42"/>
      <c r="U625" s="42"/>
      <c r="V625" s="42"/>
      <c r="W625" s="42"/>
      <c r="X625" s="42"/>
      <c r="Y625" s="42"/>
      <c r="Z625" s="42"/>
      <c r="AA625" s="42"/>
    </row>
    <row r="626">
      <c r="A626" s="36" t="str">
        <f>IF($B626="","",VLOOKUP($B626,DADOS!$C$2:$I1014,2,0))</f>
        <v/>
      </c>
      <c r="B626" s="37"/>
      <c r="C626" s="36"/>
      <c r="D626" s="38" t="str">
        <f>IF($B626="","",SUM(VLOOKUP($B626,DADOS!$C$2:$I1014,4,0)*$C626))</f>
        <v/>
      </c>
      <c r="E626" s="38" t="str">
        <f>IF($B626="","",SUM(VLOOKUP($B626,DADOS!$C$2:$I1014,6,0)*$C626))</f>
        <v/>
      </c>
      <c r="F626" s="39" t="str">
        <f>IF($E626="","",(VLOOKUP($B626,DADOS!$C$2:$I1014,7,0)))</f>
        <v/>
      </c>
      <c r="G626" s="40" t="str">
        <f t="shared" si="2"/>
        <v/>
      </c>
      <c r="H626" s="41"/>
      <c r="I626" s="42"/>
      <c r="J626" s="42"/>
      <c r="K626" s="42"/>
      <c r="L626" s="42"/>
      <c r="M626" s="42"/>
      <c r="N626" s="42"/>
      <c r="O626" s="42"/>
      <c r="P626" s="42"/>
      <c r="Q626" s="42"/>
      <c r="R626" s="42"/>
      <c r="S626" s="42"/>
      <c r="T626" s="42"/>
      <c r="U626" s="42"/>
      <c r="V626" s="42"/>
      <c r="W626" s="42"/>
      <c r="X626" s="42"/>
      <c r="Y626" s="42"/>
      <c r="Z626" s="42"/>
      <c r="AA626" s="42"/>
    </row>
    <row r="627">
      <c r="A627" s="36" t="str">
        <f>IF($B627="","",VLOOKUP($B627,DADOS!$C$2:$I1014,2,0))</f>
        <v/>
      </c>
      <c r="B627" s="37"/>
      <c r="C627" s="36"/>
      <c r="D627" s="38" t="str">
        <f>IF($B627="","",SUM(VLOOKUP($B627,DADOS!$C$2:$I1014,4,0)*$C627))</f>
        <v/>
      </c>
      <c r="E627" s="38" t="str">
        <f>IF($B627="","",SUM(VLOOKUP($B627,DADOS!$C$2:$I1014,6,0)*$C627))</f>
        <v/>
      </c>
      <c r="F627" s="39" t="str">
        <f>IF($E627="","",(VLOOKUP($B627,DADOS!$C$2:$I1014,7,0)))</f>
        <v/>
      </c>
      <c r="G627" s="40" t="str">
        <f t="shared" si="2"/>
        <v/>
      </c>
      <c r="H627" s="41"/>
      <c r="I627" s="42"/>
      <c r="J627" s="42"/>
      <c r="K627" s="42"/>
      <c r="L627" s="42"/>
      <c r="M627" s="42"/>
      <c r="N627" s="42"/>
      <c r="O627" s="42"/>
      <c r="P627" s="42"/>
      <c r="Q627" s="42"/>
      <c r="R627" s="42"/>
      <c r="S627" s="42"/>
      <c r="T627" s="42"/>
      <c r="U627" s="42"/>
      <c r="V627" s="42"/>
      <c r="W627" s="42"/>
      <c r="X627" s="42"/>
      <c r="Y627" s="42"/>
      <c r="Z627" s="42"/>
      <c r="AA627" s="42"/>
    </row>
    <row r="628">
      <c r="A628" s="36" t="str">
        <f>IF($B628="","",VLOOKUP($B628,DADOS!$C$2:$I1014,2,0))</f>
        <v/>
      </c>
      <c r="B628" s="37"/>
      <c r="C628" s="36"/>
      <c r="D628" s="38" t="str">
        <f>IF($B628="","",SUM(VLOOKUP($B628,DADOS!$C$2:$I1014,4,0)*$C628))</f>
        <v/>
      </c>
      <c r="E628" s="38" t="str">
        <f>IF($B628="","",SUM(VLOOKUP($B628,DADOS!$C$2:$I1014,6,0)*$C628))</f>
        <v/>
      </c>
      <c r="F628" s="39" t="str">
        <f>IF($E628="","",(VLOOKUP($B628,DADOS!$C$2:$I1014,7,0)))</f>
        <v/>
      </c>
      <c r="G628" s="40" t="str">
        <f t="shared" si="2"/>
        <v/>
      </c>
      <c r="H628" s="41"/>
      <c r="I628" s="42"/>
      <c r="J628" s="42"/>
      <c r="K628" s="42"/>
      <c r="L628" s="42"/>
      <c r="M628" s="42"/>
      <c r="N628" s="42"/>
      <c r="O628" s="42"/>
      <c r="P628" s="42"/>
      <c r="Q628" s="42"/>
      <c r="R628" s="42"/>
      <c r="S628" s="42"/>
      <c r="T628" s="42"/>
      <c r="U628" s="42"/>
      <c r="V628" s="42"/>
      <c r="W628" s="42"/>
      <c r="X628" s="42"/>
      <c r="Y628" s="42"/>
      <c r="Z628" s="42"/>
      <c r="AA628" s="42"/>
    </row>
    <row r="629">
      <c r="A629" s="36" t="str">
        <f>IF($B629="","",VLOOKUP($B629,DADOS!$C$2:$I1014,2,0))</f>
        <v/>
      </c>
      <c r="B629" s="37"/>
      <c r="C629" s="36"/>
      <c r="D629" s="38" t="str">
        <f>IF($B629="","",SUM(VLOOKUP($B629,DADOS!$C$2:$I1014,4,0)*$C629))</f>
        <v/>
      </c>
      <c r="E629" s="38" t="str">
        <f>IF($B629="","",SUM(VLOOKUP($B629,DADOS!$C$2:$I1014,6,0)*$C629))</f>
        <v/>
      </c>
      <c r="F629" s="39" t="str">
        <f>IF($E629="","",(VLOOKUP($B629,DADOS!$C$2:$I1014,7,0)))</f>
        <v/>
      </c>
      <c r="G629" s="40" t="str">
        <f t="shared" si="2"/>
        <v/>
      </c>
      <c r="H629" s="41"/>
      <c r="I629" s="42"/>
      <c r="J629" s="42"/>
      <c r="K629" s="42"/>
      <c r="L629" s="42"/>
      <c r="M629" s="42"/>
      <c r="N629" s="42"/>
      <c r="O629" s="42"/>
      <c r="P629" s="42"/>
      <c r="Q629" s="42"/>
      <c r="R629" s="42"/>
      <c r="S629" s="42"/>
      <c r="T629" s="42"/>
      <c r="U629" s="42"/>
      <c r="V629" s="42"/>
      <c r="W629" s="42"/>
      <c r="X629" s="42"/>
      <c r="Y629" s="42"/>
      <c r="Z629" s="42"/>
      <c r="AA629" s="42"/>
    </row>
    <row r="630">
      <c r="A630" s="36" t="str">
        <f>IF($B630="","",VLOOKUP($B630,DADOS!$C$2:$I1014,2,0))</f>
        <v/>
      </c>
      <c r="B630" s="37"/>
      <c r="C630" s="36"/>
      <c r="D630" s="38" t="str">
        <f>IF($B630="","",SUM(VLOOKUP($B630,DADOS!$C$2:$I1014,4,0)*$C630))</f>
        <v/>
      </c>
      <c r="E630" s="38" t="str">
        <f>IF($B630="","",SUM(VLOOKUP($B630,DADOS!$C$2:$I1014,6,0)*$C630))</f>
        <v/>
      </c>
      <c r="F630" s="39" t="str">
        <f>IF($E630="","",(VLOOKUP($B630,DADOS!$C$2:$I1014,7,0)))</f>
        <v/>
      </c>
      <c r="G630" s="40" t="str">
        <f t="shared" si="2"/>
        <v/>
      </c>
      <c r="H630" s="41"/>
      <c r="I630" s="42"/>
      <c r="J630" s="42"/>
      <c r="K630" s="42"/>
      <c r="L630" s="42"/>
      <c r="M630" s="42"/>
      <c r="N630" s="42"/>
      <c r="O630" s="42"/>
      <c r="P630" s="42"/>
      <c r="Q630" s="42"/>
      <c r="R630" s="42"/>
      <c r="S630" s="42"/>
      <c r="T630" s="42"/>
      <c r="U630" s="42"/>
      <c r="V630" s="42"/>
      <c r="W630" s="42"/>
      <c r="X630" s="42"/>
      <c r="Y630" s="42"/>
      <c r="Z630" s="42"/>
      <c r="AA630" s="42"/>
    </row>
    <row r="631">
      <c r="A631" s="36" t="str">
        <f>IF($B631="","",VLOOKUP($B631,DADOS!$C$2:$I1014,2,0))</f>
        <v/>
      </c>
      <c r="B631" s="37"/>
      <c r="C631" s="36"/>
      <c r="D631" s="38" t="str">
        <f>IF($B631="","",SUM(VLOOKUP($B631,DADOS!$C$2:$I1014,4,0)*$C631))</f>
        <v/>
      </c>
      <c r="E631" s="38" t="str">
        <f>IF($B631="","",SUM(VLOOKUP($B631,DADOS!$C$2:$I1014,6,0)*$C631))</f>
        <v/>
      </c>
      <c r="F631" s="39" t="str">
        <f>IF($E631="","",(VLOOKUP($B631,DADOS!$C$2:$I1014,7,0)))</f>
        <v/>
      </c>
      <c r="G631" s="40" t="str">
        <f t="shared" si="2"/>
        <v/>
      </c>
      <c r="H631" s="41"/>
      <c r="I631" s="42"/>
      <c r="J631" s="42"/>
      <c r="K631" s="42"/>
      <c r="L631" s="42"/>
      <c r="M631" s="42"/>
      <c r="N631" s="42"/>
      <c r="O631" s="42"/>
      <c r="P631" s="42"/>
      <c r="Q631" s="42"/>
      <c r="R631" s="42"/>
      <c r="S631" s="42"/>
      <c r="T631" s="42"/>
      <c r="U631" s="42"/>
      <c r="V631" s="42"/>
      <c r="W631" s="42"/>
      <c r="X631" s="42"/>
      <c r="Y631" s="42"/>
      <c r="Z631" s="42"/>
      <c r="AA631" s="42"/>
    </row>
    <row r="632">
      <c r="A632" s="36" t="str">
        <f>IF($B632="","",VLOOKUP($B632,DADOS!$C$2:$I1014,2,0))</f>
        <v/>
      </c>
      <c r="B632" s="37"/>
      <c r="C632" s="36"/>
      <c r="D632" s="38" t="str">
        <f>IF($B632="","",SUM(VLOOKUP($B632,DADOS!$C$2:$I1014,4,0)*$C632))</f>
        <v/>
      </c>
      <c r="E632" s="38" t="str">
        <f>IF($B632="","",SUM(VLOOKUP($B632,DADOS!$C$2:$I1014,6,0)*$C632))</f>
        <v/>
      </c>
      <c r="F632" s="39" t="str">
        <f>IF($E632="","",(VLOOKUP($B632,DADOS!$C$2:$I1014,7,0)))</f>
        <v/>
      </c>
      <c r="G632" s="40" t="str">
        <f t="shared" si="2"/>
        <v/>
      </c>
      <c r="H632" s="41"/>
      <c r="I632" s="42"/>
      <c r="J632" s="42"/>
      <c r="K632" s="42"/>
      <c r="L632" s="42"/>
      <c r="M632" s="42"/>
      <c r="N632" s="42"/>
      <c r="O632" s="42"/>
      <c r="P632" s="42"/>
      <c r="Q632" s="42"/>
      <c r="R632" s="42"/>
      <c r="S632" s="42"/>
      <c r="T632" s="42"/>
      <c r="U632" s="42"/>
      <c r="V632" s="42"/>
      <c r="W632" s="42"/>
      <c r="X632" s="42"/>
      <c r="Y632" s="42"/>
      <c r="Z632" s="42"/>
      <c r="AA632" s="42"/>
    </row>
    <row r="633">
      <c r="A633" s="36" t="str">
        <f>IF($B633="","",VLOOKUP($B633,DADOS!$C$2:$I1014,2,0))</f>
        <v/>
      </c>
      <c r="B633" s="37"/>
      <c r="C633" s="36"/>
      <c r="D633" s="38" t="str">
        <f>IF($B633="","",SUM(VLOOKUP($B633,DADOS!$C$2:$I1014,4,0)*$C633))</f>
        <v/>
      </c>
      <c r="E633" s="38" t="str">
        <f>IF($B633="","",SUM(VLOOKUP($B633,DADOS!$C$2:$I1014,6,0)*$C633))</f>
        <v/>
      </c>
      <c r="F633" s="39" t="str">
        <f>IF($E633="","",(VLOOKUP($B633,DADOS!$C$2:$I1014,7,0)))</f>
        <v/>
      </c>
      <c r="G633" s="40" t="str">
        <f t="shared" si="2"/>
        <v/>
      </c>
      <c r="H633" s="41"/>
      <c r="I633" s="42"/>
      <c r="J633" s="42"/>
      <c r="K633" s="42"/>
      <c r="L633" s="42"/>
      <c r="M633" s="42"/>
      <c r="N633" s="42"/>
      <c r="O633" s="42"/>
      <c r="P633" s="42"/>
      <c r="Q633" s="42"/>
      <c r="R633" s="42"/>
      <c r="S633" s="42"/>
      <c r="T633" s="42"/>
      <c r="U633" s="42"/>
      <c r="V633" s="42"/>
      <c r="W633" s="42"/>
      <c r="X633" s="42"/>
      <c r="Y633" s="42"/>
      <c r="Z633" s="42"/>
      <c r="AA633" s="42"/>
    </row>
    <row r="634">
      <c r="A634" s="36" t="str">
        <f>IF($B634="","",VLOOKUP($B634,DADOS!$C$2:$I1014,2,0))</f>
        <v/>
      </c>
      <c r="B634" s="37"/>
      <c r="C634" s="36"/>
      <c r="D634" s="38" t="str">
        <f>IF($B634="","",SUM(VLOOKUP($B634,DADOS!$C$2:$I1014,4,0)*$C634))</f>
        <v/>
      </c>
      <c r="E634" s="38" t="str">
        <f>IF($B634="","",SUM(VLOOKUP($B634,DADOS!$C$2:$I1014,6,0)*$C634))</f>
        <v/>
      </c>
      <c r="F634" s="39" t="str">
        <f>IF($E634="","",(VLOOKUP($B634,DADOS!$C$2:$I1014,7,0)))</f>
        <v/>
      </c>
      <c r="G634" s="40" t="str">
        <f t="shared" si="2"/>
        <v/>
      </c>
      <c r="H634" s="41"/>
      <c r="I634" s="42"/>
      <c r="J634" s="42"/>
      <c r="K634" s="42"/>
      <c r="L634" s="42"/>
      <c r="M634" s="42"/>
      <c r="N634" s="42"/>
      <c r="O634" s="42"/>
      <c r="P634" s="42"/>
      <c r="Q634" s="42"/>
      <c r="R634" s="42"/>
      <c r="S634" s="42"/>
      <c r="T634" s="42"/>
      <c r="U634" s="42"/>
      <c r="V634" s="42"/>
      <c r="W634" s="42"/>
      <c r="X634" s="42"/>
      <c r="Y634" s="42"/>
      <c r="Z634" s="42"/>
      <c r="AA634" s="42"/>
    </row>
    <row r="635">
      <c r="A635" s="36" t="str">
        <f>IF($B635="","",VLOOKUP($B635,DADOS!$C$2:$I1014,2,0))</f>
        <v/>
      </c>
      <c r="B635" s="37"/>
      <c r="C635" s="36"/>
      <c r="D635" s="38" t="str">
        <f>IF($B635="","",SUM(VLOOKUP($B635,DADOS!$C$2:$I1014,4,0)*$C635))</f>
        <v/>
      </c>
      <c r="E635" s="38" t="str">
        <f>IF($B635="","",SUM(VLOOKUP($B635,DADOS!$C$2:$I1014,6,0)*$C635))</f>
        <v/>
      </c>
      <c r="F635" s="39" t="str">
        <f>IF($E635="","",(VLOOKUP($B635,DADOS!$C$2:$I1014,7,0)))</f>
        <v/>
      </c>
      <c r="G635" s="40" t="str">
        <f t="shared" si="2"/>
        <v/>
      </c>
      <c r="H635" s="41"/>
      <c r="I635" s="42"/>
      <c r="J635" s="42"/>
      <c r="K635" s="42"/>
      <c r="L635" s="42"/>
      <c r="M635" s="42"/>
      <c r="N635" s="42"/>
      <c r="O635" s="42"/>
      <c r="P635" s="42"/>
      <c r="Q635" s="42"/>
      <c r="R635" s="42"/>
      <c r="S635" s="42"/>
      <c r="T635" s="42"/>
      <c r="U635" s="42"/>
      <c r="V635" s="42"/>
      <c r="W635" s="42"/>
      <c r="X635" s="42"/>
      <c r="Y635" s="42"/>
      <c r="Z635" s="42"/>
      <c r="AA635" s="42"/>
    </row>
    <row r="636">
      <c r="A636" s="36" t="str">
        <f>IF($B636="","",VLOOKUP($B636,DADOS!$C$2:$I1014,2,0))</f>
        <v/>
      </c>
      <c r="B636" s="37"/>
      <c r="C636" s="36"/>
      <c r="D636" s="38" t="str">
        <f>IF($B636="","",SUM(VLOOKUP($B636,DADOS!$C$2:$I1014,4,0)*$C636))</f>
        <v/>
      </c>
      <c r="E636" s="38" t="str">
        <f>IF($B636="","",SUM(VLOOKUP($B636,DADOS!$C$2:$I1014,6,0)*$C636))</f>
        <v/>
      </c>
      <c r="F636" s="39" t="str">
        <f>IF($E636="","",(VLOOKUP($B636,DADOS!$C$2:$I1014,7,0)))</f>
        <v/>
      </c>
      <c r="G636" s="40" t="str">
        <f t="shared" si="2"/>
        <v/>
      </c>
      <c r="H636" s="41"/>
      <c r="I636" s="42"/>
      <c r="J636" s="42"/>
      <c r="K636" s="42"/>
      <c r="L636" s="42"/>
      <c r="M636" s="42"/>
      <c r="N636" s="42"/>
      <c r="O636" s="42"/>
      <c r="P636" s="42"/>
      <c r="Q636" s="42"/>
      <c r="R636" s="42"/>
      <c r="S636" s="42"/>
      <c r="T636" s="42"/>
      <c r="U636" s="42"/>
      <c r="V636" s="42"/>
      <c r="W636" s="42"/>
      <c r="X636" s="42"/>
      <c r="Y636" s="42"/>
      <c r="Z636" s="42"/>
      <c r="AA636" s="42"/>
    </row>
    <row r="637">
      <c r="A637" s="36" t="str">
        <f>IF($B637="","",VLOOKUP($B637,DADOS!$C$2:$I1014,2,0))</f>
        <v/>
      </c>
      <c r="B637" s="37"/>
      <c r="C637" s="36"/>
      <c r="D637" s="38" t="str">
        <f>IF($B637="","",SUM(VLOOKUP($B637,DADOS!$C$2:$I1014,4,0)*$C637))</f>
        <v/>
      </c>
      <c r="E637" s="38" t="str">
        <f>IF($B637="","",SUM(VLOOKUP($B637,DADOS!$C$2:$I1014,6,0)*$C637))</f>
        <v/>
      </c>
      <c r="F637" s="39" t="str">
        <f>IF($E637="","",(VLOOKUP($B637,DADOS!$C$2:$I1014,7,0)))</f>
        <v/>
      </c>
      <c r="G637" s="40" t="str">
        <f t="shared" si="2"/>
        <v/>
      </c>
      <c r="H637" s="41"/>
      <c r="I637" s="42"/>
      <c r="J637" s="42"/>
      <c r="K637" s="42"/>
      <c r="L637" s="42"/>
      <c r="M637" s="42"/>
      <c r="N637" s="42"/>
      <c r="O637" s="42"/>
      <c r="P637" s="42"/>
      <c r="Q637" s="42"/>
      <c r="R637" s="42"/>
      <c r="S637" s="42"/>
      <c r="T637" s="42"/>
      <c r="U637" s="42"/>
      <c r="V637" s="42"/>
      <c r="W637" s="42"/>
      <c r="X637" s="42"/>
      <c r="Y637" s="42"/>
      <c r="Z637" s="42"/>
      <c r="AA637" s="42"/>
    </row>
    <row r="638">
      <c r="A638" s="36" t="str">
        <f>IF($B638="","",VLOOKUP($B638,DADOS!$C$2:$I1014,2,0))</f>
        <v/>
      </c>
      <c r="B638" s="37"/>
      <c r="C638" s="36"/>
      <c r="D638" s="38" t="str">
        <f>IF($B638="","",SUM(VLOOKUP($B638,DADOS!$C$2:$I1014,4,0)*$C638))</f>
        <v/>
      </c>
      <c r="E638" s="38" t="str">
        <f>IF($B638="","",SUM(VLOOKUP($B638,DADOS!$C$2:$I1014,6,0)*$C638))</f>
        <v/>
      </c>
      <c r="F638" s="39" t="str">
        <f>IF($E638="","",(VLOOKUP($B638,DADOS!$C$2:$I1014,7,0)))</f>
        <v/>
      </c>
      <c r="G638" s="40" t="str">
        <f t="shared" si="2"/>
        <v/>
      </c>
      <c r="H638" s="41"/>
      <c r="I638" s="42"/>
      <c r="J638" s="42"/>
      <c r="K638" s="42"/>
      <c r="L638" s="42"/>
      <c r="M638" s="42"/>
      <c r="N638" s="42"/>
      <c r="O638" s="42"/>
      <c r="P638" s="42"/>
      <c r="Q638" s="42"/>
      <c r="R638" s="42"/>
      <c r="S638" s="42"/>
      <c r="T638" s="42"/>
      <c r="U638" s="42"/>
      <c r="V638" s="42"/>
      <c r="W638" s="42"/>
      <c r="X638" s="42"/>
      <c r="Y638" s="42"/>
      <c r="Z638" s="42"/>
      <c r="AA638" s="42"/>
    </row>
    <row r="639">
      <c r="A639" s="36" t="str">
        <f>IF($B639="","",VLOOKUP($B639,DADOS!$C$2:$I1014,2,0))</f>
        <v/>
      </c>
      <c r="B639" s="37"/>
      <c r="C639" s="36"/>
      <c r="D639" s="38" t="str">
        <f>IF($B639="","",SUM(VLOOKUP($B639,DADOS!$C$2:$I1014,4,0)*$C639))</f>
        <v/>
      </c>
      <c r="E639" s="38" t="str">
        <f>IF($B639="","",SUM(VLOOKUP($B639,DADOS!$C$2:$I1014,6,0)*$C639))</f>
        <v/>
      </c>
      <c r="F639" s="39" t="str">
        <f>IF($E639="","",(VLOOKUP($B639,DADOS!$C$2:$I1014,7,0)))</f>
        <v/>
      </c>
      <c r="G639" s="40" t="str">
        <f t="shared" si="2"/>
        <v/>
      </c>
      <c r="H639" s="41"/>
      <c r="I639" s="42"/>
      <c r="J639" s="42"/>
      <c r="K639" s="42"/>
      <c r="L639" s="42"/>
      <c r="M639" s="42"/>
      <c r="N639" s="42"/>
      <c r="O639" s="42"/>
      <c r="P639" s="42"/>
      <c r="Q639" s="42"/>
      <c r="R639" s="42"/>
      <c r="S639" s="42"/>
      <c r="T639" s="42"/>
      <c r="U639" s="42"/>
      <c r="V639" s="42"/>
      <c r="W639" s="42"/>
      <c r="X639" s="42"/>
      <c r="Y639" s="42"/>
      <c r="Z639" s="42"/>
      <c r="AA639" s="42"/>
    </row>
    <row r="640">
      <c r="A640" s="36" t="str">
        <f>IF($B640="","",VLOOKUP($B640,DADOS!$C$2:$I1014,2,0))</f>
        <v/>
      </c>
      <c r="B640" s="37"/>
      <c r="C640" s="36"/>
      <c r="D640" s="38" t="str">
        <f>IF($B640="","",SUM(VLOOKUP($B640,DADOS!$C$2:$I1014,4,0)*$C640))</f>
        <v/>
      </c>
      <c r="E640" s="38" t="str">
        <f>IF($B640="","",SUM(VLOOKUP($B640,DADOS!$C$2:$I1014,6,0)*$C640))</f>
        <v/>
      </c>
      <c r="F640" s="39" t="str">
        <f>IF($E640="","",(VLOOKUP($B640,DADOS!$C$2:$I1014,7,0)))</f>
        <v/>
      </c>
      <c r="G640" s="40" t="str">
        <f t="shared" si="2"/>
        <v/>
      </c>
      <c r="H640" s="41"/>
      <c r="I640" s="42"/>
      <c r="J640" s="42"/>
      <c r="K640" s="42"/>
      <c r="L640" s="42"/>
      <c r="M640" s="42"/>
      <c r="N640" s="42"/>
      <c r="O640" s="42"/>
      <c r="P640" s="42"/>
      <c r="Q640" s="42"/>
      <c r="R640" s="42"/>
      <c r="S640" s="42"/>
      <c r="T640" s="42"/>
      <c r="U640" s="42"/>
      <c r="V640" s="42"/>
      <c r="W640" s="42"/>
      <c r="X640" s="42"/>
      <c r="Y640" s="42"/>
      <c r="Z640" s="42"/>
      <c r="AA640" s="42"/>
    </row>
    <row r="641">
      <c r="A641" s="36" t="str">
        <f>IF($B641="","",VLOOKUP($B641,DADOS!$C$2:$I1014,2,0))</f>
        <v/>
      </c>
      <c r="B641" s="37"/>
      <c r="C641" s="36"/>
      <c r="D641" s="38" t="str">
        <f>IF($B641="","",SUM(VLOOKUP($B641,DADOS!$C$2:$I1014,4,0)*$C641))</f>
        <v/>
      </c>
      <c r="E641" s="38" t="str">
        <f>IF($B641="","",SUM(VLOOKUP($B641,DADOS!$C$2:$I1014,6,0)*$C641))</f>
        <v/>
      </c>
      <c r="F641" s="39" t="str">
        <f>IF($E641="","",(VLOOKUP($B641,DADOS!$C$2:$I1014,7,0)))</f>
        <v/>
      </c>
      <c r="G641" s="40" t="str">
        <f t="shared" si="2"/>
        <v/>
      </c>
      <c r="H641" s="41"/>
      <c r="I641" s="42"/>
      <c r="J641" s="42"/>
      <c r="K641" s="42"/>
      <c r="L641" s="42"/>
      <c r="M641" s="42"/>
      <c r="N641" s="42"/>
      <c r="O641" s="42"/>
      <c r="P641" s="42"/>
      <c r="Q641" s="42"/>
      <c r="R641" s="42"/>
      <c r="S641" s="42"/>
      <c r="T641" s="42"/>
      <c r="U641" s="42"/>
      <c r="V641" s="42"/>
      <c r="W641" s="42"/>
      <c r="X641" s="42"/>
      <c r="Y641" s="42"/>
      <c r="Z641" s="42"/>
      <c r="AA641" s="42"/>
    </row>
    <row r="642">
      <c r="A642" s="36" t="str">
        <f>IF($B642="","",VLOOKUP($B642,DADOS!$C$2:$I1014,2,0))</f>
        <v/>
      </c>
      <c r="B642" s="37"/>
      <c r="C642" s="36"/>
      <c r="D642" s="38" t="str">
        <f>IF($B642="","",SUM(VLOOKUP($B642,DADOS!$C$2:$I1014,4,0)*$C642))</f>
        <v/>
      </c>
      <c r="E642" s="38" t="str">
        <f>IF($B642="","",SUM(VLOOKUP($B642,DADOS!$C$2:$I1014,6,0)*$C642))</f>
        <v/>
      </c>
      <c r="F642" s="39" t="str">
        <f>IF($E642="","",(VLOOKUP($B642,DADOS!$C$2:$I1014,7,0)))</f>
        <v/>
      </c>
      <c r="G642" s="40" t="str">
        <f t="shared" si="2"/>
        <v/>
      </c>
      <c r="H642" s="41"/>
      <c r="I642" s="42"/>
      <c r="J642" s="42"/>
      <c r="K642" s="42"/>
      <c r="L642" s="42"/>
      <c r="M642" s="42"/>
      <c r="N642" s="42"/>
      <c r="O642" s="42"/>
      <c r="P642" s="42"/>
      <c r="Q642" s="42"/>
      <c r="R642" s="42"/>
      <c r="S642" s="42"/>
      <c r="T642" s="42"/>
      <c r="U642" s="42"/>
      <c r="V642" s="42"/>
      <c r="W642" s="42"/>
      <c r="X642" s="42"/>
      <c r="Y642" s="42"/>
      <c r="Z642" s="42"/>
      <c r="AA642" s="42"/>
    </row>
    <row r="643">
      <c r="A643" s="36" t="str">
        <f>IF($B643="","",VLOOKUP($B643,DADOS!$C$2:$I1014,2,0))</f>
        <v/>
      </c>
      <c r="B643" s="37"/>
      <c r="C643" s="36"/>
      <c r="D643" s="38" t="str">
        <f>IF($B643="","",SUM(VLOOKUP($B643,DADOS!$C$2:$I1014,4,0)*$C643))</f>
        <v/>
      </c>
      <c r="E643" s="38" t="str">
        <f>IF($B643="","",SUM(VLOOKUP($B643,DADOS!$C$2:$I1014,6,0)*$C643))</f>
        <v/>
      </c>
      <c r="F643" s="39" t="str">
        <f>IF($E643="","",(VLOOKUP($B643,DADOS!$C$2:$I1014,7,0)))</f>
        <v/>
      </c>
      <c r="G643" s="40" t="str">
        <f t="shared" si="2"/>
        <v/>
      </c>
      <c r="H643" s="41"/>
      <c r="I643" s="42"/>
      <c r="J643" s="42"/>
      <c r="K643" s="42"/>
      <c r="L643" s="42"/>
      <c r="M643" s="42"/>
      <c r="N643" s="42"/>
      <c r="O643" s="42"/>
      <c r="P643" s="42"/>
      <c r="Q643" s="42"/>
      <c r="R643" s="42"/>
      <c r="S643" s="42"/>
      <c r="T643" s="42"/>
      <c r="U643" s="42"/>
      <c r="V643" s="42"/>
      <c r="W643" s="42"/>
      <c r="X643" s="42"/>
      <c r="Y643" s="42"/>
      <c r="Z643" s="42"/>
      <c r="AA643" s="42"/>
    </row>
    <row r="644">
      <c r="A644" s="36" t="str">
        <f>IF($B644="","",VLOOKUP($B644,DADOS!$C$2:$I1014,2,0))</f>
        <v/>
      </c>
      <c r="B644" s="37"/>
      <c r="C644" s="36"/>
      <c r="D644" s="38" t="str">
        <f>IF($B644="","",SUM(VLOOKUP($B644,DADOS!$C$2:$I1014,4,0)*$C644))</f>
        <v/>
      </c>
      <c r="E644" s="38" t="str">
        <f>IF($B644="","",SUM(VLOOKUP($B644,DADOS!$C$2:$I1014,6,0)*$C644))</f>
        <v/>
      </c>
      <c r="F644" s="39" t="str">
        <f>IF($E644="","",(VLOOKUP($B644,DADOS!$C$2:$I1014,7,0)))</f>
        <v/>
      </c>
      <c r="G644" s="40" t="str">
        <f t="shared" si="2"/>
        <v/>
      </c>
      <c r="H644" s="41"/>
      <c r="I644" s="42"/>
      <c r="J644" s="42"/>
      <c r="K644" s="42"/>
      <c r="L644" s="42"/>
      <c r="M644" s="42"/>
      <c r="N644" s="42"/>
      <c r="O644" s="42"/>
      <c r="P644" s="42"/>
      <c r="Q644" s="42"/>
      <c r="R644" s="42"/>
      <c r="S644" s="42"/>
      <c r="T644" s="42"/>
      <c r="U644" s="42"/>
      <c r="V644" s="42"/>
      <c r="W644" s="42"/>
      <c r="X644" s="42"/>
      <c r="Y644" s="42"/>
      <c r="Z644" s="42"/>
      <c r="AA644" s="42"/>
    </row>
    <row r="645">
      <c r="A645" s="36" t="str">
        <f>IF($B645="","",VLOOKUP($B645,DADOS!$C$2:$I1014,2,0))</f>
        <v/>
      </c>
      <c r="B645" s="37"/>
      <c r="C645" s="36"/>
      <c r="D645" s="38" t="str">
        <f>IF($B645="","",SUM(VLOOKUP($B645,DADOS!$C$2:$I1014,4,0)*$C645))</f>
        <v/>
      </c>
      <c r="E645" s="38" t="str">
        <f>IF($B645="","",SUM(VLOOKUP($B645,DADOS!$C$2:$I1014,6,0)*$C645))</f>
        <v/>
      </c>
      <c r="F645" s="39" t="str">
        <f>IF($E645="","",(VLOOKUP($B645,DADOS!$C$2:$I1014,7,0)))</f>
        <v/>
      </c>
      <c r="G645" s="40" t="str">
        <f t="shared" si="2"/>
        <v/>
      </c>
      <c r="H645" s="41"/>
      <c r="I645" s="42"/>
      <c r="J645" s="42"/>
      <c r="K645" s="42"/>
      <c r="L645" s="42"/>
      <c r="M645" s="42"/>
      <c r="N645" s="42"/>
      <c r="O645" s="42"/>
      <c r="P645" s="42"/>
      <c r="Q645" s="42"/>
      <c r="R645" s="42"/>
      <c r="S645" s="42"/>
      <c r="T645" s="42"/>
      <c r="U645" s="42"/>
      <c r="V645" s="42"/>
      <c r="W645" s="42"/>
      <c r="X645" s="42"/>
      <c r="Y645" s="42"/>
      <c r="Z645" s="42"/>
      <c r="AA645" s="42"/>
    </row>
    <row r="646">
      <c r="A646" s="36" t="str">
        <f>IF($B646="","",VLOOKUP($B646,DADOS!$C$2:$I1014,2,0))</f>
        <v/>
      </c>
      <c r="B646" s="37"/>
      <c r="C646" s="36"/>
      <c r="D646" s="38" t="str">
        <f>IF($B646="","",SUM(VLOOKUP($B646,DADOS!$C$2:$I1014,4,0)*$C646))</f>
        <v/>
      </c>
      <c r="E646" s="38" t="str">
        <f>IF($B646="","",SUM(VLOOKUP($B646,DADOS!$C$2:$I1014,6,0)*$C646))</f>
        <v/>
      </c>
      <c r="F646" s="39" t="str">
        <f>IF($E646="","",(VLOOKUP($B646,DADOS!$C$2:$I1014,7,0)))</f>
        <v/>
      </c>
      <c r="G646" s="40" t="str">
        <f t="shared" si="2"/>
        <v/>
      </c>
      <c r="H646" s="41"/>
      <c r="I646" s="42"/>
      <c r="J646" s="42"/>
      <c r="K646" s="42"/>
      <c r="L646" s="42"/>
      <c r="M646" s="42"/>
      <c r="N646" s="42"/>
      <c r="O646" s="42"/>
      <c r="P646" s="42"/>
      <c r="Q646" s="42"/>
      <c r="R646" s="42"/>
      <c r="S646" s="42"/>
      <c r="T646" s="42"/>
      <c r="U646" s="42"/>
      <c r="V646" s="42"/>
      <c r="W646" s="42"/>
      <c r="X646" s="42"/>
      <c r="Y646" s="42"/>
      <c r="Z646" s="42"/>
      <c r="AA646" s="42"/>
    </row>
    <row r="647">
      <c r="A647" s="36" t="str">
        <f>IF($B647="","",VLOOKUP($B647,DADOS!$C$2:$I1014,2,0))</f>
        <v/>
      </c>
      <c r="B647" s="37"/>
      <c r="C647" s="36"/>
      <c r="D647" s="38" t="str">
        <f>IF($B647="","",SUM(VLOOKUP($B647,DADOS!$C$2:$I1014,4,0)*$C647))</f>
        <v/>
      </c>
      <c r="E647" s="38" t="str">
        <f>IF($B647="","",SUM(VLOOKUP($B647,DADOS!$C$2:$I1014,6,0)*$C647))</f>
        <v/>
      </c>
      <c r="F647" s="39" t="str">
        <f>IF($E647="","",(VLOOKUP($B647,DADOS!$C$2:$I1014,7,0)))</f>
        <v/>
      </c>
      <c r="G647" s="40" t="str">
        <f t="shared" si="2"/>
        <v/>
      </c>
      <c r="H647" s="41"/>
      <c r="I647" s="42"/>
      <c r="J647" s="42"/>
      <c r="K647" s="42"/>
      <c r="L647" s="42"/>
      <c r="M647" s="42"/>
      <c r="N647" s="42"/>
      <c r="O647" s="42"/>
      <c r="P647" s="42"/>
      <c r="Q647" s="42"/>
      <c r="R647" s="42"/>
      <c r="S647" s="42"/>
      <c r="T647" s="42"/>
      <c r="U647" s="42"/>
      <c r="V647" s="42"/>
      <c r="W647" s="42"/>
      <c r="X647" s="42"/>
      <c r="Y647" s="42"/>
      <c r="Z647" s="42"/>
      <c r="AA647" s="42"/>
    </row>
    <row r="648">
      <c r="A648" s="36" t="str">
        <f>IF($B648="","",VLOOKUP($B648,DADOS!$C$2:$I1014,2,0))</f>
        <v/>
      </c>
      <c r="B648" s="37"/>
      <c r="C648" s="36"/>
      <c r="D648" s="38" t="str">
        <f>IF($B648="","",SUM(VLOOKUP($B648,DADOS!$C$2:$I1014,4,0)*$C648))</f>
        <v/>
      </c>
      <c r="E648" s="38" t="str">
        <f>IF($B648="","",SUM(VLOOKUP($B648,DADOS!$C$2:$I1014,6,0)*$C648))</f>
        <v/>
      </c>
      <c r="F648" s="39" t="str">
        <f>IF($E648="","",(VLOOKUP($B648,DADOS!$C$2:$I1014,7,0)))</f>
        <v/>
      </c>
      <c r="G648" s="40" t="str">
        <f t="shared" si="2"/>
        <v/>
      </c>
      <c r="H648" s="41"/>
      <c r="I648" s="42"/>
      <c r="J648" s="42"/>
      <c r="K648" s="42"/>
      <c r="L648" s="42"/>
      <c r="M648" s="42"/>
      <c r="N648" s="42"/>
      <c r="O648" s="42"/>
      <c r="P648" s="42"/>
      <c r="Q648" s="42"/>
      <c r="R648" s="42"/>
      <c r="S648" s="42"/>
      <c r="T648" s="42"/>
      <c r="U648" s="42"/>
      <c r="V648" s="42"/>
      <c r="W648" s="42"/>
      <c r="X648" s="42"/>
      <c r="Y648" s="42"/>
      <c r="Z648" s="42"/>
      <c r="AA648" s="42"/>
    </row>
    <row r="649">
      <c r="A649" s="36" t="str">
        <f>IF($B649="","",VLOOKUP($B649,DADOS!$C$2:$I1014,2,0))</f>
        <v/>
      </c>
      <c r="B649" s="37"/>
      <c r="C649" s="36"/>
      <c r="D649" s="38" t="str">
        <f>IF($B649="","",SUM(VLOOKUP($B649,DADOS!$C$2:$I1014,4,0)*$C649))</f>
        <v/>
      </c>
      <c r="E649" s="38" t="str">
        <f>IF($B649="","",SUM(VLOOKUP($B649,DADOS!$C$2:$I1014,6,0)*$C649))</f>
        <v/>
      </c>
      <c r="F649" s="39" t="str">
        <f>IF($E649="","",(VLOOKUP($B649,DADOS!$C$2:$I1014,7,0)))</f>
        <v/>
      </c>
      <c r="G649" s="40" t="str">
        <f t="shared" si="2"/>
        <v/>
      </c>
      <c r="H649" s="41"/>
      <c r="I649" s="42"/>
      <c r="J649" s="42"/>
      <c r="K649" s="42"/>
      <c r="L649" s="42"/>
      <c r="M649" s="42"/>
      <c r="N649" s="42"/>
      <c r="O649" s="42"/>
      <c r="P649" s="42"/>
      <c r="Q649" s="42"/>
      <c r="R649" s="42"/>
      <c r="S649" s="42"/>
      <c r="T649" s="42"/>
      <c r="U649" s="42"/>
      <c r="V649" s="42"/>
      <c r="W649" s="42"/>
      <c r="X649" s="42"/>
      <c r="Y649" s="42"/>
      <c r="Z649" s="42"/>
      <c r="AA649" s="42"/>
    </row>
    <row r="650">
      <c r="A650" s="36" t="str">
        <f>IF($B650="","",VLOOKUP($B650,DADOS!$C$2:$I1014,2,0))</f>
        <v/>
      </c>
      <c r="B650" s="37"/>
      <c r="C650" s="36"/>
      <c r="D650" s="38" t="str">
        <f>IF($B650="","",SUM(VLOOKUP($B650,DADOS!$C$2:$I1014,4,0)*$C650))</f>
        <v/>
      </c>
      <c r="E650" s="38" t="str">
        <f>IF($B650="","",SUM(VLOOKUP($B650,DADOS!$C$2:$I1014,6,0)*$C650))</f>
        <v/>
      </c>
      <c r="F650" s="39" t="str">
        <f>IF($E650="","",(VLOOKUP($B650,DADOS!$C$2:$I1014,7,0)))</f>
        <v/>
      </c>
      <c r="G650" s="40" t="str">
        <f t="shared" si="2"/>
        <v/>
      </c>
      <c r="H650" s="41"/>
      <c r="I650" s="42"/>
      <c r="J650" s="42"/>
      <c r="K650" s="42"/>
      <c r="L650" s="42"/>
      <c r="M650" s="42"/>
      <c r="N650" s="42"/>
      <c r="O650" s="42"/>
      <c r="P650" s="42"/>
      <c r="Q650" s="42"/>
      <c r="R650" s="42"/>
      <c r="S650" s="42"/>
      <c r="T650" s="42"/>
      <c r="U650" s="42"/>
      <c r="V650" s="42"/>
      <c r="W650" s="42"/>
      <c r="X650" s="42"/>
      <c r="Y650" s="42"/>
      <c r="Z650" s="42"/>
      <c r="AA650" s="42"/>
    </row>
    <row r="651">
      <c r="A651" s="36" t="str">
        <f>IF($B651="","",VLOOKUP($B651,DADOS!$C$2:$I1014,2,0))</f>
        <v/>
      </c>
      <c r="B651" s="37"/>
      <c r="C651" s="36"/>
      <c r="D651" s="38" t="str">
        <f>IF($B651="","",SUM(VLOOKUP($B651,DADOS!$C$2:$I1014,4,0)*$C651))</f>
        <v/>
      </c>
      <c r="E651" s="38" t="str">
        <f>IF($B651="","",SUM(VLOOKUP($B651,DADOS!$C$2:$I1014,6,0)*$C651))</f>
        <v/>
      </c>
      <c r="F651" s="39" t="str">
        <f>IF($E651="","",(VLOOKUP($B651,DADOS!$C$2:$I1014,7,0)))</f>
        <v/>
      </c>
      <c r="G651" s="40" t="str">
        <f t="shared" si="2"/>
        <v/>
      </c>
      <c r="H651" s="41"/>
      <c r="I651" s="42"/>
      <c r="J651" s="42"/>
      <c r="K651" s="42"/>
      <c r="L651" s="42"/>
      <c r="M651" s="42"/>
      <c r="N651" s="42"/>
      <c r="O651" s="42"/>
      <c r="P651" s="42"/>
      <c r="Q651" s="42"/>
      <c r="R651" s="42"/>
      <c r="S651" s="42"/>
      <c r="T651" s="42"/>
      <c r="U651" s="42"/>
      <c r="V651" s="42"/>
      <c r="W651" s="42"/>
      <c r="X651" s="42"/>
      <c r="Y651" s="42"/>
      <c r="Z651" s="42"/>
      <c r="AA651" s="42"/>
    </row>
    <row r="652">
      <c r="A652" s="36" t="str">
        <f>IF($B652="","",VLOOKUP($B652,DADOS!$C$2:$I1014,2,0))</f>
        <v/>
      </c>
      <c r="B652" s="37"/>
      <c r="C652" s="36"/>
      <c r="D652" s="38" t="str">
        <f>IF($B652="","",SUM(VLOOKUP($B652,DADOS!$C$2:$I1014,4,0)*$C652))</f>
        <v/>
      </c>
      <c r="E652" s="38" t="str">
        <f>IF($B652="","",SUM(VLOOKUP($B652,DADOS!$C$2:$I1014,6,0)*$C652))</f>
        <v/>
      </c>
      <c r="F652" s="39" t="str">
        <f>IF($E652="","",(VLOOKUP($B652,DADOS!$C$2:$I1014,7,0)))</f>
        <v/>
      </c>
      <c r="G652" s="40" t="str">
        <f t="shared" si="2"/>
        <v/>
      </c>
      <c r="H652" s="41"/>
      <c r="I652" s="42"/>
      <c r="J652" s="42"/>
      <c r="K652" s="42"/>
      <c r="L652" s="42"/>
      <c r="M652" s="42"/>
      <c r="N652" s="42"/>
      <c r="O652" s="42"/>
      <c r="P652" s="42"/>
      <c r="Q652" s="42"/>
      <c r="R652" s="42"/>
      <c r="S652" s="42"/>
      <c r="T652" s="42"/>
      <c r="U652" s="42"/>
      <c r="V652" s="42"/>
      <c r="W652" s="42"/>
      <c r="X652" s="42"/>
      <c r="Y652" s="42"/>
      <c r="Z652" s="42"/>
      <c r="AA652" s="42"/>
    </row>
    <row r="653">
      <c r="A653" s="36" t="str">
        <f>IF($B653="","",VLOOKUP($B653,DADOS!$C$2:$I1014,2,0))</f>
        <v/>
      </c>
      <c r="B653" s="37"/>
      <c r="C653" s="36"/>
      <c r="D653" s="38" t="str">
        <f>IF($B653="","",SUM(VLOOKUP($B653,DADOS!$C$2:$I1014,4,0)*$C653))</f>
        <v/>
      </c>
      <c r="E653" s="38" t="str">
        <f>IF($B653="","",SUM(VLOOKUP($B653,DADOS!$C$2:$I1014,6,0)*$C653))</f>
        <v/>
      </c>
      <c r="F653" s="39" t="str">
        <f>IF($E653="","",(VLOOKUP($B653,DADOS!$C$2:$I1014,7,0)))</f>
        <v/>
      </c>
      <c r="G653" s="40" t="str">
        <f t="shared" si="2"/>
        <v/>
      </c>
      <c r="H653" s="41"/>
      <c r="I653" s="42"/>
      <c r="J653" s="42"/>
      <c r="K653" s="42"/>
      <c r="L653" s="42"/>
      <c r="M653" s="42"/>
      <c r="N653" s="42"/>
      <c r="O653" s="42"/>
      <c r="P653" s="42"/>
      <c r="Q653" s="42"/>
      <c r="R653" s="42"/>
      <c r="S653" s="42"/>
      <c r="T653" s="42"/>
      <c r="U653" s="42"/>
      <c r="V653" s="42"/>
      <c r="W653" s="42"/>
      <c r="X653" s="42"/>
      <c r="Y653" s="42"/>
      <c r="Z653" s="42"/>
      <c r="AA653" s="42"/>
    </row>
    <row r="654">
      <c r="A654" s="36" t="str">
        <f>IF($B654="","",VLOOKUP($B654,DADOS!$C$2:$I1014,2,0))</f>
        <v/>
      </c>
      <c r="B654" s="37"/>
      <c r="C654" s="36"/>
      <c r="D654" s="38" t="str">
        <f>IF($B654="","",SUM(VLOOKUP($B654,DADOS!$C$2:$I1014,4,0)*$C654))</f>
        <v/>
      </c>
      <c r="E654" s="38" t="str">
        <f>IF($B654="","",SUM(VLOOKUP($B654,DADOS!$C$2:$I1014,6,0)*$C654))</f>
        <v/>
      </c>
      <c r="F654" s="39" t="str">
        <f>IF($E654="","",(VLOOKUP($B654,DADOS!$C$2:$I1014,7,0)))</f>
        <v/>
      </c>
      <c r="G654" s="40" t="str">
        <f t="shared" si="2"/>
        <v/>
      </c>
      <c r="H654" s="41"/>
      <c r="I654" s="42"/>
      <c r="J654" s="42"/>
      <c r="K654" s="42"/>
      <c r="L654" s="42"/>
      <c r="M654" s="42"/>
      <c r="N654" s="42"/>
      <c r="O654" s="42"/>
      <c r="P654" s="42"/>
      <c r="Q654" s="42"/>
      <c r="R654" s="42"/>
      <c r="S654" s="42"/>
      <c r="T654" s="42"/>
      <c r="U654" s="42"/>
      <c r="V654" s="42"/>
      <c r="W654" s="42"/>
      <c r="X654" s="42"/>
      <c r="Y654" s="42"/>
      <c r="Z654" s="42"/>
      <c r="AA654" s="42"/>
    </row>
    <row r="655">
      <c r="A655" s="36" t="str">
        <f>IF($B655="","",VLOOKUP($B655,DADOS!$C$2:$I1014,2,0))</f>
        <v/>
      </c>
      <c r="B655" s="37"/>
      <c r="C655" s="36"/>
      <c r="D655" s="38" t="str">
        <f>IF($B655="","",SUM(VLOOKUP($B655,DADOS!$C$2:$I1014,4,0)*$C655))</f>
        <v/>
      </c>
      <c r="E655" s="38" t="str">
        <f>IF($B655="","",SUM(VLOOKUP($B655,DADOS!$C$2:$I1014,6,0)*$C655))</f>
        <v/>
      </c>
      <c r="F655" s="39" t="str">
        <f>IF($E655="","",(VLOOKUP($B655,DADOS!$C$2:$I1014,7,0)))</f>
        <v/>
      </c>
      <c r="G655" s="40" t="str">
        <f t="shared" si="2"/>
        <v/>
      </c>
      <c r="H655" s="41"/>
      <c r="I655" s="42"/>
      <c r="J655" s="42"/>
      <c r="K655" s="42"/>
      <c r="L655" s="42"/>
      <c r="M655" s="42"/>
      <c r="N655" s="42"/>
      <c r="O655" s="42"/>
      <c r="P655" s="42"/>
      <c r="Q655" s="42"/>
      <c r="R655" s="42"/>
      <c r="S655" s="42"/>
      <c r="T655" s="42"/>
      <c r="U655" s="42"/>
      <c r="V655" s="42"/>
      <c r="W655" s="42"/>
      <c r="X655" s="42"/>
      <c r="Y655" s="42"/>
      <c r="Z655" s="42"/>
      <c r="AA655" s="42"/>
    </row>
    <row r="656">
      <c r="A656" s="36" t="str">
        <f>IF($B656="","",VLOOKUP($B656,DADOS!$C$2:$I1014,2,0))</f>
        <v/>
      </c>
      <c r="B656" s="37"/>
      <c r="C656" s="36"/>
      <c r="D656" s="38" t="str">
        <f>IF($B656="","",SUM(VLOOKUP($B656,DADOS!$C$2:$I1014,4,0)*$C656))</f>
        <v/>
      </c>
      <c r="E656" s="38" t="str">
        <f>IF($B656="","",SUM(VLOOKUP($B656,DADOS!$C$2:$I1014,6,0)*$C656))</f>
        <v/>
      </c>
      <c r="F656" s="39" t="str">
        <f>IF($E656="","",(VLOOKUP($B656,DADOS!$C$2:$I1014,7,0)))</f>
        <v/>
      </c>
      <c r="G656" s="40" t="str">
        <f t="shared" si="2"/>
        <v/>
      </c>
      <c r="H656" s="41"/>
      <c r="I656" s="42"/>
      <c r="J656" s="42"/>
      <c r="K656" s="42"/>
      <c r="L656" s="42"/>
      <c r="M656" s="42"/>
      <c r="N656" s="42"/>
      <c r="O656" s="42"/>
      <c r="P656" s="42"/>
      <c r="Q656" s="42"/>
      <c r="R656" s="42"/>
      <c r="S656" s="42"/>
      <c r="T656" s="42"/>
      <c r="U656" s="42"/>
      <c r="V656" s="42"/>
      <c r="W656" s="42"/>
      <c r="X656" s="42"/>
      <c r="Y656" s="42"/>
      <c r="Z656" s="42"/>
      <c r="AA656" s="42"/>
    </row>
    <row r="657">
      <c r="A657" s="36" t="str">
        <f>IF($B657="","",VLOOKUP($B657,DADOS!$C$2:$I1014,2,0))</f>
        <v/>
      </c>
      <c r="B657" s="37"/>
      <c r="C657" s="36"/>
      <c r="D657" s="38" t="str">
        <f>IF($B657="","",SUM(VLOOKUP($B657,DADOS!$C$2:$I1014,4,0)*$C657))</f>
        <v/>
      </c>
      <c r="E657" s="38" t="str">
        <f>IF($B657="","",SUM(VLOOKUP($B657,DADOS!$C$2:$I1014,6,0)*$C657))</f>
        <v/>
      </c>
      <c r="F657" s="39" t="str">
        <f>IF($E657="","",(VLOOKUP($B657,DADOS!$C$2:$I1014,7,0)))</f>
        <v/>
      </c>
      <c r="G657" s="40" t="str">
        <f t="shared" si="2"/>
        <v/>
      </c>
      <c r="H657" s="41"/>
      <c r="I657" s="42"/>
      <c r="J657" s="42"/>
      <c r="K657" s="42"/>
      <c r="L657" s="42"/>
      <c r="M657" s="42"/>
      <c r="N657" s="42"/>
      <c r="O657" s="42"/>
      <c r="P657" s="42"/>
      <c r="Q657" s="42"/>
      <c r="R657" s="42"/>
      <c r="S657" s="42"/>
      <c r="T657" s="42"/>
      <c r="U657" s="42"/>
      <c r="V657" s="42"/>
      <c r="W657" s="42"/>
      <c r="X657" s="42"/>
      <c r="Y657" s="42"/>
      <c r="Z657" s="42"/>
      <c r="AA657" s="42"/>
    </row>
    <row r="658">
      <c r="A658" s="36" t="str">
        <f>IF($B658="","",VLOOKUP($B658,DADOS!$C$2:$I1014,2,0))</f>
        <v/>
      </c>
      <c r="B658" s="37"/>
      <c r="C658" s="36"/>
      <c r="D658" s="38" t="str">
        <f>IF($B658="","",SUM(VLOOKUP($B658,DADOS!$C$2:$I1014,4,0)*$C658))</f>
        <v/>
      </c>
      <c r="E658" s="38" t="str">
        <f>IF($B658="","",SUM(VLOOKUP($B658,DADOS!$C$2:$I1014,6,0)*$C658))</f>
        <v/>
      </c>
      <c r="F658" s="39" t="str">
        <f>IF($E658="","",(VLOOKUP($B658,DADOS!$C$2:$I1014,7,0)))</f>
        <v/>
      </c>
      <c r="G658" s="40" t="str">
        <f t="shared" si="2"/>
        <v/>
      </c>
      <c r="H658" s="41"/>
      <c r="I658" s="42"/>
      <c r="J658" s="42"/>
      <c r="K658" s="42"/>
      <c r="L658" s="42"/>
      <c r="M658" s="42"/>
      <c r="N658" s="42"/>
      <c r="O658" s="42"/>
      <c r="P658" s="42"/>
      <c r="Q658" s="42"/>
      <c r="R658" s="42"/>
      <c r="S658" s="42"/>
      <c r="T658" s="42"/>
      <c r="U658" s="42"/>
      <c r="V658" s="42"/>
      <c r="W658" s="42"/>
      <c r="X658" s="42"/>
      <c r="Y658" s="42"/>
      <c r="Z658" s="42"/>
      <c r="AA658" s="42"/>
    </row>
    <row r="659">
      <c r="A659" s="36" t="str">
        <f>IF($B659="","",VLOOKUP($B659,DADOS!$C$2:$I1014,2,0))</f>
        <v/>
      </c>
      <c r="B659" s="37"/>
      <c r="C659" s="36"/>
      <c r="D659" s="38" t="str">
        <f>IF($B659="","",SUM(VLOOKUP($B659,DADOS!$C$2:$I1014,4,0)*$C659))</f>
        <v/>
      </c>
      <c r="E659" s="38" t="str">
        <f>IF($B659="","",SUM(VLOOKUP($B659,DADOS!$C$2:$I1014,6,0)*$C659))</f>
        <v/>
      </c>
      <c r="F659" s="39" t="str">
        <f>IF($E659="","",(VLOOKUP($B659,DADOS!$C$2:$I1014,7,0)))</f>
        <v/>
      </c>
      <c r="G659" s="40" t="str">
        <f t="shared" si="2"/>
        <v/>
      </c>
      <c r="H659" s="41"/>
      <c r="I659" s="42"/>
      <c r="J659" s="42"/>
      <c r="K659" s="42"/>
      <c r="L659" s="42"/>
      <c r="M659" s="42"/>
      <c r="N659" s="42"/>
      <c r="O659" s="42"/>
      <c r="P659" s="42"/>
      <c r="Q659" s="42"/>
      <c r="R659" s="42"/>
      <c r="S659" s="42"/>
      <c r="T659" s="42"/>
      <c r="U659" s="42"/>
      <c r="V659" s="42"/>
      <c r="W659" s="42"/>
      <c r="X659" s="42"/>
      <c r="Y659" s="42"/>
      <c r="Z659" s="42"/>
      <c r="AA659" s="42"/>
    </row>
    <row r="660">
      <c r="A660" s="36" t="str">
        <f>IF($B660="","",VLOOKUP($B660,DADOS!$C$2:$I1014,2,0))</f>
        <v/>
      </c>
      <c r="B660" s="37"/>
      <c r="C660" s="36"/>
      <c r="D660" s="38" t="str">
        <f>IF($B660="","",SUM(VLOOKUP($B660,DADOS!$C$2:$I1014,4,0)*$C660))</f>
        <v/>
      </c>
      <c r="E660" s="38" t="str">
        <f>IF($B660="","",SUM(VLOOKUP($B660,DADOS!$C$2:$I1014,6,0)*$C660))</f>
        <v/>
      </c>
      <c r="F660" s="39" t="str">
        <f>IF($E660="","",(VLOOKUP($B660,DADOS!$C$2:$I1014,7,0)))</f>
        <v/>
      </c>
      <c r="G660" s="40" t="str">
        <f t="shared" si="2"/>
        <v/>
      </c>
      <c r="H660" s="41"/>
      <c r="I660" s="42"/>
      <c r="J660" s="42"/>
      <c r="K660" s="42"/>
      <c r="L660" s="42"/>
      <c r="M660" s="42"/>
      <c r="N660" s="42"/>
      <c r="O660" s="42"/>
      <c r="P660" s="42"/>
      <c r="Q660" s="42"/>
      <c r="R660" s="42"/>
      <c r="S660" s="42"/>
      <c r="T660" s="42"/>
      <c r="U660" s="42"/>
      <c r="V660" s="42"/>
      <c r="W660" s="42"/>
      <c r="X660" s="42"/>
      <c r="Y660" s="42"/>
      <c r="Z660" s="42"/>
      <c r="AA660" s="42"/>
    </row>
    <row r="661">
      <c r="A661" s="36" t="str">
        <f>IF($B661="","",VLOOKUP($B661,DADOS!$C$2:$I1014,2,0))</f>
        <v/>
      </c>
      <c r="B661" s="37"/>
      <c r="C661" s="36"/>
      <c r="D661" s="38" t="str">
        <f>IF($B661="","",SUM(VLOOKUP($B661,DADOS!$C$2:$I1014,4,0)*$C661))</f>
        <v/>
      </c>
      <c r="E661" s="38" t="str">
        <f>IF($B661="","",SUM(VLOOKUP($B661,DADOS!$C$2:$I1014,6,0)*$C661))</f>
        <v/>
      </c>
      <c r="F661" s="39" t="str">
        <f>IF($E661="","",(VLOOKUP($B661,DADOS!$C$2:$I1014,7,0)))</f>
        <v/>
      </c>
      <c r="G661" s="40" t="str">
        <f t="shared" si="2"/>
        <v/>
      </c>
      <c r="H661" s="41"/>
      <c r="I661" s="42"/>
      <c r="J661" s="42"/>
      <c r="K661" s="42"/>
      <c r="L661" s="42"/>
      <c r="M661" s="42"/>
      <c r="N661" s="42"/>
      <c r="O661" s="42"/>
      <c r="P661" s="42"/>
      <c r="Q661" s="42"/>
      <c r="R661" s="42"/>
      <c r="S661" s="42"/>
      <c r="T661" s="42"/>
      <c r="U661" s="42"/>
      <c r="V661" s="42"/>
      <c r="W661" s="42"/>
      <c r="X661" s="42"/>
      <c r="Y661" s="42"/>
      <c r="Z661" s="42"/>
      <c r="AA661" s="42"/>
    </row>
    <row r="662">
      <c r="A662" s="36" t="str">
        <f>IF($B662="","",VLOOKUP($B662,DADOS!$C$2:$I1014,2,0))</f>
        <v/>
      </c>
      <c r="B662" s="37"/>
      <c r="C662" s="36"/>
      <c r="D662" s="38" t="str">
        <f>IF($B662="","",SUM(VLOOKUP($B662,DADOS!$C$2:$I1014,4,0)*$C662))</f>
        <v/>
      </c>
      <c r="E662" s="38" t="str">
        <f>IF($B662="","",SUM(VLOOKUP($B662,DADOS!$C$2:$I1014,6,0)*$C662))</f>
        <v/>
      </c>
      <c r="F662" s="39" t="str">
        <f>IF($E662="","",(VLOOKUP($B662,DADOS!$C$2:$I1014,7,0)))</f>
        <v/>
      </c>
      <c r="G662" s="40" t="str">
        <f t="shared" si="2"/>
        <v/>
      </c>
      <c r="H662" s="41"/>
      <c r="I662" s="42"/>
      <c r="J662" s="42"/>
      <c r="K662" s="42"/>
      <c r="L662" s="42"/>
      <c r="M662" s="42"/>
      <c r="N662" s="42"/>
      <c r="O662" s="42"/>
      <c r="P662" s="42"/>
      <c r="Q662" s="42"/>
      <c r="R662" s="42"/>
      <c r="S662" s="42"/>
      <c r="T662" s="42"/>
      <c r="U662" s="42"/>
      <c r="V662" s="42"/>
      <c r="W662" s="42"/>
      <c r="X662" s="42"/>
      <c r="Y662" s="42"/>
      <c r="Z662" s="42"/>
      <c r="AA662" s="42"/>
    </row>
    <row r="663">
      <c r="A663" s="36" t="str">
        <f>IF($B663="","",VLOOKUP($B663,DADOS!$C$2:$I1014,2,0))</f>
        <v/>
      </c>
      <c r="B663" s="37"/>
      <c r="C663" s="36"/>
      <c r="D663" s="38" t="str">
        <f>IF($B663="","",SUM(VLOOKUP($B663,DADOS!$C$2:$I1014,4,0)*$C663))</f>
        <v/>
      </c>
      <c r="E663" s="38" t="str">
        <f>IF($B663="","",SUM(VLOOKUP($B663,DADOS!$C$2:$I1014,6,0)*$C663))</f>
        <v/>
      </c>
      <c r="F663" s="39" t="str">
        <f>IF($E663="","",(VLOOKUP($B663,DADOS!$C$2:$I1014,7,0)))</f>
        <v/>
      </c>
      <c r="G663" s="40" t="str">
        <f t="shared" si="2"/>
        <v/>
      </c>
      <c r="H663" s="41"/>
      <c r="I663" s="42"/>
      <c r="J663" s="42"/>
      <c r="K663" s="42"/>
      <c r="L663" s="42"/>
      <c r="M663" s="42"/>
      <c r="N663" s="42"/>
      <c r="O663" s="42"/>
      <c r="P663" s="42"/>
      <c r="Q663" s="42"/>
      <c r="R663" s="42"/>
      <c r="S663" s="42"/>
      <c r="T663" s="42"/>
      <c r="U663" s="42"/>
      <c r="V663" s="42"/>
      <c r="W663" s="42"/>
      <c r="X663" s="42"/>
      <c r="Y663" s="42"/>
      <c r="Z663" s="42"/>
      <c r="AA663" s="42"/>
    </row>
    <row r="664">
      <c r="A664" s="36" t="str">
        <f>IF($B664="","",VLOOKUP($B664,DADOS!$C$2:$I1014,2,0))</f>
        <v/>
      </c>
      <c r="B664" s="37"/>
      <c r="C664" s="36"/>
      <c r="D664" s="38" t="str">
        <f>IF($B664="","",SUM(VLOOKUP($B664,DADOS!$C$2:$I1014,4,0)*$C664))</f>
        <v/>
      </c>
      <c r="E664" s="38" t="str">
        <f>IF($B664="","",SUM(VLOOKUP($B664,DADOS!$C$2:$I1014,6,0)*$C664))</f>
        <v/>
      </c>
      <c r="F664" s="39" t="str">
        <f>IF($E664="","",(VLOOKUP($B664,DADOS!$C$2:$I1014,7,0)))</f>
        <v/>
      </c>
      <c r="G664" s="40" t="str">
        <f t="shared" si="2"/>
        <v/>
      </c>
      <c r="H664" s="41"/>
      <c r="I664" s="42"/>
      <c r="J664" s="42"/>
      <c r="K664" s="42"/>
      <c r="L664" s="42"/>
      <c r="M664" s="42"/>
      <c r="N664" s="42"/>
      <c r="O664" s="42"/>
      <c r="P664" s="42"/>
      <c r="Q664" s="42"/>
      <c r="R664" s="42"/>
      <c r="S664" s="42"/>
      <c r="T664" s="42"/>
      <c r="U664" s="42"/>
      <c r="V664" s="42"/>
      <c r="W664" s="42"/>
      <c r="X664" s="42"/>
      <c r="Y664" s="42"/>
      <c r="Z664" s="42"/>
      <c r="AA664" s="42"/>
    </row>
    <row r="665">
      <c r="A665" s="36" t="str">
        <f>IF($B665="","",VLOOKUP($B665,DADOS!$C$2:$I1014,2,0))</f>
        <v/>
      </c>
      <c r="B665" s="37"/>
      <c r="C665" s="36"/>
      <c r="D665" s="38" t="str">
        <f>IF($B665="","",SUM(VLOOKUP($B665,DADOS!$C$2:$I1014,4,0)*$C665))</f>
        <v/>
      </c>
      <c r="E665" s="38" t="str">
        <f>IF($B665="","",SUM(VLOOKUP($B665,DADOS!$C$2:$I1014,6,0)*$C665))</f>
        <v/>
      </c>
      <c r="F665" s="39" t="str">
        <f>IF($E665="","",(VLOOKUP($B665,DADOS!$C$2:$I1014,7,0)))</f>
        <v/>
      </c>
      <c r="G665" s="40" t="str">
        <f t="shared" si="2"/>
        <v/>
      </c>
      <c r="H665" s="41"/>
      <c r="I665" s="42"/>
      <c r="J665" s="42"/>
      <c r="K665" s="42"/>
      <c r="L665" s="42"/>
      <c r="M665" s="42"/>
      <c r="N665" s="42"/>
      <c r="O665" s="42"/>
      <c r="P665" s="42"/>
      <c r="Q665" s="42"/>
      <c r="R665" s="42"/>
      <c r="S665" s="42"/>
      <c r="T665" s="42"/>
      <c r="U665" s="42"/>
      <c r="V665" s="42"/>
      <c r="W665" s="42"/>
      <c r="X665" s="42"/>
      <c r="Y665" s="42"/>
      <c r="Z665" s="42"/>
      <c r="AA665" s="42"/>
    </row>
    <row r="666">
      <c r="A666" s="36" t="str">
        <f>IF($B666="","",VLOOKUP($B666,DADOS!$C$2:$I1014,2,0))</f>
        <v/>
      </c>
      <c r="B666" s="37"/>
      <c r="C666" s="36"/>
      <c r="D666" s="38" t="str">
        <f>IF($B666="","",SUM(VLOOKUP($B666,DADOS!$C$2:$I1014,4,0)*$C666))</f>
        <v/>
      </c>
      <c r="E666" s="38" t="str">
        <f>IF($B666="","",SUM(VLOOKUP($B666,DADOS!$C$2:$I1014,6,0)*$C666))</f>
        <v/>
      </c>
      <c r="F666" s="39" t="str">
        <f>IF($E666="","",(VLOOKUP($B666,DADOS!$C$2:$I1014,7,0)))</f>
        <v/>
      </c>
      <c r="G666" s="40" t="str">
        <f t="shared" si="2"/>
        <v/>
      </c>
      <c r="H666" s="41"/>
      <c r="I666" s="42"/>
      <c r="J666" s="42"/>
      <c r="K666" s="42"/>
      <c r="L666" s="42"/>
      <c r="M666" s="42"/>
      <c r="N666" s="42"/>
      <c r="O666" s="42"/>
      <c r="P666" s="42"/>
      <c r="Q666" s="42"/>
      <c r="R666" s="42"/>
      <c r="S666" s="42"/>
      <c r="T666" s="42"/>
      <c r="U666" s="42"/>
      <c r="V666" s="42"/>
      <c r="W666" s="42"/>
      <c r="X666" s="42"/>
      <c r="Y666" s="42"/>
      <c r="Z666" s="42"/>
      <c r="AA666" s="42"/>
    </row>
    <row r="667">
      <c r="A667" s="36" t="str">
        <f>IF($B667="","",VLOOKUP($B667,DADOS!$C$2:$I1014,2,0))</f>
        <v/>
      </c>
      <c r="B667" s="37"/>
      <c r="C667" s="36"/>
      <c r="D667" s="38" t="str">
        <f>IF($B667="","",SUM(VLOOKUP($B667,DADOS!$C$2:$I1014,4,0)*$C667))</f>
        <v/>
      </c>
      <c r="E667" s="38" t="str">
        <f>IF($B667="","",SUM(VLOOKUP($B667,DADOS!$C$2:$I1014,6,0)*$C667))</f>
        <v/>
      </c>
      <c r="F667" s="39" t="str">
        <f>IF($E667="","",(VLOOKUP($B667,DADOS!$C$2:$I1014,7,0)))</f>
        <v/>
      </c>
      <c r="G667" s="40" t="str">
        <f t="shared" si="2"/>
        <v/>
      </c>
      <c r="H667" s="41"/>
      <c r="I667" s="42"/>
      <c r="J667" s="42"/>
      <c r="K667" s="42"/>
      <c r="L667" s="42"/>
      <c r="M667" s="42"/>
      <c r="N667" s="42"/>
      <c r="O667" s="42"/>
      <c r="P667" s="42"/>
      <c r="Q667" s="42"/>
      <c r="R667" s="42"/>
      <c r="S667" s="42"/>
      <c r="T667" s="42"/>
      <c r="U667" s="42"/>
      <c r="V667" s="42"/>
      <c r="W667" s="42"/>
      <c r="X667" s="42"/>
      <c r="Y667" s="42"/>
      <c r="Z667" s="42"/>
      <c r="AA667" s="42"/>
    </row>
    <row r="668">
      <c r="A668" s="36" t="str">
        <f>IF($B668="","",VLOOKUP($B668,DADOS!$C$2:$I1014,2,0))</f>
        <v/>
      </c>
      <c r="B668" s="37"/>
      <c r="C668" s="36"/>
      <c r="D668" s="38" t="str">
        <f>IF($B668="","",SUM(VLOOKUP($B668,DADOS!$C$2:$I1014,4,0)*$C668))</f>
        <v/>
      </c>
      <c r="E668" s="38" t="str">
        <f>IF($B668="","",SUM(VLOOKUP($B668,DADOS!$C$2:$I1014,6,0)*$C668))</f>
        <v/>
      </c>
      <c r="F668" s="39" t="str">
        <f>IF($E668="","",(VLOOKUP($B668,DADOS!$C$2:$I1014,7,0)))</f>
        <v/>
      </c>
      <c r="G668" s="40" t="str">
        <f t="shared" si="2"/>
        <v/>
      </c>
      <c r="H668" s="41"/>
      <c r="I668" s="42"/>
      <c r="J668" s="42"/>
      <c r="K668" s="42"/>
      <c r="L668" s="42"/>
      <c r="M668" s="42"/>
      <c r="N668" s="42"/>
      <c r="O668" s="42"/>
      <c r="P668" s="42"/>
      <c r="Q668" s="42"/>
      <c r="R668" s="42"/>
      <c r="S668" s="42"/>
      <c r="T668" s="42"/>
      <c r="U668" s="42"/>
      <c r="V668" s="42"/>
      <c r="W668" s="42"/>
      <c r="X668" s="42"/>
      <c r="Y668" s="42"/>
      <c r="Z668" s="42"/>
      <c r="AA668" s="42"/>
    </row>
    <row r="669">
      <c r="A669" s="36" t="str">
        <f>IF($B669="","",VLOOKUP($B669,DADOS!$C$2:$I1014,2,0))</f>
        <v/>
      </c>
      <c r="B669" s="37"/>
      <c r="C669" s="36"/>
      <c r="D669" s="38" t="str">
        <f>IF($B669="","",SUM(VLOOKUP($B669,DADOS!$C$2:$I1014,4,0)*$C669))</f>
        <v/>
      </c>
      <c r="E669" s="38" t="str">
        <f>IF($B669="","",SUM(VLOOKUP($B669,DADOS!$C$2:$I1014,6,0)*$C669))</f>
        <v/>
      </c>
      <c r="F669" s="39" t="str">
        <f>IF($E669="","",(VLOOKUP($B669,DADOS!$C$2:$I1014,7,0)))</f>
        <v/>
      </c>
      <c r="G669" s="40" t="str">
        <f t="shared" si="2"/>
        <v/>
      </c>
      <c r="H669" s="41"/>
      <c r="I669" s="42"/>
      <c r="J669" s="42"/>
      <c r="K669" s="42"/>
      <c r="L669" s="42"/>
      <c r="M669" s="42"/>
      <c r="N669" s="42"/>
      <c r="O669" s="42"/>
      <c r="P669" s="42"/>
      <c r="Q669" s="42"/>
      <c r="R669" s="42"/>
      <c r="S669" s="42"/>
      <c r="T669" s="42"/>
      <c r="U669" s="42"/>
      <c r="V669" s="42"/>
      <c r="W669" s="42"/>
      <c r="X669" s="42"/>
      <c r="Y669" s="42"/>
      <c r="Z669" s="42"/>
      <c r="AA669" s="42"/>
    </row>
    <row r="670">
      <c r="A670" s="36" t="str">
        <f>IF($B670="","",VLOOKUP($B670,DADOS!$C$2:$I1014,2,0))</f>
        <v/>
      </c>
      <c r="B670" s="37"/>
      <c r="C670" s="36"/>
      <c r="D670" s="38" t="str">
        <f>IF($B670="","",SUM(VLOOKUP($B670,DADOS!$C$2:$I1014,4,0)*$C670))</f>
        <v/>
      </c>
      <c r="E670" s="38" t="str">
        <f>IF($B670="","",SUM(VLOOKUP($B670,DADOS!$C$2:$I1014,6,0)*$C670))</f>
        <v/>
      </c>
      <c r="F670" s="39" t="str">
        <f>IF($E670="","",(VLOOKUP($B670,DADOS!$C$2:$I1014,7,0)))</f>
        <v/>
      </c>
      <c r="G670" s="40" t="str">
        <f t="shared" si="2"/>
        <v/>
      </c>
      <c r="H670" s="41"/>
      <c r="I670" s="42"/>
      <c r="J670" s="42"/>
      <c r="K670" s="42"/>
      <c r="L670" s="42"/>
      <c r="M670" s="42"/>
      <c r="N670" s="42"/>
      <c r="O670" s="42"/>
      <c r="P670" s="42"/>
      <c r="Q670" s="42"/>
      <c r="R670" s="42"/>
      <c r="S670" s="42"/>
      <c r="T670" s="42"/>
      <c r="U670" s="42"/>
      <c r="V670" s="42"/>
      <c r="W670" s="42"/>
      <c r="X670" s="42"/>
      <c r="Y670" s="42"/>
      <c r="Z670" s="42"/>
      <c r="AA670" s="42"/>
    </row>
    <row r="671">
      <c r="A671" s="36" t="str">
        <f>IF($B671="","",VLOOKUP($B671,DADOS!$C$2:$I1014,2,0))</f>
        <v/>
      </c>
      <c r="B671" s="37"/>
      <c r="C671" s="36"/>
      <c r="D671" s="38" t="str">
        <f>IF($B671="","",SUM(VLOOKUP($B671,DADOS!$C$2:$I1014,4,0)*$C671))</f>
        <v/>
      </c>
      <c r="E671" s="38" t="str">
        <f>IF($B671="","",SUM(VLOOKUP($B671,DADOS!$C$2:$I1014,6,0)*$C671))</f>
        <v/>
      </c>
      <c r="F671" s="39" t="str">
        <f>IF($E671="","",(VLOOKUP($B671,DADOS!$C$2:$I1014,7,0)))</f>
        <v/>
      </c>
      <c r="G671" s="40" t="str">
        <f t="shared" si="2"/>
        <v/>
      </c>
      <c r="H671" s="41"/>
      <c r="I671" s="42"/>
      <c r="J671" s="42"/>
      <c r="K671" s="42"/>
      <c r="L671" s="42"/>
      <c r="M671" s="42"/>
      <c r="N671" s="42"/>
      <c r="O671" s="42"/>
      <c r="P671" s="42"/>
      <c r="Q671" s="42"/>
      <c r="R671" s="42"/>
      <c r="S671" s="42"/>
      <c r="T671" s="42"/>
      <c r="U671" s="42"/>
      <c r="V671" s="42"/>
      <c r="W671" s="42"/>
      <c r="X671" s="42"/>
      <c r="Y671" s="42"/>
      <c r="Z671" s="42"/>
      <c r="AA671" s="42"/>
    </row>
    <row r="672">
      <c r="A672" s="36" t="str">
        <f>IF($B672="","",VLOOKUP($B672,DADOS!$C$2:$I1014,2,0))</f>
        <v/>
      </c>
      <c r="B672" s="37"/>
      <c r="C672" s="36"/>
      <c r="D672" s="38" t="str">
        <f>IF($B672="","",SUM(VLOOKUP($B672,DADOS!$C$2:$I1014,4,0)*$C672))</f>
        <v/>
      </c>
      <c r="E672" s="38" t="str">
        <f>IF($B672="","",SUM(VLOOKUP($B672,DADOS!$C$2:$I1014,6,0)*$C672))</f>
        <v/>
      </c>
      <c r="F672" s="39" t="str">
        <f>IF($E672="","",(VLOOKUP($B672,DADOS!$C$2:$I1014,7,0)))</f>
        <v/>
      </c>
      <c r="G672" s="40" t="str">
        <f t="shared" si="2"/>
        <v/>
      </c>
      <c r="H672" s="41"/>
      <c r="I672" s="42"/>
      <c r="J672" s="42"/>
      <c r="K672" s="42"/>
      <c r="L672" s="42"/>
      <c r="M672" s="42"/>
      <c r="N672" s="42"/>
      <c r="O672" s="42"/>
      <c r="P672" s="42"/>
      <c r="Q672" s="42"/>
      <c r="R672" s="42"/>
      <c r="S672" s="42"/>
      <c r="T672" s="42"/>
      <c r="U672" s="42"/>
      <c r="V672" s="42"/>
      <c r="W672" s="42"/>
      <c r="X672" s="42"/>
      <c r="Y672" s="42"/>
      <c r="Z672" s="42"/>
      <c r="AA672" s="42"/>
    </row>
    <row r="673">
      <c r="A673" s="36" t="str">
        <f>IF($B673="","",VLOOKUP($B673,DADOS!$C$2:$I1014,2,0))</f>
        <v/>
      </c>
      <c r="B673" s="37"/>
      <c r="C673" s="36"/>
      <c r="D673" s="38" t="str">
        <f>IF($B673="","",SUM(VLOOKUP($B673,DADOS!$C$2:$I1014,4,0)*$C673))</f>
        <v/>
      </c>
      <c r="E673" s="38" t="str">
        <f>IF($B673="","",SUM(VLOOKUP($B673,DADOS!$C$2:$I1014,6,0)*$C673))</f>
        <v/>
      </c>
      <c r="F673" s="39" t="str">
        <f>IF($E673="","",(VLOOKUP($B673,DADOS!$C$2:$I1014,7,0)))</f>
        <v/>
      </c>
      <c r="G673" s="40" t="str">
        <f t="shared" si="2"/>
        <v/>
      </c>
      <c r="H673" s="41"/>
      <c r="I673" s="42"/>
      <c r="J673" s="42"/>
      <c r="K673" s="42"/>
      <c r="L673" s="42"/>
      <c r="M673" s="42"/>
      <c r="N673" s="42"/>
      <c r="O673" s="42"/>
      <c r="P673" s="42"/>
      <c r="Q673" s="42"/>
      <c r="R673" s="42"/>
      <c r="S673" s="42"/>
      <c r="T673" s="42"/>
      <c r="U673" s="42"/>
      <c r="V673" s="42"/>
      <c r="W673" s="42"/>
      <c r="X673" s="42"/>
      <c r="Y673" s="42"/>
      <c r="Z673" s="42"/>
      <c r="AA673" s="42"/>
    </row>
    <row r="674">
      <c r="A674" s="36" t="str">
        <f>IF($B674="","",VLOOKUP($B674,DADOS!$C$2:$I1014,2,0))</f>
        <v/>
      </c>
      <c r="B674" s="37"/>
      <c r="C674" s="36"/>
      <c r="D674" s="38" t="str">
        <f>IF($B674="","",SUM(VLOOKUP($B674,DADOS!$C$2:$I1014,4,0)*$C674))</f>
        <v/>
      </c>
      <c r="E674" s="38" t="str">
        <f>IF($B674="","",SUM(VLOOKUP($B674,DADOS!$C$2:$I1014,6,0)*$C674))</f>
        <v/>
      </c>
      <c r="F674" s="39" t="str">
        <f>IF($E674="","",(VLOOKUP($B674,DADOS!$C$2:$I1014,7,0)))</f>
        <v/>
      </c>
      <c r="G674" s="40" t="str">
        <f t="shared" si="2"/>
        <v/>
      </c>
      <c r="H674" s="41"/>
      <c r="I674" s="42"/>
      <c r="J674" s="42"/>
      <c r="K674" s="42"/>
      <c r="L674" s="42"/>
      <c r="M674" s="42"/>
      <c r="N674" s="42"/>
      <c r="O674" s="42"/>
      <c r="P674" s="42"/>
      <c r="Q674" s="42"/>
      <c r="R674" s="42"/>
      <c r="S674" s="42"/>
      <c r="T674" s="42"/>
      <c r="U674" s="42"/>
      <c r="V674" s="42"/>
      <c r="W674" s="42"/>
      <c r="X674" s="42"/>
      <c r="Y674" s="42"/>
      <c r="Z674" s="42"/>
      <c r="AA674" s="42"/>
    </row>
    <row r="675">
      <c r="A675" s="36" t="str">
        <f>IF($B675="","",VLOOKUP($B675,DADOS!$C$2:$I1014,2,0))</f>
        <v/>
      </c>
      <c r="B675" s="37"/>
      <c r="C675" s="36"/>
      <c r="D675" s="38" t="str">
        <f>IF($B675="","",SUM(VLOOKUP($B675,DADOS!$C$2:$I1014,4,0)*$C675))</f>
        <v/>
      </c>
      <c r="E675" s="38" t="str">
        <f>IF($B675="","",SUM(VLOOKUP($B675,DADOS!$C$2:$I1014,6,0)*$C675))</f>
        <v/>
      </c>
      <c r="F675" s="39" t="str">
        <f>IF($E675="","",(VLOOKUP($B675,DADOS!$C$2:$I1014,7,0)))</f>
        <v/>
      </c>
      <c r="G675" s="40" t="str">
        <f t="shared" si="2"/>
        <v/>
      </c>
      <c r="H675" s="41"/>
      <c r="I675" s="42"/>
      <c r="J675" s="42"/>
      <c r="K675" s="42"/>
      <c r="L675" s="42"/>
      <c r="M675" s="42"/>
      <c r="N675" s="42"/>
      <c r="O675" s="42"/>
      <c r="P675" s="42"/>
      <c r="Q675" s="42"/>
      <c r="R675" s="42"/>
      <c r="S675" s="42"/>
      <c r="T675" s="42"/>
      <c r="U675" s="42"/>
      <c r="V675" s="42"/>
      <c r="W675" s="42"/>
      <c r="X675" s="42"/>
      <c r="Y675" s="42"/>
      <c r="Z675" s="42"/>
      <c r="AA675" s="42"/>
    </row>
    <row r="676">
      <c r="A676" s="36" t="str">
        <f>IF($B676="","",VLOOKUP($B676,DADOS!$C$2:$I1014,2,0))</f>
        <v/>
      </c>
      <c r="B676" s="37"/>
      <c r="C676" s="36"/>
      <c r="D676" s="38" t="str">
        <f>IF($B676="","",SUM(VLOOKUP($B676,DADOS!$C$2:$I1014,4,0)*$C676))</f>
        <v/>
      </c>
      <c r="E676" s="38" t="str">
        <f>IF($B676="","",SUM(VLOOKUP($B676,DADOS!$C$2:$I1014,6,0)*$C676))</f>
        <v/>
      </c>
      <c r="F676" s="39" t="str">
        <f>IF($E676="","",(VLOOKUP($B676,DADOS!$C$2:$I1014,7,0)))</f>
        <v/>
      </c>
      <c r="G676" s="40" t="str">
        <f t="shared" si="2"/>
        <v/>
      </c>
      <c r="H676" s="41"/>
      <c r="I676" s="42"/>
      <c r="J676" s="42"/>
      <c r="K676" s="42"/>
      <c r="L676" s="42"/>
      <c r="M676" s="42"/>
      <c r="N676" s="42"/>
      <c r="O676" s="42"/>
      <c r="P676" s="42"/>
      <c r="Q676" s="42"/>
      <c r="R676" s="42"/>
      <c r="S676" s="42"/>
      <c r="T676" s="42"/>
      <c r="U676" s="42"/>
      <c r="V676" s="42"/>
      <c r="W676" s="42"/>
      <c r="X676" s="42"/>
      <c r="Y676" s="42"/>
      <c r="Z676" s="42"/>
      <c r="AA676" s="42"/>
    </row>
    <row r="677">
      <c r="A677" s="36" t="str">
        <f>IF($B677="","",VLOOKUP($B677,DADOS!$C$2:$I1014,2,0))</f>
        <v/>
      </c>
      <c r="B677" s="37"/>
      <c r="C677" s="36"/>
      <c r="D677" s="38" t="str">
        <f>IF($B677="","",SUM(VLOOKUP($B677,DADOS!$C$2:$I1014,4,0)*$C677))</f>
        <v/>
      </c>
      <c r="E677" s="38" t="str">
        <f>IF($B677="","",SUM(VLOOKUP($B677,DADOS!$C$2:$I1014,6,0)*$C677))</f>
        <v/>
      </c>
      <c r="F677" s="39" t="str">
        <f>IF($E677="","",(VLOOKUP($B677,DADOS!$C$2:$I1014,7,0)))</f>
        <v/>
      </c>
      <c r="G677" s="40" t="str">
        <f t="shared" si="2"/>
        <v/>
      </c>
      <c r="H677" s="41"/>
      <c r="I677" s="42"/>
      <c r="J677" s="42"/>
      <c r="K677" s="42"/>
      <c r="L677" s="42"/>
      <c r="M677" s="42"/>
      <c r="N677" s="42"/>
      <c r="O677" s="42"/>
      <c r="P677" s="42"/>
      <c r="Q677" s="42"/>
      <c r="R677" s="42"/>
      <c r="S677" s="42"/>
      <c r="T677" s="42"/>
      <c r="U677" s="42"/>
      <c r="V677" s="42"/>
      <c r="W677" s="42"/>
      <c r="X677" s="42"/>
      <c r="Y677" s="42"/>
      <c r="Z677" s="42"/>
      <c r="AA677" s="42"/>
    </row>
    <row r="678">
      <c r="A678" s="36" t="str">
        <f>IF($B678="","",VLOOKUP($B678,DADOS!$C$2:$I1014,2,0))</f>
        <v/>
      </c>
      <c r="B678" s="37"/>
      <c r="C678" s="36"/>
      <c r="D678" s="38" t="str">
        <f>IF($B678="","",SUM(VLOOKUP($B678,DADOS!$C$2:$I1014,4,0)*$C678))</f>
        <v/>
      </c>
      <c r="E678" s="38" t="str">
        <f>IF($B678="","",SUM(VLOOKUP($B678,DADOS!$C$2:$I1014,6,0)*$C678))</f>
        <v/>
      </c>
      <c r="F678" s="39" t="str">
        <f>IF($E678="","",(VLOOKUP($B678,DADOS!$C$2:$I1014,7,0)))</f>
        <v/>
      </c>
      <c r="G678" s="40" t="str">
        <f t="shared" si="2"/>
        <v/>
      </c>
      <c r="H678" s="41"/>
      <c r="I678" s="42"/>
      <c r="J678" s="42"/>
      <c r="K678" s="42"/>
      <c r="L678" s="42"/>
      <c r="M678" s="42"/>
      <c r="N678" s="42"/>
      <c r="O678" s="42"/>
      <c r="P678" s="42"/>
      <c r="Q678" s="42"/>
      <c r="R678" s="42"/>
      <c r="S678" s="42"/>
      <c r="T678" s="42"/>
      <c r="U678" s="42"/>
      <c r="V678" s="42"/>
      <c r="W678" s="42"/>
      <c r="X678" s="42"/>
      <c r="Y678" s="42"/>
      <c r="Z678" s="42"/>
      <c r="AA678" s="42"/>
    </row>
    <row r="679">
      <c r="A679" s="36" t="str">
        <f>IF($B679="","",VLOOKUP($B679,DADOS!$C$2:$I1014,2,0))</f>
        <v/>
      </c>
      <c r="B679" s="37"/>
      <c r="C679" s="36"/>
      <c r="D679" s="38" t="str">
        <f>IF($B679="","",SUM(VLOOKUP($B679,DADOS!$C$2:$I1014,4,0)*$C679))</f>
        <v/>
      </c>
      <c r="E679" s="38" t="str">
        <f>IF($B679="","",SUM(VLOOKUP($B679,DADOS!$C$2:$I1014,6,0)*$C679))</f>
        <v/>
      </c>
      <c r="F679" s="39" t="str">
        <f>IF($E679="","",(VLOOKUP($B679,DADOS!$C$2:$I1014,7,0)))</f>
        <v/>
      </c>
      <c r="G679" s="40" t="str">
        <f t="shared" si="2"/>
        <v/>
      </c>
      <c r="H679" s="41"/>
      <c r="I679" s="42"/>
      <c r="J679" s="42"/>
      <c r="K679" s="42"/>
      <c r="L679" s="42"/>
      <c r="M679" s="42"/>
      <c r="N679" s="42"/>
      <c r="O679" s="42"/>
      <c r="P679" s="42"/>
      <c r="Q679" s="42"/>
      <c r="R679" s="42"/>
      <c r="S679" s="42"/>
      <c r="T679" s="42"/>
      <c r="U679" s="42"/>
      <c r="V679" s="42"/>
      <c r="W679" s="42"/>
      <c r="X679" s="42"/>
      <c r="Y679" s="42"/>
      <c r="Z679" s="42"/>
      <c r="AA679" s="42"/>
    </row>
    <row r="680">
      <c r="A680" s="36" t="str">
        <f>IF($B680="","",VLOOKUP($B680,DADOS!$C$2:$I1014,2,0))</f>
        <v/>
      </c>
      <c r="B680" s="37"/>
      <c r="C680" s="36"/>
      <c r="D680" s="38" t="str">
        <f>IF($B680="","",SUM(VLOOKUP($B680,DADOS!$C$2:$I1014,4,0)*$C680))</f>
        <v/>
      </c>
      <c r="E680" s="38" t="str">
        <f>IF($B680="","",SUM(VLOOKUP($B680,DADOS!$C$2:$I1014,6,0)*$C680))</f>
        <v/>
      </c>
      <c r="F680" s="39" t="str">
        <f>IF($E680="","",(VLOOKUP($B680,DADOS!$C$2:$I1014,7,0)))</f>
        <v/>
      </c>
      <c r="G680" s="40" t="str">
        <f t="shared" si="2"/>
        <v/>
      </c>
      <c r="H680" s="41"/>
      <c r="I680" s="42"/>
      <c r="J680" s="42"/>
      <c r="K680" s="42"/>
      <c r="L680" s="42"/>
      <c r="M680" s="42"/>
      <c r="N680" s="42"/>
      <c r="O680" s="42"/>
      <c r="P680" s="42"/>
      <c r="Q680" s="42"/>
      <c r="R680" s="42"/>
      <c r="S680" s="42"/>
      <c r="T680" s="42"/>
      <c r="U680" s="42"/>
      <c r="V680" s="42"/>
      <c r="W680" s="42"/>
      <c r="X680" s="42"/>
      <c r="Y680" s="42"/>
      <c r="Z680" s="42"/>
      <c r="AA680" s="42"/>
    </row>
    <row r="681">
      <c r="A681" s="36" t="str">
        <f>IF($B681="","",VLOOKUP($B681,DADOS!$C$2:$I1014,2,0))</f>
        <v/>
      </c>
      <c r="B681" s="37"/>
      <c r="C681" s="36"/>
      <c r="D681" s="38" t="str">
        <f>IF($B681="","",SUM(VLOOKUP($B681,DADOS!$C$2:$I1014,4,0)*$C681))</f>
        <v/>
      </c>
      <c r="E681" s="38" t="str">
        <f>IF($B681="","",SUM(VLOOKUP($B681,DADOS!$C$2:$I1014,6,0)*$C681))</f>
        <v/>
      </c>
      <c r="F681" s="39" t="str">
        <f>IF($E681="","",(VLOOKUP($B681,DADOS!$C$2:$I1014,7,0)))</f>
        <v/>
      </c>
      <c r="G681" s="40" t="str">
        <f t="shared" si="2"/>
        <v/>
      </c>
      <c r="H681" s="41"/>
      <c r="I681" s="42"/>
      <c r="J681" s="42"/>
      <c r="K681" s="42"/>
      <c r="L681" s="42"/>
      <c r="M681" s="42"/>
      <c r="N681" s="42"/>
      <c r="O681" s="42"/>
      <c r="P681" s="42"/>
      <c r="Q681" s="42"/>
      <c r="R681" s="42"/>
      <c r="S681" s="42"/>
      <c r="T681" s="42"/>
      <c r="U681" s="42"/>
      <c r="V681" s="42"/>
      <c r="W681" s="42"/>
      <c r="X681" s="42"/>
      <c r="Y681" s="42"/>
      <c r="Z681" s="42"/>
      <c r="AA681" s="42"/>
    </row>
    <row r="682">
      <c r="A682" s="36" t="str">
        <f>IF($B682="","",VLOOKUP($B682,DADOS!$C$2:$I1014,2,0))</f>
        <v/>
      </c>
      <c r="B682" s="37"/>
      <c r="C682" s="36"/>
      <c r="D682" s="38" t="str">
        <f>IF($B682="","",SUM(VLOOKUP($B682,DADOS!$C$2:$I1014,4,0)*$C682))</f>
        <v/>
      </c>
      <c r="E682" s="38" t="str">
        <f>IF($B682="","",SUM(VLOOKUP($B682,DADOS!$C$2:$I1014,6,0)*$C682))</f>
        <v/>
      </c>
      <c r="F682" s="39" t="str">
        <f>IF($E682="","",(VLOOKUP($B682,DADOS!$C$2:$I1014,7,0)))</f>
        <v/>
      </c>
      <c r="G682" s="40" t="str">
        <f t="shared" si="2"/>
        <v/>
      </c>
      <c r="H682" s="41"/>
      <c r="I682" s="42"/>
      <c r="J682" s="42"/>
      <c r="K682" s="42"/>
      <c r="L682" s="42"/>
      <c r="M682" s="42"/>
      <c r="N682" s="42"/>
      <c r="O682" s="42"/>
      <c r="P682" s="42"/>
      <c r="Q682" s="42"/>
      <c r="R682" s="42"/>
      <c r="S682" s="42"/>
      <c r="T682" s="42"/>
      <c r="U682" s="42"/>
      <c r="V682" s="42"/>
      <c r="W682" s="42"/>
      <c r="X682" s="42"/>
      <c r="Y682" s="42"/>
      <c r="Z682" s="42"/>
      <c r="AA682" s="42"/>
    </row>
    <row r="683">
      <c r="A683" s="36" t="str">
        <f>IF($B683="","",VLOOKUP($B683,DADOS!$C$2:$I1014,2,0))</f>
        <v/>
      </c>
      <c r="B683" s="37"/>
      <c r="C683" s="36"/>
      <c r="D683" s="38" t="str">
        <f>IF($B683="","",SUM(VLOOKUP($B683,DADOS!$C$2:$I1014,4,0)*$C683))</f>
        <v/>
      </c>
      <c r="E683" s="38" t="str">
        <f>IF($B683="","",SUM(VLOOKUP($B683,DADOS!$C$2:$I1014,6,0)*$C683))</f>
        <v/>
      </c>
      <c r="F683" s="39" t="str">
        <f>IF($E683="","",(VLOOKUP($B683,DADOS!$C$2:$I1014,7,0)))</f>
        <v/>
      </c>
      <c r="G683" s="40" t="str">
        <f t="shared" si="2"/>
        <v/>
      </c>
      <c r="H683" s="41"/>
      <c r="I683" s="42"/>
      <c r="J683" s="42"/>
      <c r="K683" s="42"/>
      <c r="L683" s="42"/>
      <c r="M683" s="42"/>
      <c r="N683" s="42"/>
      <c r="O683" s="42"/>
      <c r="P683" s="42"/>
      <c r="Q683" s="42"/>
      <c r="R683" s="42"/>
      <c r="S683" s="42"/>
      <c r="T683" s="42"/>
      <c r="U683" s="42"/>
      <c r="V683" s="42"/>
      <c r="W683" s="42"/>
      <c r="X683" s="42"/>
      <c r="Y683" s="42"/>
      <c r="Z683" s="42"/>
      <c r="AA683" s="42"/>
    </row>
    <row r="684">
      <c r="A684" s="36" t="str">
        <f>IF($B684="","",VLOOKUP($B684,DADOS!$C$2:$I1014,2,0))</f>
        <v/>
      </c>
      <c r="B684" s="37"/>
      <c r="C684" s="36"/>
      <c r="D684" s="38" t="str">
        <f>IF($B684="","",SUM(VLOOKUP($B684,DADOS!$C$2:$I1014,4,0)*$C684))</f>
        <v/>
      </c>
      <c r="E684" s="38" t="str">
        <f>IF($B684="","",SUM(VLOOKUP($B684,DADOS!$C$2:$I1014,6,0)*$C684))</f>
        <v/>
      </c>
      <c r="F684" s="39" t="str">
        <f>IF($E684="","",(VLOOKUP($B684,DADOS!$C$2:$I1014,7,0)))</f>
        <v/>
      </c>
      <c r="G684" s="40" t="str">
        <f t="shared" si="2"/>
        <v/>
      </c>
      <c r="H684" s="41"/>
      <c r="I684" s="42"/>
      <c r="J684" s="42"/>
      <c r="K684" s="42"/>
      <c r="L684" s="42"/>
      <c r="M684" s="42"/>
      <c r="N684" s="42"/>
      <c r="O684" s="42"/>
      <c r="P684" s="42"/>
      <c r="Q684" s="42"/>
      <c r="R684" s="42"/>
      <c r="S684" s="42"/>
      <c r="T684" s="42"/>
      <c r="U684" s="42"/>
      <c r="V684" s="42"/>
      <c r="W684" s="42"/>
      <c r="X684" s="42"/>
      <c r="Y684" s="42"/>
      <c r="Z684" s="42"/>
      <c r="AA684" s="42"/>
    </row>
    <row r="685">
      <c r="A685" s="36" t="str">
        <f>IF($B685="","",VLOOKUP($B685,DADOS!$C$2:$I1014,2,0))</f>
        <v/>
      </c>
      <c r="B685" s="37"/>
      <c r="C685" s="36"/>
      <c r="D685" s="38" t="str">
        <f>IF($B685="","",SUM(VLOOKUP($B685,DADOS!$C$2:$I1014,4,0)*$C685))</f>
        <v/>
      </c>
      <c r="E685" s="38" t="str">
        <f>IF($B685="","",SUM(VLOOKUP($B685,DADOS!$C$2:$I1014,6,0)*$C685))</f>
        <v/>
      </c>
      <c r="F685" s="39" t="str">
        <f>IF($E685="","",(VLOOKUP($B685,DADOS!$C$2:$I1014,7,0)))</f>
        <v/>
      </c>
      <c r="G685" s="40" t="str">
        <f t="shared" si="2"/>
        <v/>
      </c>
      <c r="H685" s="41"/>
      <c r="I685" s="42"/>
      <c r="J685" s="42"/>
      <c r="K685" s="42"/>
      <c r="L685" s="42"/>
      <c r="M685" s="42"/>
      <c r="N685" s="42"/>
      <c r="O685" s="42"/>
      <c r="P685" s="42"/>
      <c r="Q685" s="42"/>
      <c r="R685" s="42"/>
      <c r="S685" s="42"/>
      <c r="T685" s="42"/>
      <c r="U685" s="42"/>
      <c r="V685" s="42"/>
      <c r="W685" s="42"/>
      <c r="X685" s="42"/>
      <c r="Y685" s="42"/>
      <c r="Z685" s="42"/>
      <c r="AA685" s="42"/>
    </row>
    <row r="686">
      <c r="A686" s="36" t="str">
        <f>IF($B686="","",VLOOKUP($B686,DADOS!$C$2:$I1014,2,0))</f>
        <v/>
      </c>
      <c r="B686" s="37"/>
      <c r="C686" s="36"/>
      <c r="D686" s="38" t="str">
        <f>IF($B686="","",SUM(VLOOKUP($B686,DADOS!$C$2:$I1014,4,0)*$C686))</f>
        <v/>
      </c>
      <c r="E686" s="38" t="str">
        <f>IF($B686="","",SUM(VLOOKUP($B686,DADOS!$C$2:$I1014,6,0)*$C686))</f>
        <v/>
      </c>
      <c r="F686" s="39" t="str">
        <f>IF($E686="","",(VLOOKUP($B686,DADOS!$C$2:$I1014,7,0)))</f>
        <v/>
      </c>
      <c r="G686" s="40" t="str">
        <f t="shared" si="2"/>
        <v/>
      </c>
      <c r="H686" s="41"/>
      <c r="I686" s="42"/>
      <c r="J686" s="42"/>
      <c r="K686" s="42"/>
      <c r="L686" s="42"/>
      <c r="M686" s="42"/>
      <c r="N686" s="42"/>
      <c r="O686" s="42"/>
      <c r="P686" s="42"/>
      <c r="Q686" s="42"/>
      <c r="R686" s="42"/>
      <c r="S686" s="42"/>
      <c r="T686" s="42"/>
      <c r="U686" s="42"/>
      <c r="V686" s="42"/>
      <c r="W686" s="42"/>
      <c r="X686" s="42"/>
      <c r="Y686" s="42"/>
      <c r="Z686" s="42"/>
      <c r="AA686" s="42"/>
    </row>
    <row r="687">
      <c r="A687" s="36" t="str">
        <f>IF($B687="","",VLOOKUP($B687,DADOS!$C$2:$I1014,2,0))</f>
        <v/>
      </c>
      <c r="B687" s="37"/>
      <c r="C687" s="36"/>
      <c r="D687" s="38" t="str">
        <f>IF($B687="","",SUM(VLOOKUP($B687,DADOS!$C$2:$I1014,4,0)*$C687))</f>
        <v/>
      </c>
      <c r="E687" s="38" t="str">
        <f>IF($B687="","",SUM(VLOOKUP($B687,DADOS!$C$2:$I1014,6,0)*$C687))</f>
        <v/>
      </c>
      <c r="F687" s="39" t="str">
        <f>IF($E687="","",(VLOOKUP($B687,DADOS!$C$2:$I1014,7,0)))</f>
        <v/>
      </c>
      <c r="G687" s="40" t="str">
        <f t="shared" si="2"/>
        <v/>
      </c>
      <c r="H687" s="41"/>
      <c r="I687" s="42"/>
      <c r="J687" s="42"/>
      <c r="K687" s="42"/>
      <c r="L687" s="42"/>
      <c r="M687" s="42"/>
      <c r="N687" s="42"/>
      <c r="O687" s="42"/>
      <c r="P687" s="42"/>
      <c r="Q687" s="42"/>
      <c r="R687" s="42"/>
      <c r="S687" s="42"/>
      <c r="T687" s="42"/>
      <c r="U687" s="42"/>
      <c r="V687" s="42"/>
      <c r="W687" s="42"/>
      <c r="X687" s="42"/>
      <c r="Y687" s="42"/>
      <c r="Z687" s="42"/>
      <c r="AA687" s="42"/>
    </row>
    <row r="688">
      <c r="A688" s="36" t="str">
        <f>IF($B688="","",VLOOKUP($B688,DADOS!$C$2:$I1014,2,0))</f>
        <v/>
      </c>
      <c r="B688" s="37"/>
      <c r="C688" s="36"/>
      <c r="D688" s="38" t="str">
        <f>IF($B688="","",SUM(VLOOKUP($B688,DADOS!$C$2:$I1014,4,0)*$C688))</f>
        <v/>
      </c>
      <c r="E688" s="38" t="str">
        <f>IF($B688="","",SUM(VLOOKUP($B688,DADOS!$C$2:$I1014,6,0)*$C688))</f>
        <v/>
      </c>
      <c r="F688" s="39" t="str">
        <f>IF($E688="","",(VLOOKUP($B688,DADOS!$C$2:$I1014,7,0)))</f>
        <v/>
      </c>
      <c r="G688" s="40" t="str">
        <f t="shared" si="2"/>
        <v/>
      </c>
      <c r="H688" s="41"/>
      <c r="I688" s="42"/>
      <c r="J688" s="42"/>
      <c r="K688" s="42"/>
      <c r="L688" s="42"/>
      <c r="M688" s="42"/>
      <c r="N688" s="42"/>
      <c r="O688" s="42"/>
      <c r="P688" s="42"/>
      <c r="Q688" s="42"/>
      <c r="R688" s="42"/>
      <c r="S688" s="42"/>
      <c r="T688" s="42"/>
      <c r="U688" s="42"/>
      <c r="V688" s="42"/>
      <c r="W688" s="42"/>
      <c r="X688" s="42"/>
      <c r="Y688" s="42"/>
      <c r="Z688" s="42"/>
      <c r="AA688" s="42"/>
    </row>
    <row r="689">
      <c r="A689" s="36" t="str">
        <f>IF($B689="","",VLOOKUP($B689,DADOS!$C$2:$I1014,2,0))</f>
        <v/>
      </c>
      <c r="B689" s="37"/>
      <c r="C689" s="36"/>
      <c r="D689" s="38" t="str">
        <f>IF($B689="","",SUM(VLOOKUP($B689,DADOS!$C$2:$I1014,4,0)*$C689))</f>
        <v/>
      </c>
      <c r="E689" s="38" t="str">
        <f>IF($B689="","",SUM(VLOOKUP($B689,DADOS!$C$2:$I1014,6,0)*$C689))</f>
        <v/>
      </c>
      <c r="F689" s="39" t="str">
        <f>IF($E689="","",(VLOOKUP($B689,DADOS!$C$2:$I1014,7,0)))</f>
        <v/>
      </c>
      <c r="G689" s="40" t="str">
        <f t="shared" si="2"/>
        <v/>
      </c>
      <c r="H689" s="41"/>
      <c r="I689" s="42"/>
      <c r="J689" s="42"/>
      <c r="K689" s="42"/>
      <c r="L689" s="42"/>
      <c r="M689" s="42"/>
      <c r="N689" s="42"/>
      <c r="O689" s="42"/>
      <c r="P689" s="42"/>
      <c r="Q689" s="42"/>
      <c r="R689" s="42"/>
      <c r="S689" s="42"/>
      <c r="T689" s="42"/>
      <c r="U689" s="42"/>
      <c r="V689" s="42"/>
      <c r="W689" s="42"/>
      <c r="X689" s="42"/>
      <c r="Y689" s="42"/>
      <c r="Z689" s="42"/>
      <c r="AA689" s="42"/>
    </row>
    <row r="690">
      <c r="A690" s="36" t="str">
        <f>IF($B690="","",VLOOKUP($B690,DADOS!$C$2:$I1014,2,0))</f>
        <v/>
      </c>
      <c r="B690" s="37"/>
      <c r="C690" s="36"/>
      <c r="D690" s="38" t="str">
        <f>IF($B690="","",SUM(VLOOKUP($B690,DADOS!$C$2:$I1014,4,0)*$C690))</f>
        <v/>
      </c>
      <c r="E690" s="38" t="str">
        <f>IF($B690="","",SUM(VLOOKUP($B690,DADOS!$C$2:$I1014,6,0)*$C690))</f>
        <v/>
      </c>
      <c r="F690" s="39" t="str">
        <f>IF($E690="","",(VLOOKUP($B690,DADOS!$C$2:$I1014,7,0)))</f>
        <v/>
      </c>
      <c r="G690" s="40" t="str">
        <f t="shared" si="2"/>
        <v/>
      </c>
      <c r="H690" s="41"/>
      <c r="I690" s="42"/>
      <c r="J690" s="42"/>
      <c r="K690" s="42"/>
      <c r="L690" s="42"/>
      <c r="M690" s="42"/>
      <c r="N690" s="42"/>
      <c r="O690" s="42"/>
      <c r="P690" s="42"/>
      <c r="Q690" s="42"/>
      <c r="R690" s="42"/>
      <c r="S690" s="42"/>
      <c r="T690" s="42"/>
      <c r="U690" s="42"/>
      <c r="V690" s="42"/>
      <c r="W690" s="42"/>
      <c r="X690" s="42"/>
      <c r="Y690" s="42"/>
      <c r="Z690" s="42"/>
      <c r="AA690" s="42"/>
    </row>
    <row r="691">
      <c r="A691" s="36" t="str">
        <f>IF($B691="","",VLOOKUP($B691,DADOS!$C$2:$I1014,2,0))</f>
        <v/>
      </c>
      <c r="B691" s="37"/>
      <c r="C691" s="36"/>
      <c r="D691" s="38" t="str">
        <f>IF($B691="","",SUM(VLOOKUP($B691,DADOS!$C$2:$I1014,4,0)*$C691))</f>
        <v/>
      </c>
      <c r="E691" s="38" t="str">
        <f>IF($B691="","",SUM(VLOOKUP($B691,DADOS!$C$2:$I1014,6,0)*$C691))</f>
        <v/>
      </c>
      <c r="F691" s="39" t="str">
        <f>IF($E691="","",(VLOOKUP($B691,DADOS!$C$2:$I1014,7,0)))</f>
        <v/>
      </c>
      <c r="G691" s="40" t="str">
        <f t="shared" si="2"/>
        <v/>
      </c>
      <c r="H691" s="41"/>
      <c r="I691" s="42"/>
      <c r="J691" s="42"/>
      <c r="K691" s="42"/>
      <c r="L691" s="42"/>
      <c r="M691" s="42"/>
      <c r="N691" s="42"/>
      <c r="O691" s="42"/>
      <c r="P691" s="42"/>
      <c r="Q691" s="42"/>
      <c r="R691" s="42"/>
      <c r="S691" s="42"/>
      <c r="T691" s="42"/>
      <c r="U691" s="42"/>
      <c r="V691" s="42"/>
      <c r="W691" s="42"/>
      <c r="X691" s="42"/>
      <c r="Y691" s="42"/>
      <c r="Z691" s="42"/>
      <c r="AA691" s="42"/>
    </row>
    <row r="692">
      <c r="A692" s="36" t="str">
        <f>IF($B692="","",VLOOKUP($B692,DADOS!$C$2:$I1014,2,0))</f>
        <v/>
      </c>
      <c r="B692" s="37"/>
      <c r="C692" s="36"/>
      <c r="D692" s="38" t="str">
        <f>IF($B692="","",SUM(VLOOKUP($B692,DADOS!$C$2:$I1014,4,0)*$C692))</f>
        <v/>
      </c>
      <c r="E692" s="38" t="str">
        <f>IF($B692="","",SUM(VLOOKUP($B692,DADOS!$C$2:$I1014,6,0)*$C692))</f>
        <v/>
      </c>
      <c r="F692" s="39" t="str">
        <f>IF($E692="","",(VLOOKUP($B692,DADOS!$C$2:$I1014,7,0)))</f>
        <v/>
      </c>
      <c r="G692" s="40" t="str">
        <f t="shared" si="2"/>
        <v/>
      </c>
      <c r="H692" s="41"/>
      <c r="I692" s="42"/>
      <c r="J692" s="42"/>
      <c r="K692" s="42"/>
      <c r="L692" s="42"/>
      <c r="M692" s="42"/>
      <c r="N692" s="42"/>
      <c r="O692" s="42"/>
      <c r="P692" s="42"/>
      <c r="Q692" s="42"/>
      <c r="R692" s="42"/>
      <c r="S692" s="42"/>
      <c r="T692" s="42"/>
      <c r="U692" s="42"/>
      <c r="V692" s="42"/>
      <c r="W692" s="42"/>
      <c r="X692" s="42"/>
      <c r="Y692" s="42"/>
      <c r="Z692" s="42"/>
      <c r="AA692" s="42"/>
    </row>
    <row r="693">
      <c r="A693" s="36" t="str">
        <f>IF($B693="","",VLOOKUP($B693,DADOS!$C$2:$I1014,2,0))</f>
        <v/>
      </c>
      <c r="B693" s="37"/>
      <c r="C693" s="36"/>
      <c r="D693" s="38" t="str">
        <f>IF($B693="","",SUM(VLOOKUP($B693,DADOS!$C$2:$I1014,4,0)*$C693))</f>
        <v/>
      </c>
      <c r="E693" s="38" t="str">
        <f>IF($B693="","",SUM(VLOOKUP($B693,DADOS!$C$2:$I1014,6,0)*$C693))</f>
        <v/>
      </c>
      <c r="F693" s="39" t="str">
        <f>IF($E693="","",(VLOOKUP($B693,DADOS!$C$2:$I1014,7,0)))</f>
        <v/>
      </c>
      <c r="G693" s="40" t="str">
        <f t="shared" si="2"/>
        <v/>
      </c>
      <c r="H693" s="41"/>
      <c r="I693" s="42"/>
      <c r="J693" s="42"/>
      <c r="K693" s="42"/>
      <c r="L693" s="42"/>
      <c r="M693" s="42"/>
      <c r="N693" s="42"/>
      <c r="O693" s="42"/>
      <c r="P693" s="42"/>
      <c r="Q693" s="42"/>
      <c r="R693" s="42"/>
      <c r="S693" s="42"/>
      <c r="T693" s="42"/>
      <c r="U693" s="42"/>
      <c r="V693" s="42"/>
      <c r="W693" s="42"/>
      <c r="X693" s="42"/>
      <c r="Y693" s="42"/>
      <c r="Z693" s="42"/>
      <c r="AA693" s="42"/>
    </row>
    <row r="694">
      <c r="A694" s="36" t="str">
        <f>IF($B694="","",VLOOKUP($B694,DADOS!$C$2:$I1014,2,0))</f>
        <v/>
      </c>
      <c r="B694" s="37"/>
      <c r="C694" s="36"/>
      <c r="D694" s="38" t="str">
        <f>IF($B694="","",SUM(VLOOKUP($B694,DADOS!$C$2:$I1014,4,0)*$C694))</f>
        <v/>
      </c>
      <c r="E694" s="38" t="str">
        <f>IF($B694="","",SUM(VLOOKUP($B694,DADOS!$C$2:$I1014,6,0)*$C694))</f>
        <v/>
      </c>
      <c r="F694" s="39" t="str">
        <f>IF($E694="","",(VLOOKUP($B694,DADOS!$C$2:$I1014,7,0)))</f>
        <v/>
      </c>
      <c r="G694" s="40" t="str">
        <f t="shared" si="2"/>
        <v/>
      </c>
      <c r="H694" s="41"/>
      <c r="I694" s="42"/>
      <c r="J694" s="42"/>
      <c r="K694" s="42"/>
      <c r="L694" s="42"/>
      <c r="M694" s="42"/>
      <c r="N694" s="42"/>
      <c r="O694" s="42"/>
      <c r="P694" s="42"/>
      <c r="Q694" s="42"/>
      <c r="R694" s="42"/>
      <c r="S694" s="42"/>
      <c r="T694" s="42"/>
      <c r="U694" s="42"/>
      <c r="V694" s="42"/>
      <c r="W694" s="42"/>
      <c r="X694" s="42"/>
      <c r="Y694" s="42"/>
      <c r="Z694" s="42"/>
      <c r="AA694" s="42"/>
    </row>
    <row r="695">
      <c r="A695" s="36" t="str">
        <f>IF($B695="","",VLOOKUP($B695,DADOS!$C$2:$I1014,2,0))</f>
        <v/>
      </c>
      <c r="B695" s="37"/>
      <c r="C695" s="36"/>
      <c r="D695" s="38" t="str">
        <f>IF($B695="","",SUM(VLOOKUP($B695,DADOS!$C$2:$I1014,4,0)*$C695))</f>
        <v/>
      </c>
      <c r="E695" s="38" t="str">
        <f>IF($B695="","",SUM(VLOOKUP($B695,DADOS!$C$2:$I1014,6,0)*$C695))</f>
        <v/>
      </c>
      <c r="F695" s="39" t="str">
        <f>IF($E695="","",(VLOOKUP($B695,DADOS!$C$2:$I1014,7,0)))</f>
        <v/>
      </c>
      <c r="G695" s="40" t="str">
        <f t="shared" si="2"/>
        <v/>
      </c>
      <c r="H695" s="41"/>
      <c r="I695" s="42"/>
      <c r="J695" s="42"/>
      <c r="K695" s="42"/>
      <c r="L695" s="42"/>
      <c r="M695" s="42"/>
      <c r="N695" s="42"/>
      <c r="O695" s="42"/>
      <c r="P695" s="42"/>
      <c r="Q695" s="42"/>
      <c r="R695" s="42"/>
      <c r="S695" s="42"/>
      <c r="T695" s="42"/>
      <c r="U695" s="42"/>
      <c r="V695" s="42"/>
      <c r="W695" s="42"/>
      <c r="X695" s="42"/>
      <c r="Y695" s="42"/>
      <c r="Z695" s="42"/>
      <c r="AA695" s="42"/>
    </row>
    <row r="696">
      <c r="A696" s="36" t="str">
        <f>IF($B696="","",VLOOKUP($B696,DADOS!$C$2:$I1014,2,0))</f>
        <v/>
      </c>
      <c r="B696" s="37"/>
      <c r="C696" s="36"/>
      <c r="D696" s="38" t="str">
        <f>IF($B696="","",SUM(VLOOKUP($B696,DADOS!$C$2:$I1014,4,0)*$C696))</f>
        <v/>
      </c>
      <c r="E696" s="38" t="str">
        <f>IF($B696="","",SUM(VLOOKUP($B696,DADOS!$C$2:$I1014,6,0)*$C696))</f>
        <v/>
      </c>
      <c r="F696" s="39" t="str">
        <f>IF($E696="","",(VLOOKUP($B696,DADOS!$C$2:$I1014,7,0)))</f>
        <v/>
      </c>
      <c r="G696" s="40" t="str">
        <f t="shared" si="2"/>
        <v/>
      </c>
      <c r="H696" s="41"/>
      <c r="I696" s="42"/>
      <c r="J696" s="42"/>
      <c r="K696" s="42"/>
      <c r="L696" s="42"/>
      <c r="M696" s="42"/>
      <c r="N696" s="42"/>
      <c r="O696" s="42"/>
      <c r="P696" s="42"/>
      <c r="Q696" s="42"/>
      <c r="R696" s="42"/>
      <c r="S696" s="42"/>
      <c r="T696" s="42"/>
      <c r="U696" s="42"/>
      <c r="V696" s="42"/>
      <c r="W696" s="42"/>
      <c r="X696" s="42"/>
      <c r="Y696" s="42"/>
      <c r="Z696" s="42"/>
      <c r="AA696" s="42"/>
    </row>
    <row r="697">
      <c r="A697" s="36" t="str">
        <f>IF($B697="","",VLOOKUP($B697,DADOS!$C$2:$I1014,2,0))</f>
        <v/>
      </c>
      <c r="B697" s="37"/>
      <c r="C697" s="36"/>
      <c r="D697" s="38" t="str">
        <f>IF($B697="","",SUM(VLOOKUP($B697,DADOS!$C$2:$I1014,4,0)*$C697))</f>
        <v/>
      </c>
      <c r="E697" s="38" t="str">
        <f>IF($B697="","",SUM(VLOOKUP($B697,DADOS!$C$2:$I1014,6,0)*$C697))</f>
        <v/>
      </c>
      <c r="F697" s="39" t="str">
        <f>IF($E697="","",(VLOOKUP($B697,DADOS!$C$2:$I1014,7,0)))</f>
        <v/>
      </c>
      <c r="G697" s="40" t="str">
        <f t="shared" si="2"/>
        <v/>
      </c>
      <c r="H697" s="41"/>
      <c r="I697" s="42"/>
      <c r="J697" s="42"/>
      <c r="K697" s="42"/>
      <c r="L697" s="42"/>
      <c r="M697" s="42"/>
      <c r="N697" s="42"/>
      <c r="O697" s="42"/>
      <c r="P697" s="42"/>
      <c r="Q697" s="42"/>
      <c r="R697" s="42"/>
      <c r="S697" s="42"/>
      <c r="T697" s="42"/>
      <c r="U697" s="42"/>
      <c r="V697" s="42"/>
      <c r="W697" s="42"/>
      <c r="X697" s="42"/>
      <c r="Y697" s="42"/>
      <c r="Z697" s="42"/>
      <c r="AA697" s="42"/>
    </row>
    <row r="698">
      <c r="A698" s="36" t="str">
        <f>IF($B698="","",VLOOKUP($B698,DADOS!$C$2:$I1014,2,0))</f>
        <v/>
      </c>
      <c r="B698" s="37"/>
      <c r="C698" s="36"/>
      <c r="D698" s="38" t="str">
        <f>IF($B698="","",SUM(VLOOKUP($B698,DADOS!$C$2:$I1014,4,0)*$C698))</f>
        <v/>
      </c>
      <c r="E698" s="38" t="str">
        <f>IF($B698="","",SUM(VLOOKUP($B698,DADOS!$C$2:$I1014,6,0)*$C698))</f>
        <v/>
      </c>
      <c r="F698" s="39" t="str">
        <f>IF($E698="","",(VLOOKUP($B698,DADOS!$C$2:$I1014,7,0)))</f>
        <v/>
      </c>
      <c r="G698" s="40" t="str">
        <f t="shared" si="2"/>
        <v/>
      </c>
      <c r="H698" s="41"/>
      <c r="I698" s="42"/>
      <c r="J698" s="42"/>
      <c r="K698" s="42"/>
      <c r="L698" s="42"/>
      <c r="M698" s="42"/>
      <c r="N698" s="42"/>
      <c r="O698" s="42"/>
      <c r="P698" s="42"/>
      <c r="Q698" s="42"/>
      <c r="R698" s="42"/>
      <c r="S698" s="42"/>
      <c r="T698" s="42"/>
      <c r="U698" s="42"/>
      <c r="V698" s="42"/>
      <c r="W698" s="42"/>
      <c r="X698" s="42"/>
      <c r="Y698" s="42"/>
      <c r="Z698" s="42"/>
      <c r="AA698" s="42"/>
    </row>
    <row r="699">
      <c r="A699" s="36" t="str">
        <f>IF($B699="","",VLOOKUP($B699,DADOS!$C$2:$I1014,2,0))</f>
        <v/>
      </c>
      <c r="B699" s="37"/>
      <c r="C699" s="36"/>
      <c r="D699" s="38" t="str">
        <f>IF($B699="","",SUM(VLOOKUP($B699,DADOS!$C$2:$I1014,4,0)*$C699))</f>
        <v/>
      </c>
      <c r="E699" s="38" t="str">
        <f>IF($B699="","",SUM(VLOOKUP($B699,DADOS!$C$2:$I1014,6,0)*$C699))</f>
        <v/>
      </c>
      <c r="F699" s="39" t="str">
        <f>IF($E699="","",(VLOOKUP($B699,DADOS!$C$2:$I1014,7,0)))</f>
        <v/>
      </c>
      <c r="G699" s="40" t="str">
        <f t="shared" si="2"/>
        <v/>
      </c>
      <c r="H699" s="41"/>
      <c r="I699" s="42"/>
      <c r="J699" s="42"/>
      <c r="K699" s="42"/>
      <c r="L699" s="42"/>
      <c r="M699" s="42"/>
      <c r="N699" s="42"/>
      <c r="O699" s="42"/>
      <c r="P699" s="42"/>
      <c r="Q699" s="42"/>
      <c r="R699" s="42"/>
      <c r="S699" s="42"/>
      <c r="T699" s="42"/>
      <c r="U699" s="42"/>
      <c r="V699" s="42"/>
      <c r="W699" s="42"/>
      <c r="X699" s="42"/>
      <c r="Y699" s="42"/>
      <c r="Z699" s="42"/>
      <c r="AA699" s="42"/>
    </row>
    <row r="700">
      <c r="A700" s="36" t="str">
        <f>IF($B700="","",VLOOKUP($B700,DADOS!$C$2:$I1014,2,0))</f>
        <v/>
      </c>
      <c r="B700" s="37"/>
      <c r="C700" s="36"/>
      <c r="D700" s="38" t="str">
        <f>IF($B700="","",SUM(VLOOKUP($B700,DADOS!$C$2:$I1014,4,0)*$C700))</f>
        <v/>
      </c>
      <c r="E700" s="38" t="str">
        <f>IF($B700="","",SUM(VLOOKUP($B700,DADOS!$C$2:$I1014,6,0)*$C700))</f>
        <v/>
      </c>
      <c r="F700" s="39" t="str">
        <f>IF($E700="","",(VLOOKUP($B700,DADOS!$C$2:$I1014,7,0)))</f>
        <v/>
      </c>
      <c r="G700" s="40" t="str">
        <f t="shared" si="2"/>
        <v/>
      </c>
      <c r="H700" s="41"/>
      <c r="I700" s="42"/>
      <c r="J700" s="42"/>
      <c r="K700" s="42"/>
      <c r="L700" s="42"/>
      <c r="M700" s="42"/>
      <c r="N700" s="42"/>
      <c r="O700" s="42"/>
      <c r="P700" s="42"/>
      <c r="Q700" s="42"/>
      <c r="R700" s="42"/>
      <c r="S700" s="42"/>
      <c r="T700" s="42"/>
      <c r="U700" s="42"/>
      <c r="V700" s="42"/>
      <c r="W700" s="42"/>
      <c r="X700" s="42"/>
      <c r="Y700" s="42"/>
      <c r="Z700" s="42"/>
      <c r="AA700" s="42"/>
    </row>
    <row r="701">
      <c r="A701" s="36" t="str">
        <f>IF($B701="","",VLOOKUP($B701,DADOS!$C$2:$I1014,2,0))</f>
        <v/>
      </c>
      <c r="B701" s="37"/>
      <c r="C701" s="36"/>
      <c r="D701" s="38" t="str">
        <f>IF($B701="","",SUM(VLOOKUP($B701,DADOS!$C$2:$I1014,4,0)*$C701))</f>
        <v/>
      </c>
      <c r="E701" s="38" t="str">
        <f>IF($B701="","",SUM(VLOOKUP($B701,DADOS!$C$2:$I1014,6,0)*$C701))</f>
        <v/>
      </c>
      <c r="F701" s="39" t="str">
        <f>IF($E701="","",(VLOOKUP($B701,DADOS!$C$2:$I1014,7,0)))</f>
        <v/>
      </c>
      <c r="G701" s="40" t="str">
        <f t="shared" si="2"/>
        <v/>
      </c>
      <c r="H701" s="41"/>
      <c r="I701" s="42"/>
      <c r="J701" s="42"/>
      <c r="K701" s="42"/>
      <c r="L701" s="42"/>
      <c r="M701" s="42"/>
      <c r="N701" s="42"/>
      <c r="O701" s="42"/>
      <c r="P701" s="42"/>
      <c r="Q701" s="42"/>
      <c r="R701" s="42"/>
      <c r="S701" s="42"/>
      <c r="T701" s="42"/>
      <c r="U701" s="42"/>
      <c r="V701" s="42"/>
      <c r="W701" s="42"/>
      <c r="X701" s="42"/>
      <c r="Y701" s="42"/>
      <c r="Z701" s="42"/>
      <c r="AA701" s="42"/>
    </row>
    <row r="702">
      <c r="A702" s="36" t="str">
        <f>IF($B702="","",VLOOKUP($B702,DADOS!$C$2:$I1014,2,0))</f>
        <v/>
      </c>
      <c r="B702" s="37"/>
      <c r="C702" s="36"/>
      <c r="D702" s="38" t="str">
        <f>IF($B702="","",SUM(VLOOKUP($B702,DADOS!$C$2:$I1014,4,0)*$C702))</f>
        <v/>
      </c>
      <c r="E702" s="38" t="str">
        <f>IF($B702="","",SUM(VLOOKUP($B702,DADOS!$C$2:$I1014,6,0)*$C702))</f>
        <v/>
      </c>
      <c r="F702" s="39" t="str">
        <f>IF($E702="","",(VLOOKUP($B702,DADOS!$C$2:$I1014,7,0)))</f>
        <v/>
      </c>
      <c r="G702" s="40" t="str">
        <f t="shared" si="2"/>
        <v/>
      </c>
      <c r="H702" s="41"/>
      <c r="I702" s="42"/>
      <c r="J702" s="42"/>
      <c r="K702" s="42"/>
      <c r="L702" s="42"/>
      <c r="M702" s="42"/>
      <c r="N702" s="42"/>
      <c r="O702" s="42"/>
      <c r="P702" s="42"/>
      <c r="Q702" s="42"/>
      <c r="R702" s="42"/>
      <c r="S702" s="42"/>
      <c r="T702" s="42"/>
      <c r="U702" s="42"/>
      <c r="V702" s="42"/>
      <c r="W702" s="42"/>
      <c r="X702" s="42"/>
      <c r="Y702" s="42"/>
      <c r="Z702" s="42"/>
      <c r="AA702" s="42"/>
    </row>
    <row r="703">
      <c r="A703" s="36" t="str">
        <f>IF($B703="","",VLOOKUP($B703,DADOS!$C$2:$I1014,2,0))</f>
        <v/>
      </c>
      <c r="B703" s="37"/>
      <c r="C703" s="36"/>
      <c r="D703" s="38" t="str">
        <f>IF($B703="","",SUM(VLOOKUP($B703,DADOS!$C$2:$I1014,4,0)*$C703))</f>
        <v/>
      </c>
      <c r="E703" s="38" t="str">
        <f>IF($B703="","",SUM(VLOOKUP($B703,DADOS!$C$2:$I1014,6,0)*$C703))</f>
        <v/>
      </c>
      <c r="F703" s="39" t="str">
        <f>IF($E703="","",(VLOOKUP($B703,DADOS!$C$2:$I1014,7,0)))</f>
        <v/>
      </c>
      <c r="G703" s="40" t="str">
        <f t="shared" si="2"/>
        <v/>
      </c>
      <c r="H703" s="41"/>
      <c r="I703" s="42"/>
      <c r="J703" s="42"/>
      <c r="K703" s="42"/>
      <c r="L703" s="42"/>
      <c r="M703" s="42"/>
      <c r="N703" s="42"/>
      <c r="O703" s="42"/>
      <c r="P703" s="42"/>
      <c r="Q703" s="42"/>
      <c r="R703" s="42"/>
      <c r="S703" s="42"/>
      <c r="T703" s="42"/>
      <c r="U703" s="42"/>
      <c r="V703" s="42"/>
      <c r="W703" s="42"/>
      <c r="X703" s="42"/>
      <c r="Y703" s="42"/>
      <c r="Z703" s="42"/>
      <c r="AA703" s="42"/>
    </row>
    <row r="704">
      <c r="A704" s="36" t="str">
        <f>IF($B704="","",VLOOKUP($B704,DADOS!$C$2:$I1014,2,0))</f>
        <v/>
      </c>
      <c r="B704" s="37"/>
      <c r="C704" s="36"/>
      <c r="D704" s="38" t="str">
        <f>IF($B704="","",SUM(VLOOKUP($B704,DADOS!$C$2:$I1014,4,0)*$C704))</f>
        <v/>
      </c>
      <c r="E704" s="38" t="str">
        <f>IF($B704="","",SUM(VLOOKUP($B704,DADOS!$C$2:$I1014,6,0)*$C704))</f>
        <v/>
      </c>
      <c r="F704" s="39" t="str">
        <f>IF($E704="","",(VLOOKUP($B704,DADOS!$C$2:$I1014,7,0)))</f>
        <v/>
      </c>
      <c r="G704" s="40" t="str">
        <f t="shared" si="2"/>
        <v/>
      </c>
      <c r="H704" s="41"/>
      <c r="I704" s="42"/>
      <c r="J704" s="42"/>
      <c r="K704" s="42"/>
      <c r="L704" s="42"/>
      <c r="M704" s="42"/>
      <c r="N704" s="42"/>
      <c r="O704" s="42"/>
      <c r="P704" s="42"/>
      <c r="Q704" s="42"/>
      <c r="R704" s="42"/>
      <c r="S704" s="42"/>
      <c r="T704" s="42"/>
      <c r="U704" s="42"/>
      <c r="V704" s="42"/>
      <c r="W704" s="42"/>
      <c r="X704" s="42"/>
      <c r="Y704" s="42"/>
      <c r="Z704" s="42"/>
      <c r="AA704" s="42"/>
    </row>
    <row r="705">
      <c r="A705" s="36" t="str">
        <f>IF($B705="","",VLOOKUP($B705,DADOS!$C$2:$I1014,2,0))</f>
        <v/>
      </c>
      <c r="B705" s="37"/>
      <c r="C705" s="36"/>
      <c r="D705" s="38" t="str">
        <f>IF($B705="","",SUM(VLOOKUP($B705,DADOS!$C$2:$I1014,4,0)*$C705))</f>
        <v/>
      </c>
      <c r="E705" s="38" t="str">
        <f>IF($B705="","",SUM(VLOOKUP($B705,DADOS!$C$2:$I1014,6,0)*$C705))</f>
        <v/>
      </c>
      <c r="F705" s="39" t="str">
        <f>IF($E705="","",(VLOOKUP($B705,DADOS!$C$2:$I1014,7,0)))</f>
        <v/>
      </c>
      <c r="G705" s="40" t="str">
        <f t="shared" si="2"/>
        <v/>
      </c>
      <c r="H705" s="41"/>
      <c r="I705" s="42"/>
      <c r="J705" s="42"/>
      <c r="K705" s="42"/>
      <c r="L705" s="42"/>
      <c r="M705" s="42"/>
      <c r="N705" s="42"/>
      <c r="O705" s="42"/>
      <c r="P705" s="42"/>
      <c r="Q705" s="42"/>
      <c r="R705" s="42"/>
      <c r="S705" s="42"/>
      <c r="T705" s="42"/>
      <c r="U705" s="42"/>
      <c r="V705" s="42"/>
      <c r="W705" s="42"/>
      <c r="X705" s="42"/>
      <c r="Y705" s="42"/>
      <c r="Z705" s="42"/>
      <c r="AA705" s="42"/>
    </row>
    <row r="706">
      <c r="A706" s="36" t="str">
        <f>IF($B706="","",VLOOKUP($B706,DADOS!$C$2:$I1014,2,0))</f>
        <v/>
      </c>
      <c r="B706" s="37"/>
      <c r="C706" s="36"/>
      <c r="D706" s="38" t="str">
        <f>IF($B706="","",SUM(VLOOKUP($B706,DADOS!$C$2:$I1014,4,0)*$C706))</f>
        <v/>
      </c>
      <c r="E706" s="38" t="str">
        <f>IF($B706="","",SUM(VLOOKUP($B706,DADOS!$C$2:$I1014,6,0)*$C706))</f>
        <v/>
      </c>
      <c r="F706" s="39" t="str">
        <f>IF($E706="","",(VLOOKUP($B706,DADOS!$C$2:$I1014,7,0)))</f>
        <v/>
      </c>
      <c r="G706" s="40" t="str">
        <f t="shared" si="2"/>
        <v/>
      </c>
      <c r="H706" s="41"/>
      <c r="I706" s="42"/>
      <c r="J706" s="42"/>
      <c r="K706" s="42"/>
      <c r="L706" s="42"/>
      <c r="M706" s="42"/>
      <c r="N706" s="42"/>
      <c r="O706" s="42"/>
      <c r="P706" s="42"/>
      <c r="Q706" s="42"/>
      <c r="R706" s="42"/>
      <c r="S706" s="42"/>
      <c r="T706" s="42"/>
      <c r="U706" s="42"/>
      <c r="V706" s="42"/>
      <c r="W706" s="42"/>
      <c r="X706" s="42"/>
      <c r="Y706" s="42"/>
      <c r="Z706" s="42"/>
      <c r="AA706" s="42"/>
    </row>
    <row r="707">
      <c r="A707" s="36" t="str">
        <f>IF($B707="","",VLOOKUP($B707,DADOS!$C$2:$I1014,2,0))</f>
        <v/>
      </c>
      <c r="B707" s="37"/>
      <c r="C707" s="36"/>
      <c r="D707" s="38" t="str">
        <f>IF($B707="","",SUM(VLOOKUP($B707,DADOS!$C$2:$I1014,4,0)*$C707))</f>
        <v/>
      </c>
      <c r="E707" s="38" t="str">
        <f>IF($B707="","",SUM(VLOOKUP($B707,DADOS!$C$2:$I1014,6,0)*$C707))</f>
        <v/>
      </c>
      <c r="F707" s="39" t="str">
        <f>IF($E707="","",(VLOOKUP($B707,DADOS!$C$2:$I1014,7,0)))</f>
        <v/>
      </c>
      <c r="G707" s="40" t="str">
        <f t="shared" si="2"/>
        <v/>
      </c>
      <c r="H707" s="41"/>
      <c r="I707" s="42"/>
      <c r="J707" s="42"/>
      <c r="K707" s="42"/>
      <c r="L707" s="42"/>
      <c r="M707" s="42"/>
      <c r="N707" s="42"/>
      <c r="O707" s="42"/>
      <c r="P707" s="42"/>
      <c r="Q707" s="42"/>
      <c r="R707" s="42"/>
      <c r="S707" s="42"/>
      <c r="T707" s="42"/>
      <c r="U707" s="42"/>
      <c r="V707" s="42"/>
      <c r="W707" s="42"/>
      <c r="X707" s="42"/>
      <c r="Y707" s="42"/>
      <c r="Z707" s="42"/>
      <c r="AA707" s="42"/>
    </row>
    <row r="708">
      <c r="A708" s="36" t="str">
        <f>IF($B708="","",VLOOKUP($B708,DADOS!$C$2:$I1014,2,0))</f>
        <v/>
      </c>
      <c r="B708" s="37"/>
      <c r="C708" s="36"/>
      <c r="D708" s="38" t="str">
        <f>IF($B708="","",SUM(VLOOKUP($B708,DADOS!$C$2:$I1014,4,0)*$C708))</f>
        <v/>
      </c>
      <c r="E708" s="38" t="str">
        <f>IF($B708="","",SUM(VLOOKUP($B708,DADOS!$C$2:$I1014,6,0)*$C708))</f>
        <v/>
      </c>
      <c r="F708" s="39" t="str">
        <f>IF($E708="","",(VLOOKUP($B708,DADOS!$C$2:$I1014,7,0)))</f>
        <v/>
      </c>
      <c r="G708" s="40" t="str">
        <f t="shared" si="2"/>
        <v/>
      </c>
      <c r="H708" s="41"/>
      <c r="I708" s="42"/>
      <c r="J708" s="42"/>
      <c r="K708" s="42"/>
      <c r="L708" s="42"/>
      <c r="M708" s="42"/>
      <c r="N708" s="42"/>
      <c r="O708" s="42"/>
      <c r="P708" s="42"/>
      <c r="Q708" s="42"/>
      <c r="R708" s="42"/>
      <c r="S708" s="42"/>
      <c r="T708" s="42"/>
      <c r="U708" s="42"/>
      <c r="V708" s="42"/>
      <c r="W708" s="42"/>
      <c r="X708" s="42"/>
      <c r="Y708" s="42"/>
      <c r="Z708" s="42"/>
      <c r="AA708" s="42"/>
    </row>
    <row r="709">
      <c r="A709" s="36" t="str">
        <f>IF($B709="","",VLOOKUP($B709,DADOS!$C$2:$I1014,2,0))</f>
        <v/>
      </c>
      <c r="B709" s="37"/>
      <c r="C709" s="36"/>
      <c r="D709" s="38" t="str">
        <f>IF($B709="","",SUM(VLOOKUP($B709,DADOS!$C$2:$I1014,4,0)*$C709))</f>
        <v/>
      </c>
      <c r="E709" s="38" t="str">
        <f>IF($B709="","",SUM(VLOOKUP($B709,DADOS!$C$2:$I1014,6,0)*$C709))</f>
        <v/>
      </c>
      <c r="F709" s="39" t="str">
        <f>IF($E709="","",(VLOOKUP($B709,DADOS!$C$2:$I1014,7,0)))</f>
        <v/>
      </c>
      <c r="G709" s="40" t="str">
        <f t="shared" si="2"/>
        <v/>
      </c>
      <c r="H709" s="41"/>
      <c r="I709" s="42"/>
      <c r="J709" s="42"/>
      <c r="K709" s="42"/>
      <c r="L709" s="42"/>
      <c r="M709" s="42"/>
      <c r="N709" s="42"/>
      <c r="O709" s="42"/>
      <c r="P709" s="42"/>
      <c r="Q709" s="42"/>
      <c r="R709" s="42"/>
      <c r="S709" s="42"/>
      <c r="T709" s="42"/>
      <c r="U709" s="42"/>
      <c r="V709" s="42"/>
      <c r="W709" s="42"/>
      <c r="X709" s="42"/>
      <c r="Y709" s="42"/>
      <c r="Z709" s="42"/>
      <c r="AA709" s="42"/>
    </row>
    <row r="710">
      <c r="A710" s="36" t="str">
        <f>IF($B710="","",VLOOKUP($B710,DADOS!$C$2:$I1014,2,0))</f>
        <v/>
      </c>
      <c r="B710" s="37"/>
      <c r="C710" s="36"/>
      <c r="D710" s="38" t="str">
        <f>IF($B710="","",SUM(VLOOKUP($B710,DADOS!$C$2:$I1014,4,0)*$C710))</f>
        <v/>
      </c>
      <c r="E710" s="38" t="str">
        <f>IF($B710="","",SUM(VLOOKUP($B710,DADOS!$C$2:$I1014,6,0)*$C710))</f>
        <v/>
      </c>
      <c r="F710" s="39" t="str">
        <f>IF($E710="","",(VLOOKUP($B710,DADOS!$C$2:$I1014,7,0)))</f>
        <v/>
      </c>
      <c r="G710" s="40" t="str">
        <f t="shared" si="2"/>
        <v/>
      </c>
      <c r="H710" s="41"/>
      <c r="I710" s="42"/>
      <c r="J710" s="42"/>
      <c r="K710" s="42"/>
      <c r="L710" s="42"/>
      <c r="M710" s="42"/>
      <c r="N710" s="42"/>
      <c r="O710" s="42"/>
      <c r="P710" s="42"/>
      <c r="Q710" s="42"/>
      <c r="R710" s="42"/>
      <c r="S710" s="42"/>
      <c r="T710" s="42"/>
      <c r="U710" s="42"/>
      <c r="V710" s="42"/>
      <c r="W710" s="42"/>
      <c r="X710" s="42"/>
      <c r="Y710" s="42"/>
      <c r="Z710" s="42"/>
      <c r="AA710" s="42"/>
    </row>
    <row r="711">
      <c r="A711" s="36" t="str">
        <f>IF($B711="","",VLOOKUP($B711,DADOS!$C$2:$I1014,2,0))</f>
        <v/>
      </c>
      <c r="B711" s="37"/>
      <c r="C711" s="36"/>
      <c r="D711" s="38" t="str">
        <f>IF($B711="","",SUM(VLOOKUP($B711,DADOS!$C$2:$I1014,4,0)*$C711))</f>
        <v/>
      </c>
      <c r="E711" s="38" t="str">
        <f>IF($B711="","",SUM(VLOOKUP($B711,DADOS!$C$2:$I1014,6,0)*$C711))</f>
        <v/>
      </c>
      <c r="F711" s="39" t="str">
        <f>IF($E711="","",(VLOOKUP($B711,DADOS!$C$2:$I1014,7,0)))</f>
        <v/>
      </c>
      <c r="G711" s="40" t="str">
        <f t="shared" si="2"/>
        <v/>
      </c>
      <c r="H711" s="41"/>
      <c r="I711" s="42"/>
      <c r="J711" s="42"/>
      <c r="K711" s="42"/>
      <c r="L711" s="42"/>
      <c r="M711" s="42"/>
      <c r="N711" s="42"/>
      <c r="O711" s="42"/>
      <c r="P711" s="42"/>
      <c r="Q711" s="42"/>
      <c r="R711" s="42"/>
      <c r="S711" s="42"/>
      <c r="T711" s="42"/>
      <c r="U711" s="42"/>
      <c r="V711" s="42"/>
      <c r="W711" s="42"/>
      <c r="X711" s="42"/>
      <c r="Y711" s="42"/>
      <c r="Z711" s="42"/>
      <c r="AA711" s="42"/>
    </row>
    <row r="712">
      <c r="A712" s="36" t="str">
        <f>IF($B712="","",VLOOKUP($B712,DADOS!$C$2:$I1014,2,0))</f>
        <v/>
      </c>
      <c r="B712" s="37"/>
      <c r="C712" s="36"/>
      <c r="D712" s="38" t="str">
        <f>IF($B712="","",SUM(VLOOKUP($B712,DADOS!$C$2:$I1014,4,0)*$C712))</f>
        <v/>
      </c>
      <c r="E712" s="38" t="str">
        <f>IF($B712="","",SUM(VLOOKUP($B712,DADOS!$C$2:$I1014,6,0)*$C712))</f>
        <v/>
      </c>
      <c r="F712" s="39" t="str">
        <f>IF($E712="","",(VLOOKUP($B712,DADOS!$C$2:$I1014,7,0)))</f>
        <v/>
      </c>
      <c r="G712" s="40" t="str">
        <f t="shared" si="2"/>
        <v/>
      </c>
      <c r="H712" s="41"/>
      <c r="I712" s="42"/>
      <c r="J712" s="42"/>
      <c r="K712" s="42"/>
      <c r="L712" s="42"/>
      <c r="M712" s="42"/>
      <c r="N712" s="42"/>
      <c r="O712" s="42"/>
      <c r="P712" s="42"/>
      <c r="Q712" s="42"/>
      <c r="R712" s="42"/>
      <c r="S712" s="42"/>
      <c r="T712" s="42"/>
      <c r="U712" s="42"/>
      <c r="V712" s="42"/>
      <c r="W712" s="42"/>
      <c r="X712" s="42"/>
      <c r="Y712" s="42"/>
      <c r="Z712" s="42"/>
      <c r="AA712" s="42"/>
    </row>
    <row r="713">
      <c r="A713" s="36" t="str">
        <f>IF($B713="","",VLOOKUP($B713,DADOS!$C$2:$I1014,2,0))</f>
        <v/>
      </c>
      <c r="B713" s="37"/>
      <c r="C713" s="36"/>
      <c r="D713" s="38" t="str">
        <f>IF($B713="","",SUM(VLOOKUP($B713,DADOS!$C$2:$I1014,4,0)*$C713))</f>
        <v/>
      </c>
      <c r="E713" s="38" t="str">
        <f>IF($B713="","",SUM(VLOOKUP($B713,DADOS!$C$2:$I1014,6,0)*$C713))</f>
        <v/>
      </c>
      <c r="F713" s="39" t="str">
        <f>IF($E713="","",(VLOOKUP($B713,DADOS!$C$2:$I1014,7,0)))</f>
        <v/>
      </c>
      <c r="G713" s="40" t="str">
        <f t="shared" si="2"/>
        <v/>
      </c>
      <c r="H713" s="41"/>
      <c r="I713" s="42"/>
      <c r="J713" s="42"/>
      <c r="K713" s="42"/>
      <c r="L713" s="42"/>
      <c r="M713" s="42"/>
      <c r="N713" s="42"/>
      <c r="O713" s="42"/>
      <c r="P713" s="42"/>
      <c r="Q713" s="42"/>
      <c r="R713" s="42"/>
      <c r="S713" s="42"/>
      <c r="T713" s="42"/>
      <c r="U713" s="42"/>
      <c r="V713" s="42"/>
      <c r="W713" s="42"/>
      <c r="X713" s="42"/>
      <c r="Y713" s="42"/>
      <c r="Z713" s="42"/>
      <c r="AA713" s="42"/>
    </row>
    <row r="714">
      <c r="A714" s="36" t="str">
        <f>IF($B714="","",VLOOKUP($B714,DADOS!$C$2:$I1014,2,0))</f>
        <v/>
      </c>
      <c r="B714" s="37"/>
      <c r="C714" s="36"/>
      <c r="D714" s="38" t="str">
        <f>IF($B714="","",SUM(VLOOKUP($B714,DADOS!$C$2:$I1014,4,0)*$C714))</f>
        <v/>
      </c>
      <c r="E714" s="38" t="str">
        <f>IF($B714="","",SUM(VLOOKUP($B714,DADOS!$C$2:$I1014,6,0)*$C714))</f>
        <v/>
      </c>
      <c r="F714" s="39" t="str">
        <f>IF($E714="","",(VLOOKUP($B714,DADOS!$C$2:$I1014,7,0)))</f>
        <v/>
      </c>
      <c r="G714" s="40" t="str">
        <f t="shared" si="2"/>
        <v/>
      </c>
      <c r="H714" s="41"/>
      <c r="I714" s="42"/>
      <c r="J714" s="42"/>
      <c r="K714" s="42"/>
      <c r="L714" s="42"/>
      <c r="M714" s="42"/>
      <c r="N714" s="42"/>
      <c r="O714" s="42"/>
      <c r="P714" s="42"/>
      <c r="Q714" s="42"/>
      <c r="R714" s="42"/>
      <c r="S714" s="42"/>
      <c r="T714" s="42"/>
      <c r="U714" s="42"/>
      <c r="V714" s="42"/>
      <c r="W714" s="42"/>
      <c r="X714" s="42"/>
      <c r="Y714" s="42"/>
      <c r="Z714" s="42"/>
      <c r="AA714" s="42"/>
    </row>
    <row r="715">
      <c r="A715" s="36" t="str">
        <f>IF($B715="","",VLOOKUP($B715,DADOS!$C$2:$I1014,2,0))</f>
        <v/>
      </c>
      <c r="B715" s="37"/>
      <c r="C715" s="36"/>
      <c r="D715" s="38" t="str">
        <f>IF($B715="","",SUM(VLOOKUP($B715,DADOS!$C$2:$I1014,4,0)*$C715))</f>
        <v/>
      </c>
      <c r="E715" s="38" t="str">
        <f>IF($B715="","",SUM(VLOOKUP($B715,DADOS!$C$2:$I1014,6,0)*$C715))</f>
        <v/>
      </c>
      <c r="F715" s="39" t="str">
        <f>IF($E715="","",(VLOOKUP($B715,DADOS!$C$2:$I1014,7,0)))</f>
        <v/>
      </c>
      <c r="G715" s="40" t="str">
        <f t="shared" si="2"/>
        <v/>
      </c>
      <c r="H715" s="41"/>
      <c r="I715" s="42"/>
      <c r="J715" s="42"/>
      <c r="K715" s="42"/>
      <c r="L715" s="42"/>
      <c r="M715" s="42"/>
      <c r="N715" s="42"/>
      <c r="O715" s="42"/>
      <c r="P715" s="42"/>
      <c r="Q715" s="42"/>
      <c r="R715" s="42"/>
      <c r="S715" s="42"/>
      <c r="T715" s="42"/>
      <c r="U715" s="42"/>
      <c r="V715" s="42"/>
      <c r="W715" s="42"/>
      <c r="X715" s="42"/>
      <c r="Y715" s="42"/>
      <c r="Z715" s="42"/>
      <c r="AA715" s="42"/>
    </row>
    <row r="716">
      <c r="A716" s="36" t="str">
        <f>IF($B716="","",VLOOKUP($B716,DADOS!$C$2:$I1014,2,0))</f>
        <v/>
      </c>
      <c r="B716" s="37"/>
      <c r="C716" s="36"/>
      <c r="D716" s="38" t="str">
        <f>IF($B716="","",SUM(VLOOKUP($B716,DADOS!$C$2:$I1014,4,0)*$C716))</f>
        <v/>
      </c>
      <c r="E716" s="38" t="str">
        <f>IF($B716="","",SUM(VLOOKUP($B716,DADOS!$C$2:$I1014,6,0)*$C716))</f>
        <v/>
      </c>
      <c r="F716" s="39" t="str">
        <f>IF($E716="","",(VLOOKUP($B716,DADOS!$C$2:$I1014,7,0)))</f>
        <v/>
      </c>
      <c r="G716" s="40" t="str">
        <f t="shared" si="2"/>
        <v/>
      </c>
      <c r="H716" s="41"/>
      <c r="I716" s="42"/>
      <c r="J716" s="42"/>
      <c r="K716" s="42"/>
      <c r="L716" s="42"/>
      <c r="M716" s="42"/>
      <c r="N716" s="42"/>
      <c r="O716" s="42"/>
      <c r="P716" s="42"/>
      <c r="Q716" s="42"/>
      <c r="R716" s="42"/>
      <c r="S716" s="42"/>
      <c r="T716" s="42"/>
      <c r="U716" s="42"/>
      <c r="V716" s="42"/>
      <c r="W716" s="42"/>
      <c r="X716" s="42"/>
      <c r="Y716" s="42"/>
      <c r="Z716" s="42"/>
      <c r="AA716" s="42"/>
    </row>
    <row r="717">
      <c r="A717" s="36" t="str">
        <f>IF($B717="","",VLOOKUP($B717,DADOS!$C$2:$I1014,2,0))</f>
        <v/>
      </c>
      <c r="B717" s="37"/>
      <c r="C717" s="36"/>
      <c r="D717" s="38" t="str">
        <f>IF($B717="","",SUM(VLOOKUP($B717,DADOS!$C$2:$I1014,4,0)*$C717))</f>
        <v/>
      </c>
      <c r="E717" s="38" t="str">
        <f>IF($B717="","",SUM(VLOOKUP($B717,DADOS!$C$2:$I1014,6,0)*$C717))</f>
        <v/>
      </c>
      <c r="F717" s="39" t="str">
        <f>IF($E717="","",(VLOOKUP($B717,DADOS!$C$2:$I1014,7,0)))</f>
        <v/>
      </c>
      <c r="G717" s="40" t="str">
        <f t="shared" si="2"/>
        <v/>
      </c>
      <c r="H717" s="41"/>
      <c r="I717" s="42"/>
      <c r="J717" s="42"/>
      <c r="K717" s="42"/>
      <c r="L717" s="42"/>
      <c r="M717" s="42"/>
      <c r="N717" s="42"/>
      <c r="O717" s="42"/>
      <c r="P717" s="42"/>
      <c r="Q717" s="42"/>
      <c r="R717" s="42"/>
      <c r="S717" s="42"/>
      <c r="T717" s="42"/>
      <c r="U717" s="42"/>
      <c r="V717" s="42"/>
      <c r="W717" s="42"/>
      <c r="X717" s="42"/>
      <c r="Y717" s="42"/>
      <c r="Z717" s="42"/>
      <c r="AA717" s="42"/>
    </row>
    <row r="718">
      <c r="A718" s="36" t="str">
        <f>IF($B718="","",VLOOKUP($B718,DADOS!$C$2:$I1014,2,0))</f>
        <v/>
      </c>
      <c r="B718" s="37"/>
      <c r="C718" s="36"/>
      <c r="D718" s="38" t="str">
        <f>IF($B718="","",SUM(VLOOKUP($B718,DADOS!$C$2:$I1014,4,0)*$C718))</f>
        <v/>
      </c>
      <c r="E718" s="38" t="str">
        <f>IF($B718="","",SUM(VLOOKUP($B718,DADOS!$C$2:$I1014,6,0)*$C718))</f>
        <v/>
      </c>
      <c r="F718" s="39" t="str">
        <f>IF($E718="","",(VLOOKUP($B718,DADOS!$C$2:$I1014,7,0)))</f>
        <v/>
      </c>
      <c r="G718" s="40" t="str">
        <f t="shared" si="2"/>
        <v/>
      </c>
      <c r="H718" s="41"/>
      <c r="I718" s="42"/>
      <c r="J718" s="42"/>
      <c r="K718" s="42"/>
      <c r="L718" s="42"/>
      <c r="M718" s="42"/>
      <c r="N718" s="42"/>
      <c r="O718" s="42"/>
      <c r="P718" s="42"/>
      <c r="Q718" s="42"/>
      <c r="R718" s="42"/>
      <c r="S718" s="42"/>
      <c r="T718" s="42"/>
      <c r="U718" s="42"/>
      <c r="V718" s="42"/>
      <c r="W718" s="42"/>
      <c r="X718" s="42"/>
      <c r="Y718" s="42"/>
      <c r="Z718" s="42"/>
      <c r="AA718" s="42"/>
    </row>
    <row r="719">
      <c r="A719" s="36" t="str">
        <f>IF($B719="","",VLOOKUP($B719,DADOS!$C$2:$I1014,2,0))</f>
        <v/>
      </c>
      <c r="B719" s="37"/>
      <c r="C719" s="36"/>
      <c r="D719" s="38" t="str">
        <f>IF($B719="","",SUM(VLOOKUP($B719,DADOS!$C$2:$I1014,4,0)*$C719))</f>
        <v/>
      </c>
      <c r="E719" s="38" t="str">
        <f>IF($B719="","",SUM(VLOOKUP($B719,DADOS!$C$2:$I1014,6,0)*$C719))</f>
        <v/>
      </c>
      <c r="F719" s="39" t="str">
        <f>IF($E719="","",(VLOOKUP($B719,DADOS!$C$2:$I1014,7,0)))</f>
        <v/>
      </c>
      <c r="G719" s="40" t="str">
        <f t="shared" si="2"/>
        <v/>
      </c>
      <c r="H719" s="41"/>
      <c r="I719" s="42"/>
      <c r="J719" s="42"/>
      <c r="K719" s="42"/>
      <c r="L719" s="42"/>
      <c r="M719" s="42"/>
      <c r="N719" s="42"/>
      <c r="O719" s="42"/>
      <c r="P719" s="42"/>
      <c r="Q719" s="42"/>
      <c r="R719" s="42"/>
      <c r="S719" s="42"/>
      <c r="T719" s="42"/>
      <c r="U719" s="42"/>
      <c r="V719" s="42"/>
      <c r="W719" s="42"/>
      <c r="X719" s="42"/>
      <c r="Y719" s="42"/>
      <c r="Z719" s="42"/>
      <c r="AA719" s="42"/>
    </row>
    <row r="720">
      <c r="A720" s="36" t="str">
        <f>IF($B720="","",VLOOKUP($B720,DADOS!$C$2:$I1014,2,0))</f>
        <v/>
      </c>
      <c r="B720" s="37"/>
      <c r="C720" s="36"/>
      <c r="D720" s="38" t="str">
        <f>IF($B720="","",SUM(VLOOKUP($B720,DADOS!$C$2:$I1014,4,0)*$C720))</f>
        <v/>
      </c>
      <c r="E720" s="38" t="str">
        <f>IF($B720="","",SUM(VLOOKUP($B720,DADOS!$C$2:$I1014,6,0)*$C720))</f>
        <v/>
      </c>
      <c r="F720" s="39" t="str">
        <f>IF($E720="","",(VLOOKUP($B720,DADOS!$C$2:$I1014,7,0)))</f>
        <v/>
      </c>
      <c r="G720" s="40" t="str">
        <f t="shared" si="2"/>
        <v/>
      </c>
      <c r="H720" s="41"/>
      <c r="I720" s="42"/>
      <c r="J720" s="42"/>
      <c r="K720" s="42"/>
      <c r="L720" s="42"/>
      <c r="M720" s="42"/>
      <c r="N720" s="42"/>
      <c r="O720" s="42"/>
      <c r="P720" s="42"/>
      <c r="Q720" s="42"/>
      <c r="R720" s="42"/>
      <c r="S720" s="42"/>
      <c r="T720" s="42"/>
      <c r="U720" s="42"/>
      <c r="V720" s="42"/>
      <c r="W720" s="42"/>
      <c r="X720" s="42"/>
      <c r="Y720" s="42"/>
      <c r="Z720" s="42"/>
      <c r="AA720" s="42"/>
    </row>
    <row r="721">
      <c r="A721" s="36" t="str">
        <f>IF($B721="","",VLOOKUP($B721,DADOS!$C$2:$I1014,2,0))</f>
        <v/>
      </c>
      <c r="B721" s="37"/>
      <c r="C721" s="36"/>
      <c r="D721" s="38" t="str">
        <f>IF($B721="","",SUM(VLOOKUP($B721,DADOS!$C$2:$I1014,4,0)*$C721))</f>
        <v/>
      </c>
      <c r="E721" s="38" t="str">
        <f>IF($B721="","",SUM(VLOOKUP($B721,DADOS!$C$2:$I1014,6,0)*$C721))</f>
        <v/>
      </c>
      <c r="F721" s="39" t="str">
        <f>IF($E721="","",(VLOOKUP($B721,DADOS!$C$2:$I1014,7,0)))</f>
        <v/>
      </c>
      <c r="G721" s="40" t="str">
        <f t="shared" si="2"/>
        <v/>
      </c>
      <c r="H721" s="41"/>
      <c r="I721" s="42"/>
      <c r="J721" s="42"/>
      <c r="K721" s="42"/>
      <c r="L721" s="42"/>
      <c r="M721" s="42"/>
      <c r="N721" s="42"/>
      <c r="O721" s="42"/>
      <c r="P721" s="42"/>
      <c r="Q721" s="42"/>
      <c r="R721" s="42"/>
      <c r="S721" s="42"/>
      <c r="T721" s="42"/>
      <c r="U721" s="42"/>
      <c r="V721" s="42"/>
      <c r="W721" s="42"/>
      <c r="X721" s="42"/>
      <c r="Y721" s="42"/>
      <c r="Z721" s="42"/>
      <c r="AA721" s="42"/>
    </row>
    <row r="722">
      <c r="A722" s="36" t="str">
        <f>IF($B722="","",VLOOKUP($B722,DADOS!$C$2:$I1014,2,0))</f>
        <v/>
      </c>
      <c r="B722" s="37"/>
      <c r="C722" s="36"/>
      <c r="D722" s="38" t="str">
        <f>IF($B722="","",SUM(VLOOKUP($B722,DADOS!$C$2:$I1014,4,0)*$C722))</f>
        <v/>
      </c>
      <c r="E722" s="38" t="str">
        <f>IF($B722="","",SUM(VLOOKUP($B722,DADOS!$C$2:$I1014,6,0)*$C722))</f>
        <v/>
      </c>
      <c r="F722" s="39" t="str">
        <f>IF($E722="","",(VLOOKUP($B722,DADOS!$C$2:$I1014,7,0)))</f>
        <v/>
      </c>
      <c r="G722" s="40" t="str">
        <f t="shared" si="2"/>
        <v/>
      </c>
      <c r="H722" s="41"/>
      <c r="I722" s="42"/>
      <c r="J722" s="42"/>
      <c r="K722" s="42"/>
      <c r="L722" s="42"/>
      <c r="M722" s="42"/>
      <c r="N722" s="42"/>
      <c r="O722" s="42"/>
      <c r="P722" s="42"/>
      <c r="Q722" s="42"/>
      <c r="R722" s="42"/>
      <c r="S722" s="42"/>
      <c r="T722" s="42"/>
      <c r="U722" s="42"/>
      <c r="V722" s="42"/>
      <c r="W722" s="42"/>
      <c r="X722" s="42"/>
      <c r="Y722" s="42"/>
      <c r="Z722" s="42"/>
      <c r="AA722" s="42"/>
    </row>
    <row r="723">
      <c r="A723" s="36" t="str">
        <f>IF($B723="","",VLOOKUP($B723,DADOS!$C$2:$I1014,2,0))</f>
        <v/>
      </c>
      <c r="B723" s="37"/>
      <c r="C723" s="36"/>
      <c r="D723" s="38" t="str">
        <f>IF($B723="","",SUM(VLOOKUP($B723,DADOS!$C$2:$I1014,4,0)*$C723))</f>
        <v/>
      </c>
      <c r="E723" s="38" t="str">
        <f>IF($B723="","",SUM(VLOOKUP($B723,DADOS!$C$2:$I1014,6,0)*$C723))</f>
        <v/>
      </c>
      <c r="F723" s="39" t="str">
        <f>IF($E723="","",(VLOOKUP($B723,DADOS!$C$2:$I1014,7,0)))</f>
        <v/>
      </c>
      <c r="G723" s="40" t="str">
        <f t="shared" si="2"/>
        <v/>
      </c>
      <c r="H723" s="41"/>
      <c r="I723" s="42"/>
      <c r="J723" s="42"/>
      <c r="K723" s="42"/>
      <c r="L723" s="42"/>
      <c r="M723" s="42"/>
      <c r="N723" s="42"/>
      <c r="O723" s="42"/>
      <c r="P723" s="42"/>
      <c r="Q723" s="42"/>
      <c r="R723" s="42"/>
      <c r="S723" s="42"/>
      <c r="T723" s="42"/>
      <c r="U723" s="42"/>
      <c r="V723" s="42"/>
      <c r="W723" s="42"/>
      <c r="X723" s="42"/>
      <c r="Y723" s="42"/>
      <c r="Z723" s="42"/>
      <c r="AA723" s="42"/>
    </row>
    <row r="724">
      <c r="A724" s="36" t="str">
        <f>IF($B724="","",VLOOKUP($B724,DADOS!$C$2:$I1014,2,0))</f>
        <v/>
      </c>
      <c r="B724" s="37"/>
      <c r="C724" s="36"/>
      <c r="D724" s="38" t="str">
        <f>IF($B724="","",SUM(VLOOKUP($B724,DADOS!$C$2:$I1014,4,0)*$C724))</f>
        <v/>
      </c>
      <c r="E724" s="38" t="str">
        <f>IF($B724="","",SUM(VLOOKUP($B724,DADOS!$C$2:$I1014,6,0)*$C724))</f>
        <v/>
      </c>
      <c r="F724" s="39" t="str">
        <f>IF($E724="","",(VLOOKUP($B724,DADOS!$C$2:$I1014,7,0)))</f>
        <v/>
      </c>
      <c r="G724" s="40" t="str">
        <f t="shared" si="2"/>
        <v/>
      </c>
      <c r="H724" s="41"/>
      <c r="I724" s="42"/>
      <c r="J724" s="42"/>
      <c r="K724" s="42"/>
      <c r="L724" s="42"/>
      <c r="M724" s="42"/>
      <c r="N724" s="42"/>
      <c r="O724" s="42"/>
      <c r="P724" s="42"/>
      <c r="Q724" s="42"/>
      <c r="R724" s="42"/>
      <c r="S724" s="42"/>
      <c r="T724" s="42"/>
      <c r="U724" s="42"/>
      <c r="V724" s="42"/>
      <c r="W724" s="42"/>
      <c r="X724" s="42"/>
      <c r="Y724" s="42"/>
      <c r="Z724" s="42"/>
      <c r="AA724" s="42"/>
    </row>
    <row r="725">
      <c r="A725" s="36" t="str">
        <f>IF($B725="","",VLOOKUP($B725,DADOS!$C$2:$I1014,2,0))</f>
        <v/>
      </c>
      <c r="B725" s="37"/>
      <c r="C725" s="36"/>
      <c r="D725" s="38" t="str">
        <f>IF($B725="","",SUM(VLOOKUP($B725,DADOS!$C$2:$I1014,4,0)*$C725))</f>
        <v/>
      </c>
      <c r="E725" s="38" t="str">
        <f>IF($B725="","",SUM(VLOOKUP($B725,DADOS!$C$2:$I1014,6,0)*$C725))</f>
        <v/>
      </c>
      <c r="F725" s="39" t="str">
        <f>IF($E725="","",(VLOOKUP($B725,DADOS!$C$2:$I1014,7,0)))</f>
        <v/>
      </c>
      <c r="G725" s="40" t="str">
        <f t="shared" si="2"/>
        <v/>
      </c>
      <c r="H725" s="41"/>
      <c r="I725" s="42"/>
      <c r="J725" s="42"/>
      <c r="K725" s="42"/>
      <c r="L725" s="42"/>
      <c r="M725" s="42"/>
      <c r="N725" s="42"/>
      <c r="O725" s="42"/>
      <c r="P725" s="42"/>
      <c r="Q725" s="42"/>
      <c r="R725" s="42"/>
      <c r="S725" s="42"/>
      <c r="T725" s="42"/>
      <c r="U725" s="42"/>
      <c r="V725" s="42"/>
      <c r="W725" s="42"/>
      <c r="X725" s="42"/>
      <c r="Y725" s="42"/>
      <c r="Z725" s="42"/>
      <c r="AA725" s="42"/>
    </row>
    <row r="726">
      <c r="A726" s="36" t="str">
        <f>IF($B726="","",VLOOKUP($B726,DADOS!$C$2:$I1014,2,0))</f>
        <v/>
      </c>
      <c r="B726" s="37"/>
      <c r="C726" s="36"/>
      <c r="D726" s="38" t="str">
        <f>IF($B726="","",SUM(VLOOKUP($B726,DADOS!$C$2:$I1014,4,0)*$C726))</f>
        <v/>
      </c>
      <c r="E726" s="38" t="str">
        <f>IF($B726="","",SUM(VLOOKUP($B726,DADOS!$C$2:$I1014,6,0)*$C726))</f>
        <v/>
      </c>
      <c r="F726" s="39" t="str">
        <f>IF($E726="","",(VLOOKUP($B726,DADOS!$C$2:$I1014,7,0)))</f>
        <v/>
      </c>
      <c r="G726" s="40" t="str">
        <f t="shared" si="2"/>
        <v/>
      </c>
      <c r="H726" s="41"/>
      <c r="I726" s="42"/>
      <c r="J726" s="42"/>
      <c r="K726" s="42"/>
      <c r="L726" s="42"/>
      <c r="M726" s="42"/>
      <c r="N726" s="42"/>
      <c r="O726" s="42"/>
      <c r="P726" s="42"/>
      <c r="Q726" s="42"/>
      <c r="R726" s="42"/>
      <c r="S726" s="42"/>
      <c r="T726" s="42"/>
      <c r="U726" s="42"/>
      <c r="V726" s="42"/>
      <c r="W726" s="42"/>
      <c r="X726" s="42"/>
      <c r="Y726" s="42"/>
      <c r="Z726" s="42"/>
      <c r="AA726" s="42"/>
    </row>
    <row r="727">
      <c r="A727" s="36" t="str">
        <f>IF($B727="","",VLOOKUP($B727,DADOS!$C$2:$I1014,2,0))</f>
        <v/>
      </c>
      <c r="B727" s="37"/>
      <c r="C727" s="36"/>
      <c r="D727" s="38" t="str">
        <f>IF($B727="","",SUM(VLOOKUP($B727,DADOS!$C$2:$I1014,4,0)*$C727))</f>
        <v/>
      </c>
      <c r="E727" s="38" t="str">
        <f>IF($B727="","",SUM(VLOOKUP($B727,DADOS!$C$2:$I1014,6,0)*$C727))</f>
        <v/>
      </c>
      <c r="F727" s="39" t="str">
        <f>IF($E727="","",(VLOOKUP($B727,DADOS!$C$2:$I1014,7,0)))</f>
        <v/>
      </c>
      <c r="G727" s="40" t="str">
        <f t="shared" si="2"/>
        <v/>
      </c>
      <c r="H727" s="41"/>
      <c r="I727" s="42"/>
      <c r="J727" s="42"/>
      <c r="K727" s="42"/>
      <c r="L727" s="42"/>
      <c r="M727" s="42"/>
      <c r="N727" s="42"/>
      <c r="O727" s="42"/>
      <c r="P727" s="42"/>
      <c r="Q727" s="42"/>
      <c r="R727" s="42"/>
      <c r="S727" s="42"/>
      <c r="T727" s="42"/>
      <c r="U727" s="42"/>
      <c r="V727" s="42"/>
      <c r="W727" s="42"/>
      <c r="X727" s="42"/>
      <c r="Y727" s="42"/>
      <c r="Z727" s="42"/>
      <c r="AA727" s="42"/>
    </row>
    <row r="728">
      <c r="A728" s="36" t="str">
        <f>IF($B728="","",VLOOKUP($B728,DADOS!$C$2:$I1014,2,0))</f>
        <v/>
      </c>
      <c r="B728" s="37"/>
      <c r="C728" s="36"/>
      <c r="D728" s="38" t="str">
        <f>IF($B728="","",SUM(VLOOKUP($B728,DADOS!$C$2:$I1014,4,0)*$C728))</f>
        <v/>
      </c>
      <c r="E728" s="38" t="str">
        <f>IF($B728="","",SUM(VLOOKUP($B728,DADOS!$C$2:$I1014,6,0)*$C728))</f>
        <v/>
      </c>
      <c r="F728" s="39" t="str">
        <f>IF($E728="","",(VLOOKUP($B728,DADOS!$C$2:$I1014,7,0)))</f>
        <v/>
      </c>
      <c r="G728" s="40" t="str">
        <f t="shared" si="2"/>
        <v/>
      </c>
      <c r="H728" s="41"/>
      <c r="I728" s="42"/>
      <c r="J728" s="42"/>
      <c r="K728" s="42"/>
      <c r="L728" s="42"/>
      <c r="M728" s="42"/>
      <c r="N728" s="42"/>
      <c r="O728" s="42"/>
      <c r="P728" s="42"/>
      <c r="Q728" s="42"/>
      <c r="R728" s="42"/>
      <c r="S728" s="42"/>
      <c r="T728" s="42"/>
      <c r="U728" s="42"/>
      <c r="V728" s="42"/>
      <c r="W728" s="42"/>
      <c r="X728" s="42"/>
      <c r="Y728" s="42"/>
      <c r="Z728" s="42"/>
      <c r="AA728" s="42"/>
    </row>
    <row r="729">
      <c r="A729" s="36" t="str">
        <f>IF($B729="","",VLOOKUP($B729,DADOS!$C$2:$I1014,2,0))</f>
        <v/>
      </c>
      <c r="B729" s="37"/>
      <c r="C729" s="36"/>
      <c r="D729" s="38" t="str">
        <f>IF($B729="","",SUM(VLOOKUP($B729,DADOS!$C$2:$I1014,4,0)*$C729))</f>
        <v/>
      </c>
      <c r="E729" s="38" t="str">
        <f>IF($B729="","",SUM(VLOOKUP($B729,DADOS!$C$2:$I1014,6,0)*$C729))</f>
        <v/>
      </c>
      <c r="F729" s="39" t="str">
        <f>IF($E729="","",(VLOOKUP($B729,DADOS!$C$2:$I1014,7,0)))</f>
        <v/>
      </c>
      <c r="G729" s="40" t="str">
        <f t="shared" si="2"/>
        <v/>
      </c>
      <c r="H729" s="41"/>
      <c r="I729" s="42"/>
      <c r="J729" s="42"/>
      <c r="K729" s="42"/>
      <c r="L729" s="42"/>
      <c r="M729" s="42"/>
      <c r="N729" s="42"/>
      <c r="O729" s="42"/>
      <c r="P729" s="42"/>
      <c r="Q729" s="42"/>
      <c r="R729" s="42"/>
      <c r="S729" s="42"/>
      <c r="T729" s="42"/>
      <c r="U729" s="42"/>
      <c r="V729" s="42"/>
      <c r="W729" s="42"/>
      <c r="X729" s="42"/>
      <c r="Y729" s="42"/>
      <c r="Z729" s="42"/>
      <c r="AA729" s="42"/>
    </row>
    <row r="730">
      <c r="A730" s="36" t="str">
        <f>IF($B730="","",VLOOKUP($B730,DADOS!$C$2:$I1014,2,0))</f>
        <v/>
      </c>
      <c r="B730" s="37"/>
      <c r="C730" s="36"/>
      <c r="D730" s="38" t="str">
        <f>IF($B730="","",SUM(VLOOKUP($B730,DADOS!$C$2:$I1014,4,0)*$C730))</f>
        <v/>
      </c>
      <c r="E730" s="38" t="str">
        <f>IF($B730="","",SUM(VLOOKUP($B730,DADOS!$C$2:$I1014,6,0)*$C730))</f>
        <v/>
      </c>
      <c r="F730" s="39" t="str">
        <f>IF($E730="","",(VLOOKUP($B730,DADOS!$C$2:$I1014,7,0)))</f>
        <v/>
      </c>
      <c r="G730" s="40" t="str">
        <f t="shared" si="2"/>
        <v/>
      </c>
      <c r="H730" s="41"/>
      <c r="I730" s="42"/>
      <c r="J730" s="42"/>
      <c r="K730" s="42"/>
      <c r="L730" s="42"/>
      <c r="M730" s="42"/>
      <c r="N730" s="42"/>
      <c r="O730" s="42"/>
      <c r="P730" s="42"/>
      <c r="Q730" s="42"/>
      <c r="R730" s="42"/>
      <c r="S730" s="42"/>
      <c r="T730" s="42"/>
      <c r="U730" s="42"/>
      <c r="V730" s="42"/>
      <c r="W730" s="42"/>
      <c r="X730" s="42"/>
      <c r="Y730" s="42"/>
      <c r="Z730" s="42"/>
      <c r="AA730" s="42"/>
    </row>
    <row r="731">
      <c r="A731" s="36" t="str">
        <f>IF($B731="","",VLOOKUP($B731,DADOS!$C$2:$I1014,2,0))</f>
        <v/>
      </c>
      <c r="B731" s="37"/>
      <c r="C731" s="36"/>
      <c r="D731" s="38" t="str">
        <f>IF($B731="","",SUM(VLOOKUP($B731,DADOS!$C$2:$I1014,4,0)*$C731))</f>
        <v/>
      </c>
      <c r="E731" s="38" t="str">
        <f>IF($B731="","",SUM(VLOOKUP($B731,DADOS!$C$2:$I1014,6,0)*$C731))</f>
        <v/>
      </c>
      <c r="F731" s="39" t="str">
        <f>IF($E731="","",(VLOOKUP($B731,DADOS!$C$2:$I1014,7,0)))</f>
        <v/>
      </c>
      <c r="G731" s="40" t="str">
        <f t="shared" si="2"/>
        <v/>
      </c>
      <c r="H731" s="41"/>
      <c r="I731" s="42"/>
      <c r="J731" s="42"/>
      <c r="K731" s="42"/>
      <c r="L731" s="42"/>
      <c r="M731" s="42"/>
      <c r="N731" s="42"/>
      <c r="O731" s="42"/>
      <c r="P731" s="42"/>
      <c r="Q731" s="42"/>
      <c r="R731" s="42"/>
      <c r="S731" s="42"/>
      <c r="T731" s="42"/>
      <c r="U731" s="42"/>
      <c r="V731" s="42"/>
      <c r="W731" s="42"/>
      <c r="X731" s="42"/>
      <c r="Y731" s="42"/>
      <c r="Z731" s="42"/>
      <c r="AA731" s="42"/>
    </row>
    <row r="732">
      <c r="A732" s="36" t="str">
        <f>IF($B732="","",VLOOKUP($B732,DADOS!$C$2:$I1014,2,0))</f>
        <v/>
      </c>
      <c r="B732" s="37"/>
      <c r="C732" s="36"/>
      <c r="D732" s="38" t="str">
        <f>IF($B732="","",SUM(VLOOKUP($B732,DADOS!$C$2:$I1014,4,0)*$C732))</f>
        <v/>
      </c>
      <c r="E732" s="38" t="str">
        <f>IF($B732="","",SUM(VLOOKUP($B732,DADOS!$C$2:$I1014,6,0)*$C732))</f>
        <v/>
      </c>
      <c r="F732" s="39" t="str">
        <f>IF($E732="","",(VLOOKUP($B732,DADOS!$C$2:$I1014,7,0)))</f>
        <v/>
      </c>
      <c r="G732" s="40" t="str">
        <f t="shared" si="2"/>
        <v/>
      </c>
      <c r="H732" s="41"/>
      <c r="I732" s="42"/>
      <c r="J732" s="42"/>
      <c r="K732" s="42"/>
      <c r="L732" s="42"/>
      <c r="M732" s="42"/>
      <c r="N732" s="42"/>
      <c r="O732" s="42"/>
      <c r="P732" s="42"/>
      <c r="Q732" s="42"/>
      <c r="R732" s="42"/>
      <c r="S732" s="42"/>
      <c r="T732" s="42"/>
      <c r="U732" s="42"/>
      <c r="V732" s="42"/>
      <c r="W732" s="42"/>
      <c r="X732" s="42"/>
      <c r="Y732" s="42"/>
      <c r="Z732" s="42"/>
      <c r="AA732" s="42"/>
    </row>
    <row r="733">
      <c r="A733" s="36" t="str">
        <f>IF($B733="","",VLOOKUP($B733,DADOS!$C$2:$I1014,2,0))</f>
        <v/>
      </c>
      <c r="B733" s="37"/>
      <c r="C733" s="36"/>
      <c r="D733" s="38" t="str">
        <f>IF($B733="","",SUM(VLOOKUP($B733,DADOS!$C$2:$I1014,4,0)*$C733))</f>
        <v/>
      </c>
      <c r="E733" s="38" t="str">
        <f>IF($B733="","",SUM(VLOOKUP($B733,DADOS!$C$2:$I1014,6,0)*$C733))</f>
        <v/>
      </c>
      <c r="F733" s="39" t="str">
        <f>IF($E733="","",(VLOOKUP($B733,DADOS!$C$2:$I1014,7,0)))</f>
        <v/>
      </c>
      <c r="G733" s="40" t="str">
        <f t="shared" si="2"/>
        <v/>
      </c>
      <c r="H733" s="41"/>
      <c r="I733" s="42"/>
      <c r="J733" s="42"/>
      <c r="K733" s="42"/>
      <c r="L733" s="42"/>
      <c r="M733" s="42"/>
      <c r="N733" s="42"/>
      <c r="O733" s="42"/>
      <c r="P733" s="42"/>
      <c r="Q733" s="42"/>
      <c r="R733" s="42"/>
      <c r="S733" s="42"/>
      <c r="T733" s="42"/>
      <c r="U733" s="42"/>
      <c r="V733" s="42"/>
      <c r="W733" s="42"/>
      <c r="X733" s="42"/>
      <c r="Y733" s="42"/>
      <c r="Z733" s="42"/>
      <c r="AA733" s="42"/>
    </row>
    <row r="734">
      <c r="A734" s="36" t="str">
        <f>IF($B734="","",VLOOKUP($B734,DADOS!$C$2:$I1014,2,0))</f>
        <v/>
      </c>
      <c r="B734" s="37"/>
      <c r="C734" s="36"/>
      <c r="D734" s="38" t="str">
        <f>IF($B734="","",SUM(VLOOKUP($B734,DADOS!$C$2:$I1014,4,0)*$C734))</f>
        <v/>
      </c>
      <c r="E734" s="38" t="str">
        <f>IF($B734="","",SUM(VLOOKUP($B734,DADOS!$C$2:$I1014,6,0)*$C734))</f>
        <v/>
      </c>
      <c r="F734" s="39" t="str">
        <f>IF($E734="","",(VLOOKUP($B734,DADOS!$C$2:$I1014,7,0)))</f>
        <v/>
      </c>
      <c r="G734" s="40" t="str">
        <f t="shared" si="2"/>
        <v/>
      </c>
      <c r="H734" s="41"/>
      <c r="I734" s="42"/>
      <c r="J734" s="42"/>
      <c r="K734" s="42"/>
      <c r="L734" s="42"/>
      <c r="M734" s="42"/>
      <c r="N734" s="42"/>
      <c r="O734" s="42"/>
      <c r="P734" s="42"/>
      <c r="Q734" s="42"/>
      <c r="R734" s="42"/>
      <c r="S734" s="42"/>
      <c r="T734" s="42"/>
      <c r="U734" s="42"/>
      <c r="V734" s="42"/>
      <c r="W734" s="42"/>
      <c r="X734" s="42"/>
      <c r="Y734" s="42"/>
      <c r="Z734" s="42"/>
      <c r="AA734" s="42"/>
    </row>
    <row r="735">
      <c r="A735" s="36" t="str">
        <f>IF($B735="","",VLOOKUP($B735,DADOS!$C$2:$I1014,2,0))</f>
        <v/>
      </c>
      <c r="B735" s="37"/>
      <c r="C735" s="36"/>
      <c r="D735" s="38" t="str">
        <f>IF($B735="","",SUM(VLOOKUP($B735,DADOS!$C$2:$I1014,4,0)*$C735))</f>
        <v/>
      </c>
      <c r="E735" s="38" t="str">
        <f>IF($B735="","",SUM(VLOOKUP($B735,DADOS!$C$2:$I1014,6,0)*$C735))</f>
        <v/>
      </c>
      <c r="F735" s="39" t="str">
        <f>IF($E735="","",(VLOOKUP($B735,DADOS!$C$2:$I1014,7,0)))</f>
        <v/>
      </c>
      <c r="G735" s="40" t="str">
        <f t="shared" si="2"/>
        <v/>
      </c>
      <c r="H735" s="41"/>
      <c r="I735" s="42"/>
      <c r="J735" s="42"/>
      <c r="K735" s="42"/>
      <c r="L735" s="42"/>
      <c r="M735" s="42"/>
      <c r="N735" s="42"/>
      <c r="O735" s="42"/>
      <c r="P735" s="42"/>
      <c r="Q735" s="42"/>
      <c r="R735" s="42"/>
      <c r="S735" s="42"/>
      <c r="T735" s="42"/>
      <c r="U735" s="42"/>
      <c r="V735" s="42"/>
      <c r="W735" s="42"/>
      <c r="X735" s="42"/>
      <c r="Y735" s="42"/>
      <c r="Z735" s="42"/>
      <c r="AA735" s="42"/>
    </row>
    <row r="736">
      <c r="A736" s="36" t="str">
        <f>IF($B736="","",VLOOKUP($B736,DADOS!$C$2:$I1014,2,0))</f>
        <v/>
      </c>
      <c r="B736" s="37"/>
      <c r="C736" s="36"/>
      <c r="D736" s="38" t="str">
        <f>IF($B736="","",SUM(VLOOKUP($B736,DADOS!$C$2:$I1014,4,0)*$C736))</f>
        <v/>
      </c>
      <c r="E736" s="38" t="str">
        <f>IF($B736="","",SUM(VLOOKUP($B736,DADOS!$C$2:$I1014,6,0)*$C736))</f>
        <v/>
      </c>
      <c r="F736" s="39" t="str">
        <f>IF($E736="","",(VLOOKUP($B736,DADOS!$C$2:$I1014,7,0)))</f>
        <v/>
      </c>
      <c r="G736" s="40" t="str">
        <f t="shared" si="2"/>
        <v/>
      </c>
      <c r="H736" s="41"/>
      <c r="I736" s="42"/>
      <c r="J736" s="42"/>
      <c r="K736" s="42"/>
      <c r="L736" s="42"/>
      <c r="M736" s="42"/>
      <c r="N736" s="42"/>
      <c r="O736" s="42"/>
      <c r="P736" s="42"/>
      <c r="Q736" s="42"/>
      <c r="R736" s="42"/>
      <c r="S736" s="42"/>
      <c r="T736" s="42"/>
      <c r="U736" s="42"/>
      <c r="V736" s="42"/>
      <c r="W736" s="42"/>
      <c r="X736" s="42"/>
      <c r="Y736" s="42"/>
      <c r="Z736" s="42"/>
      <c r="AA736" s="42"/>
    </row>
    <row r="737">
      <c r="A737" s="36" t="str">
        <f>IF($B737="","",VLOOKUP($B737,DADOS!$C$2:$I1014,2,0))</f>
        <v/>
      </c>
      <c r="B737" s="37"/>
      <c r="C737" s="36"/>
      <c r="D737" s="38" t="str">
        <f>IF($B737="","",SUM(VLOOKUP($B737,DADOS!$C$2:$I1014,4,0)*$C737))</f>
        <v/>
      </c>
      <c r="E737" s="38" t="str">
        <f>IF($B737="","",SUM(VLOOKUP($B737,DADOS!$C$2:$I1014,6,0)*$C737))</f>
        <v/>
      </c>
      <c r="F737" s="39" t="str">
        <f>IF($E737="","",(VLOOKUP($B737,DADOS!$C$2:$I1014,7,0)))</f>
        <v/>
      </c>
      <c r="G737" s="40" t="str">
        <f t="shared" si="2"/>
        <v/>
      </c>
      <c r="H737" s="41"/>
      <c r="I737" s="42"/>
      <c r="J737" s="42"/>
      <c r="K737" s="42"/>
      <c r="L737" s="42"/>
      <c r="M737" s="42"/>
      <c r="N737" s="42"/>
      <c r="O737" s="42"/>
      <c r="P737" s="42"/>
      <c r="Q737" s="42"/>
      <c r="R737" s="42"/>
      <c r="S737" s="42"/>
      <c r="T737" s="42"/>
      <c r="U737" s="42"/>
      <c r="V737" s="42"/>
      <c r="W737" s="42"/>
      <c r="X737" s="42"/>
      <c r="Y737" s="42"/>
      <c r="Z737" s="42"/>
      <c r="AA737" s="42"/>
    </row>
    <row r="738">
      <c r="A738" s="36" t="str">
        <f>IF($B738="","",VLOOKUP($B738,DADOS!$C$2:$I1014,2,0))</f>
        <v/>
      </c>
      <c r="B738" s="37"/>
      <c r="C738" s="36"/>
      <c r="D738" s="38" t="str">
        <f>IF($B738="","",SUM(VLOOKUP($B738,DADOS!$C$2:$I1014,4,0)*$C738))</f>
        <v/>
      </c>
      <c r="E738" s="38" t="str">
        <f>IF($B738="","",SUM(VLOOKUP($B738,DADOS!$C$2:$I1014,6,0)*$C738))</f>
        <v/>
      </c>
      <c r="F738" s="39" t="str">
        <f>IF($E738="","",(VLOOKUP($B738,DADOS!$C$2:$I1014,7,0)))</f>
        <v/>
      </c>
      <c r="G738" s="40" t="str">
        <f t="shared" si="2"/>
        <v/>
      </c>
      <c r="H738" s="41"/>
      <c r="I738" s="42"/>
      <c r="J738" s="42"/>
      <c r="K738" s="42"/>
      <c r="L738" s="42"/>
      <c r="M738" s="42"/>
      <c r="N738" s="42"/>
      <c r="O738" s="42"/>
      <c r="P738" s="42"/>
      <c r="Q738" s="42"/>
      <c r="R738" s="42"/>
      <c r="S738" s="42"/>
      <c r="T738" s="42"/>
      <c r="U738" s="42"/>
      <c r="V738" s="42"/>
      <c r="W738" s="42"/>
      <c r="X738" s="42"/>
      <c r="Y738" s="42"/>
      <c r="Z738" s="42"/>
      <c r="AA738" s="42"/>
    </row>
    <row r="739">
      <c r="A739" s="36" t="str">
        <f>IF($B739="","",VLOOKUP($B739,DADOS!$C$2:$I1014,2,0))</f>
        <v/>
      </c>
      <c r="B739" s="37"/>
      <c r="C739" s="36"/>
      <c r="D739" s="38" t="str">
        <f>IF($B739="","",SUM(VLOOKUP($B739,DADOS!$C$2:$I1014,4,0)*$C739))</f>
        <v/>
      </c>
      <c r="E739" s="38" t="str">
        <f>IF($B739="","",SUM(VLOOKUP($B739,DADOS!$C$2:$I1014,6,0)*$C739))</f>
        <v/>
      </c>
      <c r="F739" s="39" t="str">
        <f>IF($E739="","",(VLOOKUP($B739,DADOS!$C$2:$I1014,7,0)))</f>
        <v/>
      </c>
      <c r="G739" s="40" t="str">
        <f t="shared" si="2"/>
        <v/>
      </c>
      <c r="H739" s="41"/>
      <c r="I739" s="42"/>
      <c r="J739" s="42"/>
      <c r="K739" s="42"/>
      <c r="L739" s="42"/>
      <c r="M739" s="42"/>
      <c r="N739" s="42"/>
      <c r="O739" s="42"/>
      <c r="P739" s="42"/>
      <c r="Q739" s="42"/>
      <c r="R739" s="42"/>
      <c r="S739" s="42"/>
      <c r="T739" s="42"/>
      <c r="U739" s="42"/>
      <c r="V739" s="42"/>
      <c r="W739" s="42"/>
      <c r="X739" s="42"/>
      <c r="Y739" s="42"/>
      <c r="Z739" s="42"/>
      <c r="AA739" s="42"/>
    </row>
    <row r="740">
      <c r="A740" s="36" t="str">
        <f>IF($B740="","",VLOOKUP($B740,DADOS!$C$2:$I1014,2,0))</f>
        <v/>
      </c>
      <c r="B740" s="37"/>
      <c r="C740" s="36"/>
      <c r="D740" s="38" t="str">
        <f>IF($B740="","",SUM(VLOOKUP($B740,DADOS!$C$2:$I1014,4,0)*$C740))</f>
        <v/>
      </c>
      <c r="E740" s="38" t="str">
        <f>IF($B740="","",SUM(VLOOKUP($B740,DADOS!$C$2:$I1014,6,0)*$C740))</f>
        <v/>
      </c>
      <c r="F740" s="39" t="str">
        <f>IF($E740="","",(VLOOKUP($B740,DADOS!$C$2:$I1014,7,0)))</f>
        <v/>
      </c>
      <c r="G740" s="40" t="str">
        <f t="shared" si="2"/>
        <v/>
      </c>
      <c r="H740" s="41"/>
      <c r="I740" s="42"/>
      <c r="J740" s="42"/>
      <c r="K740" s="42"/>
      <c r="L740" s="42"/>
      <c r="M740" s="42"/>
      <c r="N740" s="42"/>
      <c r="O740" s="42"/>
      <c r="P740" s="42"/>
      <c r="Q740" s="42"/>
      <c r="R740" s="42"/>
      <c r="S740" s="42"/>
      <c r="T740" s="42"/>
      <c r="U740" s="42"/>
      <c r="V740" s="42"/>
      <c r="W740" s="42"/>
      <c r="X740" s="42"/>
      <c r="Y740" s="42"/>
      <c r="Z740" s="42"/>
      <c r="AA740" s="42"/>
    </row>
    <row r="741">
      <c r="A741" s="36" t="str">
        <f>IF($B741="","",VLOOKUP($B741,DADOS!$C$2:$I1014,2,0))</f>
        <v/>
      </c>
      <c r="B741" s="37"/>
      <c r="C741" s="36"/>
      <c r="D741" s="38" t="str">
        <f>IF($B741="","",SUM(VLOOKUP($B741,DADOS!$C$2:$I1014,4,0)*$C741))</f>
        <v/>
      </c>
      <c r="E741" s="38" t="str">
        <f>IF($B741="","",SUM(VLOOKUP($B741,DADOS!$C$2:$I1014,6,0)*$C741))</f>
        <v/>
      </c>
      <c r="F741" s="39" t="str">
        <f>IF($E741="","",(VLOOKUP($B741,DADOS!$C$2:$I1014,7,0)))</f>
        <v/>
      </c>
      <c r="G741" s="40" t="str">
        <f t="shared" si="2"/>
        <v/>
      </c>
      <c r="H741" s="41"/>
      <c r="I741" s="42"/>
      <c r="J741" s="42"/>
      <c r="K741" s="42"/>
      <c r="L741" s="42"/>
      <c r="M741" s="42"/>
      <c r="N741" s="42"/>
      <c r="O741" s="42"/>
      <c r="P741" s="42"/>
      <c r="Q741" s="42"/>
      <c r="R741" s="42"/>
      <c r="S741" s="42"/>
      <c r="T741" s="42"/>
      <c r="U741" s="42"/>
      <c r="V741" s="42"/>
      <c r="W741" s="42"/>
      <c r="X741" s="42"/>
      <c r="Y741" s="42"/>
      <c r="Z741" s="42"/>
      <c r="AA741" s="42"/>
    </row>
    <row r="742">
      <c r="A742" s="36" t="str">
        <f>IF($B742="","",VLOOKUP($B742,DADOS!$C$2:$I1014,2,0))</f>
        <v/>
      </c>
      <c r="B742" s="37"/>
      <c r="C742" s="36"/>
      <c r="D742" s="38" t="str">
        <f>IF($B742="","",SUM(VLOOKUP($B742,DADOS!$C$2:$I1014,4,0)*$C742))</f>
        <v/>
      </c>
      <c r="E742" s="38" t="str">
        <f>IF($B742="","",SUM(VLOOKUP($B742,DADOS!$C$2:$I1014,6,0)*$C742))</f>
        <v/>
      </c>
      <c r="F742" s="39" t="str">
        <f>IF($E742="","",(VLOOKUP($B742,DADOS!$C$2:$I1014,7,0)))</f>
        <v/>
      </c>
      <c r="G742" s="40" t="str">
        <f t="shared" si="2"/>
        <v/>
      </c>
      <c r="H742" s="41"/>
      <c r="I742" s="42"/>
      <c r="J742" s="42"/>
      <c r="K742" s="42"/>
      <c r="L742" s="42"/>
      <c r="M742" s="42"/>
      <c r="N742" s="42"/>
      <c r="O742" s="42"/>
      <c r="P742" s="42"/>
      <c r="Q742" s="42"/>
      <c r="R742" s="42"/>
      <c r="S742" s="42"/>
      <c r="T742" s="42"/>
      <c r="U742" s="42"/>
      <c r="V742" s="42"/>
      <c r="W742" s="42"/>
      <c r="X742" s="42"/>
      <c r="Y742" s="42"/>
      <c r="Z742" s="42"/>
      <c r="AA742" s="42"/>
    </row>
    <row r="743">
      <c r="A743" s="36" t="str">
        <f>IF($B743="","",VLOOKUP($B743,DADOS!$C$2:$I1014,2,0))</f>
        <v/>
      </c>
      <c r="B743" s="37"/>
      <c r="C743" s="36"/>
      <c r="D743" s="38" t="str">
        <f>IF($B743="","",SUM(VLOOKUP($B743,DADOS!$C$2:$I1014,4,0)*$C743))</f>
        <v/>
      </c>
      <c r="E743" s="38" t="str">
        <f>IF($B743="","",SUM(VLOOKUP($B743,DADOS!$C$2:$I1014,6,0)*$C743))</f>
        <v/>
      </c>
      <c r="F743" s="39" t="str">
        <f>IF($E743="","",(VLOOKUP($B743,DADOS!$C$2:$I1014,7,0)))</f>
        <v/>
      </c>
      <c r="G743" s="40" t="str">
        <f t="shared" si="2"/>
        <v/>
      </c>
      <c r="H743" s="41"/>
      <c r="I743" s="42"/>
      <c r="J743" s="42"/>
      <c r="K743" s="42"/>
      <c r="L743" s="42"/>
      <c r="M743" s="42"/>
      <c r="N743" s="42"/>
      <c r="O743" s="42"/>
      <c r="P743" s="42"/>
      <c r="Q743" s="42"/>
      <c r="R743" s="42"/>
      <c r="S743" s="42"/>
      <c r="T743" s="42"/>
      <c r="U743" s="42"/>
      <c r="V743" s="42"/>
      <c r="W743" s="42"/>
      <c r="X743" s="42"/>
      <c r="Y743" s="42"/>
      <c r="Z743" s="42"/>
      <c r="AA743" s="42"/>
    </row>
    <row r="744">
      <c r="A744" s="36" t="str">
        <f>IF($B744="","",VLOOKUP($B744,DADOS!$C$2:$I1014,2,0))</f>
        <v/>
      </c>
      <c r="B744" s="37"/>
      <c r="C744" s="36"/>
      <c r="D744" s="38" t="str">
        <f>IF($B744="","",SUM(VLOOKUP($B744,DADOS!$C$2:$I1014,4,0)*$C744))</f>
        <v/>
      </c>
      <c r="E744" s="38" t="str">
        <f>IF($B744="","",SUM(VLOOKUP($B744,DADOS!$C$2:$I1014,6,0)*$C744))</f>
        <v/>
      </c>
      <c r="F744" s="39" t="str">
        <f>IF($E744="","",(VLOOKUP($B744,DADOS!$C$2:$I1014,7,0)))</f>
        <v/>
      </c>
      <c r="G744" s="40" t="str">
        <f t="shared" si="2"/>
        <v/>
      </c>
      <c r="H744" s="41"/>
      <c r="I744" s="42"/>
      <c r="J744" s="42"/>
      <c r="K744" s="42"/>
      <c r="L744" s="42"/>
      <c r="M744" s="42"/>
      <c r="N744" s="42"/>
      <c r="O744" s="42"/>
      <c r="P744" s="42"/>
      <c r="Q744" s="42"/>
      <c r="R744" s="42"/>
      <c r="S744" s="42"/>
      <c r="T744" s="42"/>
      <c r="U744" s="42"/>
      <c r="V744" s="42"/>
      <c r="W744" s="42"/>
      <c r="X744" s="42"/>
      <c r="Y744" s="42"/>
      <c r="Z744" s="42"/>
      <c r="AA744" s="42"/>
    </row>
    <row r="745">
      <c r="A745" s="36" t="str">
        <f>IF($B745="","",VLOOKUP($B745,DADOS!$C$2:$I1014,2,0))</f>
        <v/>
      </c>
      <c r="B745" s="37"/>
      <c r="C745" s="36"/>
      <c r="D745" s="38" t="str">
        <f>IF($B745="","",SUM(VLOOKUP($B745,DADOS!$C$2:$I1014,4,0)*$C745))</f>
        <v/>
      </c>
      <c r="E745" s="38" t="str">
        <f>IF($B745="","",SUM(VLOOKUP($B745,DADOS!$C$2:$I1014,6,0)*$C745))</f>
        <v/>
      </c>
      <c r="F745" s="39" t="str">
        <f>IF($E745="","",(VLOOKUP($B745,DADOS!$C$2:$I1014,7,0)))</f>
        <v/>
      </c>
      <c r="G745" s="40" t="str">
        <f t="shared" si="2"/>
        <v/>
      </c>
      <c r="H745" s="41"/>
      <c r="I745" s="42"/>
      <c r="J745" s="42"/>
      <c r="K745" s="42"/>
      <c r="L745" s="42"/>
      <c r="M745" s="42"/>
      <c r="N745" s="42"/>
      <c r="O745" s="42"/>
      <c r="P745" s="42"/>
      <c r="Q745" s="42"/>
      <c r="R745" s="42"/>
      <c r="S745" s="42"/>
      <c r="T745" s="42"/>
      <c r="U745" s="42"/>
      <c r="V745" s="42"/>
      <c r="W745" s="42"/>
      <c r="X745" s="42"/>
      <c r="Y745" s="42"/>
      <c r="Z745" s="42"/>
      <c r="AA745" s="42"/>
    </row>
    <row r="746">
      <c r="A746" s="36" t="str">
        <f>IF($B746="","",VLOOKUP($B746,DADOS!$C$2:$I1014,2,0))</f>
        <v/>
      </c>
      <c r="B746" s="37"/>
      <c r="C746" s="36"/>
      <c r="D746" s="38" t="str">
        <f>IF($B746="","",SUM(VLOOKUP($B746,DADOS!$C$2:$I1014,4,0)*$C746))</f>
        <v/>
      </c>
      <c r="E746" s="38" t="str">
        <f>IF($B746="","",SUM(VLOOKUP($B746,DADOS!$C$2:$I1014,6,0)*$C746))</f>
        <v/>
      </c>
      <c r="F746" s="39" t="str">
        <f>IF($E746="","",(VLOOKUP($B746,DADOS!$C$2:$I1014,7,0)))</f>
        <v/>
      </c>
      <c r="G746" s="40" t="str">
        <f t="shared" si="2"/>
        <v/>
      </c>
      <c r="H746" s="41"/>
      <c r="I746" s="42"/>
      <c r="J746" s="42"/>
      <c r="K746" s="42"/>
      <c r="L746" s="42"/>
      <c r="M746" s="42"/>
      <c r="N746" s="42"/>
      <c r="O746" s="42"/>
      <c r="P746" s="42"/>
      <c r="Q746" s="42"/>
      <c r="R746" s="42"/>
      <c r="S746" s="42"/>
      <c r="T746" s="42"/>
      <c r="U746" s="42"/>
      <c r="V746" s="42"/>
      <c r="W746" s="42"/>
      <c r="X746" s="42"/>
      <c r="Y746" s="42"/>
      <c r="Z746" s="42"/>
      <c r="AA746" s="42"/>
    </row>
    <row r="747">
      <c r="A747" s="36" t="str">
        <f>IF($B747="","",VLOOKUP($B747,DADOS!$C$2:$I1014,2,0))</f>
        <v/>
      </c>
      <c r="B747" s="37"/>
      <c r="C747" s="36"/>
      <c r="D747" s="38" t="str">
        <f>IF($B747="","",SUM(VLOOKUP($B747,DADOS!$C$2:$I1014,4,0)*$C747))</f>
        <v/>
      </c>
      <c r="E747" s="38" t="str">
        <f>IF($B747="","",SUM(VLOOKUP($B747,DADOS!$C$2:$I1014,6,0)*$C747))</f>
        <v/>
      </c>
      <c r="F747" s="39" t="str">
        <f>IF($E747="","",(VLOOKUP($B747,DADOS!$C$2:$I1014,7,0)))</f>
        <v/>
      </c>
      <c r="G747" s="40" t="str">
        <f t="shared" si="2"/>
        <v/>
      </c>
      <c r="H747" s="41"/>
      <c r="I747" s="42"/>
      <c r="J747" s="42"/>
      <c r="K747" s="42"/>
      <c r="L747" s="42"/>
      <c r="M747" s="42"/>
      <c r="N747" s="42"/>
      <c r="O747" s="42"/>
      <c r="P747" s="42"/>
      <c r="Q747" s="42"/>
      <c r="R747" s="42"/>
      <c r="S747" s="42"/>
      <c r="T747" s="42"/>
      <c r="U747" s="42"/>
      <c r="V747" s="42"/>
      <c r="W747" s="42"/>
      <c r="X747" s="42"/>
      <c r="Y747" s="42"/>
      <c r="Z747" s="42"/>
      <c r="AA747" s="42"/>
    </row>
    <row r="748">
      <c r="A748" s="36" t="str">
        <f>IF($B748="","",VLOOKUP($B748,DADOS!$C$2:$I1014,2,0))</f>
        <v/>
      </c>
      <c r="B748" s="37"/>
      <c r="C748" s="36"/>
      <c r="D748" s="38" t="str">
        <f>IF($B748="","",SUM(VLOOKUP($B748,DADOS!$C$2:$I1014,4,0)*$C748))</f>
        <v/>
      </c>
      <c r="E748" s="38" t="str">
        <f>IF($B748="","",SUM(VLOOKUP($B748,DADOS!$C$2:$I1014,6,0)*$C748))</f>
        <v/>
      </c>
      <c r="F748" s="39" t="str">
        <f>IF($E748="","",(VLOOKUP($B748,DADOS!$C$2:$I1014,7,0)))</f>
        <v/>
      </c>
      <c r="G748" s="40" t="str">
        <f t="shared" si="2"/>
        <v/>
      </c>
      <c r="H748" s="41"/>
      <c r="I748" s="42"/>
      <c r="J748" s="42"/>
      <c r="K748" s="42"/>
      <c r="L748" s="42"/>
      <c r="M748" s="42"/>
      <c r="N748" s="42"/>
      <c r="O748" s="42"/>
      <c r="P748" s="42"/>
      <c r="Q748" s="42"/>
      <c r="R748" s="42"/>
      <c r="S748" s="42"/>
      <c r="T748" s="42"/>
      <c r="U748" s="42"/>
      <c r="V748" s="42"/>
      <c r="W748" s="42"/>
      <c r="X748" s="42"/>
      <c r="Y748" s="42"/>
      <c r="Z748" s="42"/>
      <c r="AA748" s="42"/>
    </row>
    <row r="749">
      <c r="A749" s="36" t="str">
        <f>IF($B749="","",VLOOKUP($B749,DADOS!$C$2:$I1014,2,0))</f>
        <v/>
      </c>
      <c r="B749" s="37"/>
      <c r="C749" s="36"/>
      <c r="D749" s="38" t="str">
        <f>IF($B749="","",SUM(VLOOKUP($B749,DADOS!$C$2:$I1014,4,0)*$C749))</f>
        <v/>
      </c>
      <c r="E749" s="38" t="str">
        <f>IF($B749="","",SUM(VLOOKUP($B749,DADOS!$C$2:$I1014,6,0)*$C749))</f>
        <v/>
      </c>
      <c r="F749" s="39" t="str">
        <f>IF($E749="","",(VLOOKUP($B749,DADOS!$C$2:$I1014,7,0)))</f>
        <v/>
      </c>
      <c r="G749" s="40" t="str">
        <f t="shared" si="2"/>
        <v/>
      </c>
      <c r="H749" s="41"/>
      <c r="I749" s="42"/>
      <c r="J749" s="42"/>
      <c r="K749" s="42"/>
      <c r="L749" s="42"/>
      <c r="M749" s="42"/>
      <c r="N749" s="42"/>
      <c r="O749" s="42"/>
      <c r="P749" s="42"/>
      <c r="Q749" s="42"/>
      <c r="R749" s="42"/>
      <c r="S749" s="42"/>
      <c r="T749" s="42"/>
      <c r="U749" s="42"/>
      <c r="V749" s="42"/>
      <c r="W749" s="42"/>
      <c r="X749" s="42"/>
      <c r="Y749" s="42"/>
      <c r="Z749" s="42"/>
      <c r="AA749" s="42"/>
    </row>
    <row r="750">
      <c r="A750" s="36" t="str">
        <f>IF($B750="","",VLOOKUP($B750,DADOS!$C$2:$I1014,2,0))</f>
        <v/>
      </c>
      <c r="B750" s="37"/>
      <c r="C750" s="36"/>
      <c r="D750" s="38" t="str">
        <f>IF($B750="","",SUM(VLOOKUP($B750,DADOS!$C$2:$I1014,4,0)*$C750))</f>
        <v/>
      </c>
      <c r="E750" s="38" t="str">
        <f>IF($B750="","",SUM(VLOOKUP($B750,DADOS!$C$2:$I1014,6,0)*$C750))</f>
        <v/>
      </c>
      <c r="F750" s="39" t="str">
        <f>IF($E750="","",(VLOOKUP($B750,DADOS!$C$2:$I1014,7,0)))</f>
        <v/>
      </c>
      <c r="G750" s="40" t="str">
        <f t="shared" si="2"/>
        <v/>
      </c>
      <c r="H750" s="41"/>
      <c r="I750" s="42"/>
      <c r="J750" s="42"/>
      <c r="K750" s="42"/>
      <c r="L750" s="42"/>
      <c r="M750" s="42"/>
      <c r="N750" s="42"/>
      <c r="O750" s="42"/>
      <c r="P750" s="42"/>
      <c r="Q750" s="42"/>
      <c r="R750" s="42"/>
      <c r="S750" s="42"/>
      <c r="T750" s="42"/>
      <c r="U750" s="42"/>
      <c r="V750" s="42"/>
      <c r="W750" s="42"/>
      <c r="X750" s="42"/>
      <c r="Y750" s="42"/>
      <c r="Z750" s="42"/>
      <c r="AA750" s="42"/>
    </row>
    <row r="751">
      <c r="A751" s="36" t="str">
        <f>IF($B751="","",VLOOKUP($B751,DADOS!$C$2:$I1014,2,0))</f>
        <v/>
      </c>
      <c r="B751" s="37"/>
      <c r="C751" s="36"/>
      <c r="D751" s="38" t="str">
        <f>IF($B751="","",SUM(VLOOKUP($B751,DADOS!$C$2:$I1014,4,0)*$C751))</f>
        <v/>
      </c>
      <c r="E751" s="38" t="str">
        <f>IF($B751="","",SUM(VLOOKUP($B751,DADOS!$C$2:$I1014,6,0)*$C751))</f>
        <v/>
      </c>
      <c r="F751" s="39" t="str">
        <f>IF($E751="","",(VLOOKUP($B751,DADOS!$C$2:$I1014,7,0)))</f>
        <v/>
      </c>
      <c r="G751" s="40" t="str">
        <f t="shared" si="2"/>
        <v/>
      </c>
      <c r="H751" s="41"/>
      <c r="I751" s="42"/>
      <c r="J751" s="42"/>
      <c r="K751" s="42"/>
      <c r="L751" s="42"/>
      <c r="M751" s="42"/>
      <c r="N751" s="42"/>
      <c r="O751" s="42"/>
      <c r="P751" s="42"/>
      <c r="Q751" s="42"/>
      <c r="R751" s="42"/>
      <c r="S751" s="42"/>
      <c r="T751" s="42"/>
      <c r="U751" s="42"/>
      <c r="V751" s="42"/>
      <c r="W751" s="42"/>
      <c r="X751" s="42"/>
      <c r="Y751" s="42"/>
      <c r="Z751" s="42"/>
      <c r="AA751" s="42"/>
    </row>
    <row r="752">
      <c r="A752" s="36" t="str">
        <f>IF($B752="","",VLOOKUP($B752,DADOS!$C$2:$I1014,2,0))</f>
        <v/>
      </c>
      <c r="B752" s="37"/>
      <c r="C752" s="36"/>
      <c r="D752" s="38" t="str">
        <f>IF($B752="","",SUM(VLOOKUP($B752,DADOS!$C$2:$I1014,4,0)*$C752))</f>
        <v/>
      </c>
      <c r="E752" s="38" t="str">
        <f>IF($B752="","",SUM(VLOOKUP($B752,DADOS!$C$2:$I1014,6,0)*$C752))</f>
        <v/>
      </c>
      <c r="F752" s="39" t="str">
        <f>IF($E752="","",(VLOOKUP($B752,DADOS!$C$2:$I1014,7,0)))</f>
        <v/>
      </c>
      <c r="G752" s="40" t="str">
        <f t="shared" si="2"/>
        <v/>
      </c>
      <c r="H752" s="41"/>
      <c r="I752" s="42"/>
      <c r="J752" s="42"/>
      <c r="K752" s="42"/>
      <c r="L752" s="42"/>
      <c r="M752" s="42"/>
      <c r="N752" s="42"/>
      <c r="O752" s="42"/>
      <c r="P752" s="42"/>
      <c r="Q752" s="42"/>
      <c r="R752" s="42"/>
      <c r="S752" s="42"/>
      <c r="T752" s="42"/>
      <c r="U752" s="42"/>
      <c r="V752" s="42"/>
      <c r="W752" s="42"/>
      <c r="X752" s="42"/>
      <c r="Y752" s="42"/>
      <c r="Z752" s="42"/>
      <c r="AA752" s="42"/>
    </row>
    <row r="753">
      <c r="A753" s="36" t="str">
        <f>IF($B753="","",VLOOKUP($B753,DADOS!$C$2:$I1014,2,0))</f>
        <v/>
      </c>
      <c r="B753" s="37"/>
      <c r="C753" s="36"/>
      <c r="D753" s="38" t="str">
        <f>IF($B753="","",SUM(VLOOKUP($B753,DADOS!$C$2:$I1014,4,0)*$C753))</f>
        <v/>
      </c>
      <c r="E753" s="38" t="str">
        <f>IF($B753="","",SUM(VLOOKUP($B753,DADOS!$C$2:$I1014,6,0)*$C753))</f>
        <v/>
      </c>
      <c r="F753" s="39" t="str">
        <f>IF($E753="","",(VLOOKUP($B753,DADOS!$C$2:$I1014,7,0)))</f>
        <v/>
      </c>
      <c r="G753" s="40" t="str">
        <f t="shared" si="2"/>
        <v/>
      </c>
      <c r="H753" s="41"/>
      <c r="I753" s="42"/>
      <c r="J753" s="42"/>
      <c r="K753" s="42"/>
      <c r="L753" s="42"/>
      <c r="M753" s="42"/>
      <c r="N753" s="42"/>
      <c r="O753" s="42"/>
      <c r="P753" s="42"/>
      <c r="Q753" s="42"/>
      <c r="R753" s="42"/>
      <c r="S753" s="42"/>
      <c r="T753" s="42"/>
      <c r="U753" s="42"/>
      <c r="V753" s="42"/>
      <c r="W753" s="42"/>
      <c r="X753" s="42"/>
      <c r="Y753" s="42"/>
      <c r="Z753" s="42"/>
      <c r="AA753" s="42"/>
    </row>
    <row r="754">
      <c r="A754" s="36" t="str">
        <f>IF($B754="","",VLOOKUP($B754,DADOS!$C$2:$I1014,2,0))</f>
        <v/>
      </c>
      <c r="B754" s="37"/>
      <c r="C754" s="36"/>
      <c r="D754" s="38" t="str">
        <f>IF($B754="","",SUM(VLOOKUP($B754,DADOS!$C$2:$I1014,4,0)*$C754))</f>
        <v/>
      </c>
      <c r="E754" s="38" t="str">
        <f>IF($B754="","",SUM(VLOOKUP($B754,DADOS!$C$2:$I1014,6,0)*$C754))</f>
        <v/>
      </c>
      <c r="F754" s="39" t="str">
        <f>IF($E754="","",(VLOOKUP($B754,DADOS!$C$2:$I1014,7,0)))</f>
        <v/>
      </c>
      <c r="G754" s="40" t="str">
        <f t="shared" si="2"/>
        <v/>
      </c>
      <c r="H754" s="41"/>
      <c r="I754" s="42"/>
      <c r="J754" s="42"/>
      <c r="K754" s="42"/>
      <c r="L754" s="42"/>
      <c r="M754" s="42"/>
      <c r="N754" s="42"/>
      <c r="O754" s="42"/>
      <c r="P754" s="42"/>
      <c r="Q754" s="42"/>
      <c r="R754" s="42"/>
      <c r="S754" s="42"/>
      <c r="T754" s="42"/>
      <c r="U754" s="42"/>
      <c r="V754" s="42"/>
      <c r="W754" s="42"/>
      <c r="X754" s="42"/>
      <c r="Y754" s="42"/>
      <c r="Z754" s="42"/>
      <c r="AA754" s="42"/>
    </row>
    <row r="755">
      <c r="A755" s="36" t="str">
        <f>IF($B755="","",VLOOKUP($B755,DADOS!$C$2:$I1014,2,0))</f>
        <v/>
      </c>
      <c r="B755" s="37"/>
      <c r="C755" s="36"/>
      <c r="D755" s="38" t="str">
        <f>IF($B755="","",SUM(VLOOKUP($B755,DADOS!$C$2:$I1014,4,0)*$C755))</f>
        <v/>
      </c>
      <c r="E755" s="38" t="str">
        <f>IF($B755="","",SUM(VLOOKUP($B755,DADOS!$C$2:$I1014,6,0)*$C755))</f>
        <v/>
      </c>
      <c r="F755" s="39" t="str">
        <f>IF($E755="","",(VLOOKUP($B755,DADOS!$C$2:$I1014,7,0)))</f>
        <v/>
      </c>
      <c r="G755" s="40" t="str">
        <f t="shared" si="2"/>
        <v/>
      </c>
      <c r="H755" s="41"/>
      <c r="I755" s="42"/>
      <c r="J755" s="42"/>
      <c r="K755" s="42"/>
      <c r="L755" s="42"/>
      <c r="M755" s="42"/>
      <c r="N755" s="42"/>
      <c r="O755" s="42"/>
      <c r="P755" s="42"/>
      <c r="Q755" s="42"/>
      <c r="R755" s="42"/>
      <c r="S755" s="42"/>
      <c r="T755" s="42"/>
      <c r="U755" s="42"/>
      <c r="V755" s="42"/>
      <c r="W755" s="42"/>
      <c r="X755" s="42"/>
      <c r="Y755" s="42"/>
      <c r="Z755" s="42"/>
      <c r="AA755" s="42"/>
    </row>
    <row r="756">
      <c r="A756" s="36" t="str">
        <f>IF($B756="","",VLOOKUP($B756,DADOS!$C$2:$I1014,2,0))</f>
        <v/>
      </c>
      <c r="B756" s="37"/>
      <c r="C756" s="36"/>
      <c r="D756" s="38" t="str">
        <f>IF($B756="","",SUM(VLOOKUP($B756,DADOS!$C$2:$I1014,4,0)*$C756))</f>
        <v/>
      </c>
      <c r="E756" s="38" t="str">
        <f>IF($B756="","",SUM(VLOOKUP($B756,DADOS!$C$2:$I1014,6,0)*$C756))</f>
        <v/>
      </c>
      <c r="F756" s="39" t="str">
        <f>IF($E756="","",(VLOOKUP($B756,DADOS!$C$2:$I1014,7,0)))</f>
        <v/>
      </c>
      <c r="G756" s="40" t="str">
        <f t="shared" si="2"/>
        <v/>
      </c>
      <c r="H756" s="41"/>
      <c r="I756" s="42"/>
      <c r="J756" s="42"/>
      <c r="K756" s="42"/>
      <c r="L756" s="42"/>
      <c r="M756" s="42"/>
      <c r="N756" s="42"/>
      <c r="O756" s="42"/>
      <c r="P756" s="42"/>
      <c r="Q756" s="42"/>
      <c r="R756" s="42"/>
      <c r="S756" s="42"/>
      <c r="T756" s="42"/>
      <c r="U756" s="42"/>
      <c r="V756" s="42"/>
      <c r="W756" s="42"/>
      <c r="X756" s="42"/>
      <c r="Y756" s="42"/>
      <c r="Z756" s="42"/>
      <c r="AA756" s="42"/>
    </row>
    <row r="757">
      <c r="A757" s="36" t="str">
        <f>IF($B757="","",VLOOKUP($B757,DADOS!$C$2:$I1014,2,0))</f>
        <v/>
      </c>
      <c r="B757" s="37"/>
      <c r="C757" s="36"/>
      <c r="D757" s="38" t="str">
        <f>IF($B757="","",SUM(VLOOKUP($B757,DADOS!$C$2:$I1014,4,0)*$C757))</f>
        <v/>
      </c>
      <c r="E757" s="38" t="str">
        <f>IF($B757="","",SUM(VLOOKUP($B757,DADOS!$C$2:$I1014,6,0)*$C757))</f>
        <v/>
      </c>
      <c r="F757" s="39" t="str">
        <f>IF($E757="","",(VLOOKUP($B757,DADOS!$C$2:$I1014,7,0)))</f>
        <v/>
      </c>
      <c r="G757" s="40" t="str">
        <f t="shared" si="2"/>
        <v/>
      </c>
      <c r="H757" s="41"/>
      <c r="I757" s="42"/>
      <c r="J757" s="42"/>
      <c r="K757" s="42"/>
      <c r="L757" s="42"/>
      <c r="M757" s="42"/>
      <c r="N757" s="42"/>
      <c r="O757" s="42"/>
      <c r="P757" s="42"/>
      <c r="Q757" s="42"/>
      <c r="R757" s="42"/>
      <c r="S757" s="42"/>
      <c r="T757" s="42"/>
      <c r="U757" s="42"/>
      <c r="V757" s="42"/>
      <c r="W757" s="42"/>
      <c r="X757" s="42"/>
      <c r="Y757" s="42"/>
      <c r="Z757" s="42"/>
      <c r="AA757" s="42"/>
    </row>
    <row r="758">
      <c r="A758" s="36" t="str">
        <f>IF($B758="","",VLOOKUP($B758,DADOS!$C$2:$I1014,2,0))</f>
        <v/>
      </c>
      <c r="B758" s="37"/>
      <c r="C758" s="36"/>
      <c r="D758" s="38" t="str">
        <f>IF($B758="","",SUM(VLOOKUP($B758,DADOS!$C$2:$I1014,4,0)*$C758))</f>
        <v/>
      </c>
      <c r="E758" s="38" t="str">
        <f>IF($B758="","",SUM(VLOOKUP($B758,DADOS!$C$2:$I1014,6,0)*$C758))</f>
        <v/>
      </c>
      <c r="F758" s="39" t="str">
        <f>IF($E758="","",(VLOOKUP($B758,DADOS!$C$2:$I1014,7,0)))</f>
        <v/>
      </c>
      <c r="G758" s="40" t="str">
        <f t="shared" si="2"/>
        <v/>
      </c>
      <c r="H758" s="41"/>
      <c r="I758" s="42"/>
      <c r="J758" s="42"/>
      <c r="K758" s="42"/>
      <c r="L758" s="42"/>
      <c r="M758" s="42"/>
      <c r="N758" s="42"/>
      <c r="O758" s="42"/>
      <c r="P758" s="42"/>
      <c r="Q758" s="42"/>
      <c r="R758" s="42"/>
      <c r="S758" s="42"/>
      <c r="T758" s="42"/>
      <c r="U758" s="42"/>
      <c r="V758" s="42"/>
      <c r="W758" s="42"/>
      <c r="X758" s="42"/>
      <c r="Y758" s="42"/>
      <c r="Z758" s="42"/>
      <c r="AA758" s="42"/>
    </row>
    <row r="759">
      <c r="A759" s="36" t="str">
        <f>IF($B759="","",VLOOKUP($B759,DADOS!$C$2:$I1014,2,0))</f>
        <v/>
      </c>
      <c r="B759" s="37"/>
      <c r="C759" s="36"/>
      <c r="D759" s="38" t="str">
        <f>IF($B759="","",SUM(VLOOKUP($B759,DADOS!$C$2:$I1014,4,0)*$C759))</f>
        <v/>
      </c>
      <c r="E759" s="38" t="str">
        <f>IF($B759="","",SUM(VLOOKUP($B759,DADOS!$C$2:$I1014,6,0)*$C759))</f>
        <v/>
      </c>
      <c r="F759" s="39" t="str">
        <f>IF($E759="","",(VLOOKUP($B759,DADOS!$C$2:$I1014,7,0)))</f>
        <v/>
      </c>
      <c r="G759" s="40" t="str">
        <f t="shared" si="2"/>
        <v/>
      </c>
      <c r="H759" s="41"/>
      <c r="I759" s="42"/>
      <c r="J759" s="42"/>
      <c r="K759" s="42"/>
      <c r="L759" s="42"/>
      <c r="M759" s="42"/>
      <c r="N759" s="42"/>
      <c r="O759" s="42"/>
      <c r="P759" s="42"/>
      <c r="Q759" s="42"/>
      <c r="R759" s="42"/>
      <c r="S759" s="42"/>
      <c r="T759" s="42"/>
      <c r="U759" s="42"/>
      <c r="V759" s="42"/>
      <c r="W759" s="42"/>
      <c r="X759" s="42"/>
      <c r="Y759" s="42"/>
      <c r="Z759" s="42"/>
      <c r="AA759" s="42"/>
    </row>
    <row r="760">
      <c r="A760" s="36" t="str">
        <f>IF($B760="","",VLOOKUP($B760,DADOS!$C$2:$I1014,2,0))</f>
        <v/>
      </c>
      <c r="B760" s="37"/>
      <c r="C760" s="36"/>
      <c r="D760" s="38" t="str">
        <f>IF($B760="","",SUM(VLOOKUP($B760,DADOS!$C$2:$I1014,4,0)*$C760))</f>
        <v/>
      </c>
      <c r="E760" s="38" t="str">
        <f>IF($B760="","",SUM(VLOOKUP($B760,DADOS!$C$2:$I1014,6,0)*$C760))</f>
        <v/>
      </c>
      <c r="F760" s="39" t="str">
        <f>IF($E760="","",(VLOOKUP($B760,DADOS!$C$2:$I1014,7,0)))</f>
        <v/>
      </c>
      <c r="G760" s="40" t="str">
        <f t="shared" si="2"/>
        <v/>
      </c>
      <c r="H760" s="41"/>
      <c r="I760" s="42"/>
      <c r="J760" s="42"/>
      <c r="K760" s="42"/>
      <c r="L760" s="42"/>
      <c r="M760" s="42"/>
      <c r="N760" s="42"/>
      <c r="O760" s="42"/>
      <c r="P760" s="42"/>
      <c r="Q760" s="42"/>
      <c r="R760" s="42"/>
      <c r="S760" s="42"/>
      <c r="T760" s="42"/>
      <c r="U760" s="42"/>
      <c r="V760" s="42"/>
      <c r="W760" s="42"/>
      <c r="X760" s="42"/>
      <c r="Y760" s="42"/>
      <c r="Z760" s="42"/>
      <c r="AA760" s="42"/>
    </row>
    <row r="761">
      <c r="A761" s="36" t="str">
        <f>IF($B761="","",VLOOKUP($B761,DADOS!$C$2:$I1014,2,0))</f>
        <v/>
      </c>
      <c r="B761" s="37"/>
      <c r="C761" s="36"/>
      <c r="D761" s="38" t="str">
        <f>IF($B761="","",SUM(VLOOKUP($B761,DADOS!$C$2:$I1014,4,0)*$C761))</f>
        <v/>
      </c>
      <c r="E761" s="38" t="str">
        <f>IF($B761="","",SUM(VLOOKUP($B761,DADOS!$C$2:$I1014,6,0)*$C761))</f>
        <v/>
      </c>
      <c r="F761" s="39" t="str">
        <f>IF($E761="","",(VLOOKUP($B761,DADOS!$C$2:$I1014,7,0)))</f>
        <v/>
      </c>
      <c r="G761" s="40" t="str">
        <f t="shared" si="2"/>
        <v/>
      </c>
      <c r="H761" s="41"/>
      <c r="I761" s="42"/>
      <c r="J761" s="42"/>
      <c r="K761" s="42"/>
      <c r="L761" s="42"/>
      <c r="M761" s="42"/>
      <c r="N761" s="42"/>
      <c r="O761" s="42"/>
      <c r="P761" s="42"/>
      <c r="Q761" s="42"/>
      <c r="R761" s="42"/>
      <c r="S761" s="42"/>
      <c r="T761" s="42"/>
      <c r="U761" s="42"/>
      <c r="V761" s="42"/>
      <c r="W761" s="42"/>
      <c r="X761" s="42"/>
      <c r="Y761" s="42"/>
      <c r="Z761" s="42"/>
      <c r="AA761" s="42"/>
    </row>
    <row r="762">
      <c r="A762" s="36" t="str">
        <f>IF($B762="","",VLOOKUP($B762,DADOS!$C$2:$I1014,2,0))</f>
        <v/>
      </c>
      <c r="B762" s="37"/>
      <c r="C762" s="36"/>
      <c r="D762" s="38" t="str">
        <f>IF($B762="","",SUM(VLOOKUP($B762,DADOS!$C$2:$I1014,4,0)*$C762))</f>
        <v/>
      </c>
      <c r="E762" s="38" t="str">
        <f>IF($B762="","",SUM(VLOOKUP($B762,DADOS!$C$2:$I1014,6,0)*$C762))</f>
        <v/>
      </c>
      <c r="F762" s="39" t="str">
        <f>IF($E762="","",(VLOOKUP($B762,DADOS!$C$2:$I1014,7,0)))</f>
        <v/>
      </c>
      <c r="G762" s="40" t="str">
        <f t="shared" si="2"/>
        <v/>
      </c>
      <c r="H762" s="41"/>
      <c r="I762" s="42"/>
      <c r="J762" s="42"/>
      <c r="K762" s="42"/>
      <c r="L762" s="42"/>
      <c r="M762" s="42"/>
      <c r="N762" s="42"/>
      <c r="O762" s="42"/>
      <c r="P762" s="42"/>
      <c r="Q762" s="42"/>
      <c r="R762" s="42"/>
      <c r="S762" s="42"/>
      <c r="T762" s="42"/>
      <c r="U762" s="42"/>
      <c r="V762" s="42"/>
      <c r="W762" s="42"/>
      <c r="X762" s="42"/>
      <c r="Y762" s="42"/>
      <c r="Z762" s="42"/>
      <c r="AA762" s="42"/>
    </row>
    <row r="763">
      <c r="A763" s="36" t="str">
        <f>IF($B763="","",VLOOKUP($B763,DADOS!$C$2:$I1014,2,0))</f>
        <v/>
      </c>
      <c r="B763" s="37"/>
      <c r="C763" s="36"/>
      <c r="D763" s="38" t="str">
        <f>IF($B763="","",SUM(VLOOKUP($B763,DADOS!$C$2:$I1014,4,0)*$C763))</f>
        <v/>
      </c>
      <c r="E763" s="38" t="str">
        <f>IF($B763="","",SUM(VLOOKUP($B763,DADOS!$C$2:$I1014,6,0)*$C763))</f>
        <v/>
      </c>
      <c r="F763" s="39" t="str">
        <f>IF($E763="","",(VLOOKUP($B763,DADOS!$C$2:$I1014,7,0)))</f>
        <v/>
      </c>
      <c r="G763" s="40" t="str">
        <f t="shared" si="2"/>
        <v/>
      </c>
      <c r="H763" s="41"/>
      <c r="I763" s="42"/>
      <c r="J763" s="42"/>
      <c r="K763" s="42"/>
      <c r="L763" s="42"/>
      <c r="M763" s="42"/>
      <c r="N763" s="42"/>
      <c r="O763" s="42"/>
      <c r="P763" s="42"/>
      <c r="Q763" s="42"/>
      <c r="R763" s="42"/>
      <c r="S763" s="42"/>
      <c r="T763" s="42"/>
      <c r="U763" s="42"/>
      <c r="V763" s="42"/>
      <c r="W763" s="42"/>
      <c r="X763" s="42"/>
      <c r="Y763" s="42"/>
      <c r="Z763" s="42"/>
      <c r="AA763" s="42"/>
    </row>
    <row r="764">
      <c r="A764" s="36" t="str">
        <f>IF($B764="","",VLOOKUP($B764,DADOS!$C$2:$I1014,2,0))</f>
        <v/>
      </c>
      <c r="B764" s="37"/>
      <c r="C764" s="36"/>
      <c r="D764" s="38" t="str">
        <f>IF($B764="","",SUM(VLOOKUP($B764,DADOS!$C$2:$I1014,4,0)*$C764))</f>
        <v/>
      </c>
      <c r="E764" s="38" t="str">
        <f>IF($B764="","",SUM(VLOOKUP($B764,DADOS!$C$2:$I1014,6,0)*$C764))</f>
        <v/>
      </c>
      <c r="F764" s="39" t="str">
        <f>IF($E764="","",(VLOOKUP($B764,DADOS!$C$2:$I1014,7,0)))</f>
        <v/>
      </c>
      <c r="G764" s="40" t="str">
        <f t="shared" si="2"/>
        <v/>
      </c>
      <c r="H764" s="41"/>
      <c r="I764" s="42"/>
      <c r="J764" s="42"/>
      <c r="K764" s="42"/>
      <c r="L764" s="42"/>
      <c r="M764" s="42"/>
      <c r="N764" s="42"/>
      <c r="O764" s="42"/>
      <c r="P764" s="42"/>
      <c r="Q764" s="42"/>
      <c r="R764" s="42"/>
      <c r="S764" s="42"/>
      <c r="T764" s="42"/>
      <c r="U764" s="42"/>
      <c r="V764" s="42"/>
      <c r="W764" s="42"/>
      <c r="X764" s="42"/>
      <c r="Y764" s="42"/>
      <c r="Z764" s="42"/>
      <c r="AA764" s="42"/>
    </row>
    <row r="765">
      <c r="A765" s="36" t="str">
        <f>IF($B765="","",VLOOKUP($B765,DADOS!$C$2:$I1014,2,0))</f>
        <v/>
      </c>
      <c r="B765" s="37"/>
      <c r="C765" s="36"/>
      <c r="D765" s="38" t="str">
        <f>IF($B765="","",SUM(VLOOKUP($B765,DADOS!$C$2:$I1014,4,0)*$C765))</f>
        <v/>
      </c>
      <c r="E765" s="38" t="str">
        <f>IF($B765="","",SUM(VLOOKUP($B765,DADOS!$C$2:$I1014,6,0)*$C765))</f>
        <v/>
      </c>
      <c r="F765" s="39" t="str">
        <f>IF($E765="","",(VLOOKUP($B765,DADOS!$C$2:$I1014,7,0)))</f>
        <v/>
      </c>
      <c r="G765" s="40" t="str">
        <f t="shared" si="2"/>
        <v/>
      </c>
      <c r="H765" s="41"/>
      <c r="I765" s="42"/>
      <c r="J765" s="42"/>
      <c r="K765" s="42"/>
      <c r="L765" s="42"/>
      <c r="M765" s="42"/>
      <c r="N765" s="42"/>
      <c r="O765" s="42"/>
      <c r="P765" s="42"/>
      <c r="Q765" s="42"/>
      <c r="R765" s="42"/>
      <c r="S765" s="42"/>
      <c r="T765" s="42"/>
      <c r="U765" s="42"/>
      <c r="V765" s="42"/>
      <c r="W765" s="42"/>
      <c r="X765" s="42"/>
      <c r="Y765" s="42"/>
      <c r="Z765" s="42"/>
      <c r="AA765" s="42"/>
    </row>
    <row r="766">
      <c r="A766" s="36" t="str">
        <f>IF($B766="","",VLOOKUP($B766,DADOS!$C$2:$I1014,2,0))</f>
        <v/>
      </c>
      <c r="B766" s="37"/>
      <c r="C766" s="36"/>
      <c r="D766" s="38" t="str">
        <f>IF($B766="","",SUM(VLOOKUP($B766,DADOS!$C$2:$I1014,4,0)*$C766))</f>
        <v/>
      </c>
      <c r="E766" s="38" t="str">
        <f>IF($B766="","",SUM(VLOOKUP($B766,DADOS!$C$2:$I1014,6,0)*$C766))</f>
        <v/>
      </c>
      <c r="F766" s="39" t="str">
        <f>IF($E766="","",(VLOOKUP($B766,DADOS!$C$2:$I1014,7,0)))</f>
        <v/>
      </c>
      <c r="G766" s="40" t="str">
        <f t="shared" si="2"/>
        <v/>
      </c>
      <c r="H766" s="41"/>
      <c r="I766" s="42"/>
      <c r="J766" s="42"/>
      <c r="K766" s="42"/>
      <c r="L766" s="42"/>
      <c r="M766" s="42"/>
      <c r="N766" s="42"/>
      <c r="O766" s="42"/>
      <c r="P766" s="42"/>
      <c r="Q766" s="42"/>
      <c r="R766" s="42"/>
      <c r="S766" s="42"/>
      <c r="T766" s="42"/>
      <c r="U766" s="42"/>
      <c r="V766" s="42"/>
      <c r="W766" s="42"/>
      <c r="X766" s="42"/>
      <c r="Y766" s="42"/>
      <c r="Z766" s="42"/>
      <c r="AA766" s="42"/>
    </row>
    <row r="767">
      <c r="A767" s="36" t="str">
        <f>IF($B767="","",VLOOKUP($B767,DADOS!$C$2:$I1014,2,0))</f>
        <v/>
      </c>
      <c r="B767" s="37"/>
      <c r="C767" s="36"/>
      <c r="D767" s="38" t="str">
        <f>IF($B767="","",SUM(VLOOKUP($B767,DADOS!$C$2:$I1014,4,0)*$C767))</f>
        <v/>
      </c>
      <c r="E767" s="38" t="str">
        <f>IF($B767="","",SUM(VLOOKUP($B767,DADOS!$C$2:$I1014,6,0)*$C767))</f>
        <v/>
      </c>
      <c r="F767" s="39" t="str">
        <f>IF($E767="","",(VLOOKUP($B767,DADOS!$C$2:$I1014,7,0)))</f>
        <v/>
      </c>
      <c r="G767" s="40" t="str">
        <f t="shared" si="2"/>
        <v/>
      </c>
      <c r="H767" s="41"/>
      <c r="I767" s="42"/>
      <c r="J767" s="42"/>
      <c r="K767" s="42"/>
      <c r="L767" s="42"/>
      <c r="M767" s="42"/>
      <c r="N767" s="42"/>
      <c r="O767" s="42"/>
      <c r="P767" s="42"/>
      <c r="Q767" s="42"/>
      <c r="R767" s="42"/>
      <c r="S767" s="42"/>
      <c r="T767" s="42"/>
      <c r="U767" s="42"/>
      <c r="V767" s="42"/>
      <c r="W767" s="42"/>
      <c r="X767" s="42"/>
      <c r="Y767" s="42"/>
      <c r="Z767" s="42"/>
      <c r="AA767" s="42"/>
    </row>
    <row r="768">
      <c r="A768" s="36" t="str">
        <f>IF($B768="","",VLOOKUP($B768,DADOS!$C$2:$I1014,2,0))</f>
        <v/>
      </c>
      <c r="B768" s="37"/>
      <c r="C768" s="36"/>
      <c r="D768" s="38" t="str">
        <f>IF($B768="","",SUM(VLOOKUP($B768,DADOS!$C$2:$I1014,4,0)*$C768))</f>
        <v/>
      </c>
      <c r="E768" s="38" t="str">
        <f>IF($B768="","",SUM(VLOOKUP($B768,DADOS!$C$2:$I1014,6,0)*$C768))</f>
        <v/>
      </c>
      <c r="F768" s="39" t="str">
        <f>IF($E768="","",(VLOOKUP($B768,DADOS!$C$2:$I1014,7,0)))</f>
        <v/>
      </c>
      <c r="G768" s="40" t="str">
        <f t="shared" si="2"/>
        <v/>
      </c>
      <c r="H768" s="41"/>
      <c r="I768" s="42"/>
      <c r="J768" s="42"/>
      <c r="K768" s="42"/>
      <c r="L768" s="42"/>
      <c r="M768" s="42"/>
      <c r="N768" s="42"/>
      <c r="O768" s="42"/>
      <c r="P768" s="42"/>
      <c r="Q768" s="42"/>
      <c r="R768" s="42"/>
      <c r="S768" s="42"/>
      <c r="T768" s="42"/>
      <c r="U768" s="42"/>
      <c r="V768" s="42"/>
      <c r="W768" s="42"/>
      <c r="X768" s="42"/>
      <c r="Y768" s="42"/>
      <c r="Z768" s="42"/>
      <c r="AA768" s="42"/>
    </row>
    <row r="769">
      <c r="A769" s="36" t="str">
        <f>IF($B769="","",VLOOKUP($B769,DADOS!$C$2:$I1014,2,0))</f>
        <v/>
      </c>
      <c r="B769" s="37"/>
      <c r="C769" s="36"/>
      <c r="D769" s="38" t="str">
        <f>IF($B769="","",SUM(VLOOKUP($B769,DADOS!$C$2:$I1014,4,0)*$C769))</f>
        <v/>
      </c>
      <c r="E769" s="38" t="str">
        <f>IF($B769="","",SUM(VLOOKUP($B769,DADOS!$C$2:$I1014,6,0)*$C769))</f>
        <v/>
      </c>
      <c r="F769" s="39" t="str">
        <f>IF($E769="","",(VLOOKUP($B769,DADOS!$C$2:$I1014,7,0)))</f>
        <v/>
      </c>
      <c r="G769" s="40" t="str">
        <f t="shared" si="2"/>
        <v/>
      </c>
      <c r="H769" s="41"/>
      <c r="I769" s="42"/>
      <c r="J769" s="42"/>
      <c r="K769" s="42"/>
      <c r="L769" s="42"/>
      <c r="M769" s="42"/>
      <c r="N769" s="42"/>
      <c r="O769" s="42"/>
      <c r="P769" s="42"/>
      <c r="Q769" s="42"/>
      <c r="R769" s="42"/>
      <c r="S769" s="42"/>
      <c r="T769" s="42"/>
      <c r="U769" s="42"/>
      <c r="V769" s="42"/>
      <c r="W769" s="42"/>
      <c r="X769" s="42"/>
      <c r="Y769" s="42"/>
      <c r="Z769" s="42"/>
      <c r="AA769" s="42"/>
    </row>
    <row r="770">
      <c r="A770" s="36" t="str">
        <f>IF($B770="","",VLOOKUP($B770,DADOS!$C$2:$I1014,2,0))</f>
        <v/>
      </c>
      <c r="B770" s="37"/>
      <c r="C770" s="36"/>
      <c r="D770" s="38" t="str">
        <f>IF($B770="","",SUM(VLOOKUP($B770,DADOS!$C$2:$I1014,4,0)*$C770))</f>
        <v/>
      </c>
      <c r="E770" s="38" t="str">
        <f>IF($B770="","",SUM(VLOOKUP($B770,DADOS!$C$2:$I1014,6,0)*$C770))</f>
        <v/>
      </c>
      <c r="F770" s="39" t="str">
        <f>IF($E770="","",(VLOOKUP($B770,DADOS!$C$2:$I1014,7,0)))</f>
        <v/>
      </c>
      <c r="G770" s="40" t="str">
        <f t="shared" si="2"/>
        <v/>
      </c>
      <c r="H770" s="41"/>
      <c r="I770" s="42"/>
      <c r="J770" s="42"/>
      <c r="K770" s="42"/>
      <c r="L770" s="42"/>
      <c r="M770" s="42"/>
      <c r="N770" s="42"/>
      <c r="O770" s="42"/>
      <c r="P770" s="42"/>
      <c r="Q770" s="42"/>
      <c r="R770" s="42"/>
      <c r="S770" s="42"/>
      <c r="T770" s="42"/>
      <c r="U770" s="42"/>
      <c r="V770" s="42"/>
      <c r="W770" s="42"/>
      <c r="X770" s="42"/>
      <c r="Y770" s="42"/>
      <c r="Z770" s="42"/>
      <c r="AA770" s="42"/>
    </row>
    <row r="771">
      <c r="A771" s="36" t="str">
        <f>IF($B771="","",VLOOKUP($B771,DADOS!$C$2:$I1014,2,0))</f>
        <v/>
      </c>
      <c r="B771" s="37"/>
      <c r="C771" s="36"/>
      <c r="D771" s="38" t="str">
        <f>IF($B771="","",SUM(VLOOKUP($B771,DADOS!$C$2:$I1014,4,0)*$C771))</f>
        <v/>
      </c>
      <c r="E771" s="38" t="str">
        <f>IF($B771="","",SUM(VLOOKUP($B771,DADOS!$C$2:$I1014,6,0)*$C771))</f>
        <v/>
      </c>
      <c r="F771" s="39" t="str">
        <f>IF($E771="","",(VLOOKUP($B771,DADOS!$C$2:$I1014,7,0)))</f>
        <v/>
      </c>
      <c r="G771" s="40" t="str">
        <f t="shared" si="2"/>
        <v/>
      </c>
      <c r="H771" s="41"/>
      <c r="I771" s="42"/>
      <c r="J771" s="42"/>
      <c r="K771" s="42"/>
      <c r="L771" s="42"/>
      <c r="M771" s="42"/>
      <c r="N771" s="42"/>
      <c r="O771" s="42"/>
      <c r="P771" s="42"/>
      <c r="Q771" s="42"/>
      <c r="R771" s="42"/>
      <c r="S771" s="42"/>
      <c r="T771" s="42"/>
      <c r="U771" s="42"/>
      <c r="V771" s="42"/>
      <c r="W771" s="42"/>
      <c r="X771" s="42"/>
      <c r="Y771" s="42"/>
      <c r="Z771" s="42"/>
      <c r="AA771" s="42"/>
    </row>
    <row r="772">
      <c r="A772" s="36" t="str">
        <f>IF($B772="","",VLOOKUP($B772,DADOS!$C$2:$I1014,2,0))</f>
        <v/>
      </c>
      <c r="B772" s="37"/>
      <c r="C772" s="36"/>
      <c r="D772" s="38" t="str">
        <f>IF($B772="","",SUM(VLOOKUP($B772,DADOS!$C$2:$I1014,4,0)*$C772))</f>
        <v/>
      </c>
      <c r="E772" s="38" t="str">
        <f>IF($B772="","",SUM(VLOOKUP($B772,DADOS!$C$2:$I1014,6,0)*$C772))</f>
        <v/>
      </c>
      <c r="F772" s="39" t="str">
        <f>IF($E772="","",(VLOOKUP($B772,DADOS!$C$2:$I1014,7,0)))</f>
        <v/>
      </c>
      <c r="G772" s="40" t="str">
        <f t="shared" si="2"/>
        <v/>
      </c>
      <c r="H772" s="41"/>
      <c r="I772" s="42"/>
      <c r="J772" s="42"/>
      <c r="K772" s="42"/>
      <c r="L772" s="42"/>
      <c r="M772" s="42"/>
      <c r="N772" s="42"/>
      <c r="O772" s="42"/>
      <c r="P772" s="42"/>
      <c r="Q772" s="42"/>
      <c r="R772" s="42"/>
      <c r="S772" s="42"/>
      <c r="T772" s="42"/>
      <c r="U772" s="42"/>
      <c r="V772" s="42"/>
      <c r="W772" s="42"/>
      <c r="X772" s="42"/>
      <c r="Y772" s="42"/>
      <c r="Z772" s="42"/>
      <c r="AA772" s="42"/>
    </row>
    <row r="773">
      <c r="A773" s="36" t="str">
        <f>IF($B773="","",VLOOKUP($B773,DADOS!$C$2:$I1014,2,0))</f>
        <v/>
      </c>
      <c r="B773" s="37"/>
      <c r="C773" s="36"/>
      <c r="D773" s="38" t="str">
        <f>IF($B773="","",SUM(VLOOKUP($B773,DADOS!$C$2:$I1014,4,0)*$C773))</f>
        <v/>
      </c>
      <c r="E773" s="38" t="str">
        <f>IF($B773="","",SUM(VLOOKUP($B773,DADOS!$C$2:$I1014,6,0)*$C773))</f>
        <v/>
      </c>
      <c r="F773" s="39" t="str">
        <f>IF($E773="","",(VLOOKUP($B773,DADOS!$C$2:$I1014,7,0)))</f>
        <v/>
      </c>
      <c r="G773" s="40" t="str">
        <f t="shared" si="2"/>
        <v/>
      </c>
      <c r="H773" s="41"/>
      <c r="I773" s="42"/>
      <c r="J773" s="42"/>
      <c r="K773" s="42"/>
      <c r="L773" s="42"/>
      <c r="M773" s="42"/>
      <c r="N773" s="42"/>
      <c r="O773" s="42"/>
      <c r="P773" s="42"/>
      <c r="Q773" s="42"/>
      <c r="R773" s="42"/>
      <c r="S773" s="42"/>
      <c r="T773" s="42"/>
      <c r="U773" s="42"/>
      <c r="V773" s="42"/>
      <c r="W773" s="42"/>
      <c r="X773" s="42"/>
      <c r="Y773" s="42"/>
      <c r="Z773" s="42"/>
      <c r="AA773" s="42"/>
    </row>
    <row r="774">
      <c r="A774" s="36" t="str">
        <f>IF($B774="","",VLOOKUP($B774,DADOS!$C$2:$I1014,2,0))</f>
        <v/>
      </c>
      <c r="B774" s="37"/>
      <c r="C774" s="36"/>
      <c r="D774" s="38" t="str">
        <f>IF($B774="","",SUM(VLOOKUP($B774,DADOS!$C$2:$I1014,4,0)*$C774))</f>
        <v/>
      </c>
      <c r="E774" s="38" t="str">
        <f>IF($B774="","",SUM(VLOOKUP($B774,DADOS!$C$2:$I1014,6,0)*$C774))</f>
        <v/>
      </c>
      <c r="F774" s="39" t="str">
        <f>IF($E774="","",(VLOOKUP($B774,DADOS!$C$2:$I1014,7,0)))</f>
        <v/>
      </c>
      <c r="G774" s="40" t="str">
        <f t="shared" si="2"/>
        <v/>
      </c>
      <c r="H774" s="41"/>
      <c r="I774" s="42"/>
      <c r="J774" s="42"/>
      <c r="K774" s="42"/>
      <c r="L774" s="42"/>
      <c r="M774" s="42"/>
      <c r="N774" s="42"/>
      <c r="O774" s="42"/>
      <c r="P774" s="42"/>
      <c r="Q774" s="42"/>
      <c r="R774" s="42"/>
      <c r="S774" s="42"/>
      <c r="T774" s="42"/>
      <c r="U774" s="42"/>
      <c r="V774" s="42"/>
      <c r="W774" s="42"/>
      <c r="X774" s="42"/>
      <c r="Y774" s="42"/>
      <c r="Z774" s="42"/>
      <c r="AA774" s="42"/>
    </row>
    <row r="775">
      <c r="A775" s="36" t="str">
        <f>IF($B775="","",VLOOKUP($B775,DADOS!$C$2:$I1014,2,0))</f>
        <v/>
      </c>
      <c r="B775" s="37"/>
      <c r="C775" s="36"/>
      <c r="D775" s="38" t="str">
        <f>IF($B775="","",SUM(VLOOKUP($B775,DADOS!$C$2:$I1014,4,0)*$C775))</f>
        <v/>
      </c>
      <c r="E775" s="38" t="str">
        <f>IF($B775="","",SUM(VLOOKUP($B775,DADOS!$C$2:$I1014,6,0)*$C775))</f>
        <v/>
      </c>
      <c r="F775" s="39" t="str">
        <f>IF($E775="","",(VLOOKUP($B775,DADOS!$C$2:$I1014,7,0)))</f>
        <v/>
      </c>
      <c r="G775" s="40" t="str">
        <f t="shared" si="2"/>
        <v/>
      </c>
      <c r="H775" s="41"/>
      <c r="I775" s="42"/>
      <c r="J775" s="42"/>
      <c r="K775" s="42"/>
      <c r="L775" s="42"/>
      <c r="M775" s="42"/>
      <c r="N775" s="42"/>
      <c r="O775" s="42"/>
      <c r="P775" s="42"/>
      <c r="Q775" s="42"/>
      <c r="R775" s="42"/>
      <c r="S775" s="42"/>
      <c r="T775" s="42"/>
      <c r="U775" s="42"/>
      <c r="V775" s="42"/>
      <c r="W775" s="42"/>
      <c r="X775" s="42"/>
      <c r="Y775" s="42"/>
      <c r="Z775" s="42"/>
      <c r="AA775" s="42"/>
    </row>
    <row r="776">
      <c r="A776" s="36" t="str">
        <f>IF($B776="","",VLOOKUP($B776,DADOS!$C$2:$I1014,2,0))</f>
        <v/>
      </c>
      <c r="B776" s="37"/>
      <c r="C776" s="36"/>
      <c r="D776" s="38" t="str">
        <f>IF($B776="","",SUM(VLOOKUP($B776,DADOS!$C$2:$I1014,4,0)*$C776))</f>
        <v/>
      </c>
      <c r="E776" s="38" t="str">
        <f>IF($B776="","",SUM(VLOOKUP($B776,DADOS!$C$2:$I1014,6,0)*$C776))</f>
        <v/>
      </c>
      <c r="F776" s="39" t="str">
        <f>IF($E776="","",(VLOOKUP($B776,DADOS!$C$2:$I1014,7,0)))</f>
        <v/>
      </c>
      <c r="G776" s="40" t="str">
        <f t="shared" si="2"/>
        <v/>
      </c>
      <c r="H776" s="41"/>
      <c r="I776" s="42"/>
      <c r="J776" s="42"/>
      <c r="K776" s="42"/>
      <c r="L776" s="42"/>
      <c r="M776" s="42"/>
      <c r="N776" s="42"/>
      <c r="O776" s="42"/>
      <c r="P776" s="42"/>
      <c r="Q776" s="42"/>
      <c r="R776" s="42"/>
      <c r="S776" s="42"/>
      <c r="T776" s="42"/>
      <c r="U776" s="42"/>
      <c r="V776" s="42"/>
      <c r="W776" s="42"/>
      <c r="X776" s="42"/>
      <c r="Y776" s="42"/>
      <c r="Z776" s="42"/>
      <c r="AA776" s="42"/>
    </row>
    <row r="777">
      <c r="A777" s="36" t="str">
        <f>IF($B777="","",VLOOKUP($B777,DADOS!$C$2:$I1014,2,0))</f>
        <v/>
      </c>
      <c r="B777" s="37"/>
      <c r="C777" s="36"/>
      <c r="D777" s="38" t="str">
        <f>IF($B777="","",SUM(VLOOKUP($B777,DADOS!$C$2:$I1014,4,0)*$C777))</f>
        <v/>
      </c>
      <c r="E777" s="38" t="str">
        <f>IF($B777="","",SUM(VLOOKUP($B777,DADOS!$C$2:$I1014,6,0)*$C777))</f>
        <v/>
      </c>
      <c r="F777" s="39" t="str">
        <f>IF($E777="","",(VLOOKUP($B777,DADOS!$C$2:$I1014,7,0)))</f>
        <v/>
      </c>
      <c r="G777" s="40" t="str">
        <f t="shared" si="2"/>
        <v/>
      </c>
      <c r="H777" s="41"/>
      <c r="I777" s="42"/>
      <c r="J777" s="42"/>
      <c r="K777" s="42"/>
      <c r="L777" s="42"/>
      <c r="M777" s="42"/>
      <c r="N777" s="42"/>
      <c r="O777" s="42"/>
      <c r="P777" s="42"/>
      <c r="Q777" s="42"/>
      <c r="R777" s="42"/>
      <c r="S777" s="42"/>
      <c r="T777" s="42"/>
      <c r="U777" s="42"/>
      <c r="V777" s="42"/>
      <c r="W777" s="42"/>
      <c r="X777" s="42"/>
      <c r="Y777" s="42"/>
      <c r="Z777" s="42"/>
      <c r="AA777" s="42"/>
    </row>
    <row r="778">
      <c r="A778" s="36" t="str">
        <f>IF($B778="","",VLOOKUP($B778,DADOS!$C$2:$I1014,2,0))</f>
        <v/>
      </c>
      <c r="B778" s="37"/>
      <c r="C778" s="36"/>
      <c r="D778" s="38" t="str">
        <f>IF($B778="","",SUM(VLOOKUP($B778,DADOS!$C$2:$I1014,4,0)*$C778))</f>
        <v/>
      </c>
      <c r="E778" s="38" t="str">
        <f>IF($B778="","",SUM(VLOOKUP($B778,DADOS!$C$2:$I1014,6,0)*$C778))</f>
        <v/>
      </c>
      <c r="F778" s="39" t="str">
        <f>IF($E778="","",(VLOOKUP($B778,DADOS!$C$2:$I1014,7,0)))</f>
        <v/>
      </c>
      <c r="G778" s="40" t="str">
        <f t="shared" si="2"/>
        <v/>
      </c>
      <c r="H778" s="41"/>
      <c r="I778" s="42"/>
      <c r="J778" s="42"/>
      <c r="K778" s="42"/>
      <c r="L778" s="42"/>
      <c r="M778" s="42"/>
      <c r="N778" s="42"/>
      <c r="O778" s="42"/>
      <c r="P778" s="42"/>
      <c r="Q778" s="42"/>
      <c r="R778" s="42"/>
      <c r="S778" s="42"/>
      <c r="T778" s="42"/>
      <c r="U778" s="42"/>
      <c r="V778" s="42"/>
      <c r="W778" s="42"/>
      <c r="X778" s="42"/>
      <c r="Y778" s="42"/>
      <c r="Z778" s="42"/>
      <c r="AA778" s="42"/>
    </row>
    <row r="779">
      <c r="A779" s="36" t="str">
        <f>IF($B779="","",VLOOKUP($B779,DADOS!$C$2:$I1014,2,0))</f>
        <v/>
      </c>
      <c r="B779" s="37"/>
      <c r="C779" s="36"/>
      <c r="D779" s="38" t="str">
        <f>IF($B779="","",SUM(VLOOKUP($B779,DADOS!$C$2:$I1014,4,0)*$C779))</f>
        <v/>
      </c>
      <c r="E779" s="38" t="str">
        <f>IF($B779="","",SUM(VLOOKUP($B779,DADOS!$C$2:$I1014,6,0)*$C779))</f>
        <v/>
      </c>
      <c r="F779" s="39" t="str">
        <f>IF($E779="","",(VLOOKUP($B779,DADOS!$C$2:$I1014,7,0)))</f>
        <v/>
      </c>
      <c r="G779" s="40" t="str">
        <f t="shared" si="2"/>
        <v/>
      </c>
      <c r="H779" s="41"/>
      <c r="I779" s="42"/>
      <c r="J779" s="42"/>
      <c r="K779" s="42"/>
      <c r="L779" s="42"/>
      <c r="M779" s="42"/>
      <c r="N779" s="42"/>
      <c r="O779" s="42"/>
      <c r="P779" s="42"/>
      <c r="Q779" s="42"/>
      <c r="R779" s="42"/>
      <c r="S779" s="42"/>
      <c r="T779" s="42"/>
      <c r="U779" s="42"/>
      <c r="V779" s="42"/>
      <c r="W779" s="42"/>
      <c r="X779" s="42"/>
      <c r="Y779" s="42"/>
      <c r="Z779" s="42"/>
      <c r="AA779" s="42"/>
    </row>
    <row r="780">
      <c r="A780" s="36" t="str">
        <f>IF($B780="","",VLOOKUP($B780,DADOS!$C$2:$I1014,2,0))</f>
        <v/>
      </c>
      <c r="B780" s="37"/>
      <c r="C780" s="36"/>
      <c r="D780" s="38" t="str">
        <f>IF($B780="","",SUM(VLOOKUP($B780,DADOS!$C$2:$I1014,4,0)*$C780))</f>
        <v/>
      </c>
      <c r="E780" s="38" t="str">
        <f>IF($B780="","",SUM(VLOOKUP($B780,DADOS!$C$2:$I1014,6,0)*$C780))</f>
        <v/>
      </c>
      <c r="F780" s="39" t="str">
        <f>IF($E780="","",(VLOOKUP($B780,DADOS!$C$2:$I1014,7,0)))</f>
        <v/>
      </c>
      <c r="G780" s="40" t="str">
        <f t="shared" si="2"/>
        <v/>
      </c>
      <c r="H780" s="41"/>
      <c r="I780" s="42"/>
      <c r="J780" s="42"/>
      <c r="K780" s="42"/>
      <c r="L780" s="42"/>
      <c r="M780" s="42"/>
      <c r="N780" s="42"/>
      <c r="O780" s="42"/>
      <c r="P780" s="42"/>
      <c r="Q780" s="42"/>
      <c r="R780" s="42"/>
      <c r="S780" s="42"/>
      <c r="T780" s="42"/>
      <c r="U780" s="42"/>
      <c r="V780" s="42"/>
      <c r="W780" s="42"/>
      <c r="X780" s="42"/>
      <c r="Y780" s="42"/>
      <c r="Z780" s="42"/>
      <c r="AA780" s="42"/>
    </row>
    <row r="781">
      <c r="A781" s="36" t="str">
        <f>IF($B781="","",VLOOKUP($B781,DADOS!$C$2:$I1014,2,0))</f>
        <v/>
      </c>
      <c r="B781" s="37"/>
      <c r="C781" s="36"/>
      <c r="D781" s="38" t="str">
        <f>IF($B781="","",SUM(VLOOKUP($B781,DADOS!$C$2:$I1014,4,0)*$C781))</f>
        <v/>
      </c>
      <c r="E781" s="38" t="str">
        <f>IF($B781="","",SUM(VLOOKUP($B781,DADOS!$C$2:$I1014,6,0)*$C781))</f>
        <v/>
      </c>
      <c r="F781" s="39" t="str">
        <f>IF($E781="","",(VLOOKUP($B781,DADOS!$C$2:$I1014,7,0)))</f>
        <v/>
      </c>
      <c r="G781" s="40" t="str">
        <f t="shared" si="2"/>
        <v/>
      </c>
      <c r="H781" s="41"/>
      <c r="I781" s="42"/>
      <c r="J781" s="42"/>
      <c r="K781" s="42"/>
      <c r="L781" s="42"/>
      <c r="M781" s="42"/>
      <c r="N781" s="42"/>
      <c r="O781" s="42"/>
      <c r="P781" s="42"/>
      <c r="Q781" s="42"/>
      <c r="R781" s="42"/>
      <c r="S781" s="42"/>
      <c r="T781" s="42"/>
      <c r="U781" s="42"/>
      <c r="V781" s="42"/>
      <c r="W781" s="42"/>
      <c r="X781" s="42"/>
      <c r="Y781" s="42"/>
      <c r="Z781" s="42"/>
      <c r="AA781" s="42"/>
    </row>
    <row r="782">
      <c r="A782" s="36" t="str">
        <f>IF($B782="","",VLOOKUP($B782,DADOS!$C$2:$I1014,2,0))</f>
        <v/>
      </c>
      <c r="B782" s="37"/>
      <c r="C782" s="36"/>
      <c r="D782" s="38" t="str">
        <f>IF($B782="","",SUM(VLOOKUP($B782,DADOS!$C$2:$I1014,4,0)*$C782))</f>
        <v/>
      </c>
      <c r="E782" s="38" t="str">
        <f>IF($B782="","",SUM(VLOOKUP($B782,DADOS!$C$2:$I1014,6,0)*$C782))</f>
        <v/>
      </c>
      <c r="F782" s="39" t="str">
        <f>IF($E782="","",(VLOOKUP($B782,DADOS!$C$2:$I1014,7,0)))</f>
        <v/>
      </c>
      <c r="G782" s="40" t="str">
        <f t="shared" si="2"/>
        <v/>
      </c>
      <c r="H782" s="41"/>
      <c r="I782" s="42"/>
      <c r="J782" s="42"/>
      <c r="K782" s="42"/>
      <c r="L782" s="42"/>
      <c r="M782" s="42"/>
      <c r="N782" s="42"/>
      <c r="O782" s="42"/>
      <c r="P782" s="42"/>
      <c r="Q782" s="42"/>
      <c r="R782" s="42"/>
      <c r="S782" s="42"/>
      <c r="T782" s="42"/>
      <c r="U782" s="42"/>
      <c r="V782" s="42"/>
      <c r="W782" s="42"/>
      <c r="X782" s="42"/>
      <c r="Y782" s="42"/>
      <c r="Z782" s="42"/>
      <c r="AA782" s="42"/>
    </row>
    <row r="783">
      <c r="A783" s="36" t="str">
        <f>IF($B783="","",VLOOKUP($B783,DADOS!$C$2:$I1014,2,0))</f>
        <v/>
      </c>
      <c r="B783" s="37"/>
      <c r="C783" s="36"/>
      <c r="D783" s="38" t="str">
        <f>IF($B783="","",SUM(VLOOKUP($B783,DADOS!$C$2:$I1014,4,0)*$C783))</f>
        <v/>
      </c>
      <c r="E783" s="38" t="str">
        <f>IF($B783="","",SUM(VLOOKUP($B783,DADOS!$C$2:$I1014,6,0)*$C783))</f>
        <v/>
      </c>
      <c r="F783" s="39" t="str">
        <f>IF($E783="","",(VLOOKUP($B783,DADOS!$C$2:$I1014,7,0)))</f>
        <v/>
      </c>
      <c r="G783" s="40" t="str">
        <f t="shared" si="2"/>
        <v/>
      </c>
      <c r="H783" s="41"/>
      <c r="I783" s="42"/>
      <c r="J783" s="42"/>
      <c r="K783" s="42"/>
      <c r="L783" s="42"/>
      <c r="M783" s="42"/>
      <c r="N783" s="42"/>
      <c r="O783" s="42"/>
      <c r="P783" s="42"/>
      <c r="Q783" s="42"/>
      <c r="R783" s="42"/>
      <c r="S783" s="42"/>
      <c r="T783" s="42"/>
      <c r="U783" s="42"/>
      <c r="V783" s="42"/>
      <c r="W783" s="42"/>
      <c r="X783" s="42"/>
      <c r="Y783" s="42"/>
      <c r="Z783" s="42"/>
      <c r="AA783" s="42"/>
    </row>
    <row r="784">
      <c r="A784" s="36" t="str">
        <f>IF($B784="","",VLOOKUP($B784,DADOS!$C$2:$I1014,2,0))</f>
        <v/>
      </c>
      <c r="B784" s="37"/>
      <c r="C784" s="36"/>
      <c r="D784" s="38" t="str">
        <f>IF($B784="","",SUM(VLOOKUP($B784,DADOS!$C$2:$I1014,4,0)*$C784))</f>
        <v/>
      </c>
      <c r="E784" s="38" t="str">
        <f>IF($B784="","",SUM(VLOOKUP($B784,DADOS!$C$2:$I1014,6,0)*$C784))</f>
        <v/>
      </c>
      <c r="F784" s="39" t="str">
        <f>IF($E784="","",(VLOOKUP($B784,DADOS!$C$2:$I1014,7,0)))</f>
        <v/>
      </c>
      <c r="G784" s="40" t="str">
        <f t="shared" si="2"/>
        <v/>
      </c>
      <c r="H784" s="41"/>
      <c r="I784" s="42"/>
      <c r="J784" s="42"/>
      <c r="K784" s="42"/>
      <c r="L784" s="42"/>
      <c r="M784" s="42"/>
      <c r="N784" s="42"/>
      <c r="O784" s="42"/>
      <c r="P784" s="42"/>
      <c r="Q784" s="42"/>
      <c r="R784" s="42"/>
      <c r="S784" s="42"/>
      <c r="T784" s="42"/>
      <c r="U784" s="42"/>
      <c r="V784" s="42"/>
      <c r="W784" s="42"/>
      <c r="X784" s="42"/>
      <c r="Y784" s="42"/>
      <c r="Z784" s="42"/>
      <c r="AA784" s="42"/>
    </row>
    <row r="785">
      <c r="A785" s="36" t="str">
        <f>IF($B785="","",VLOOKUP($B785,DADOS!$C$2:$I1014,2,0))</f>
        <v/>
      </c>
      <c r="B785" s="37"/>
      <c r="C785" s="36"/>
      <c r="D785" s="38" t="str">
        <f>IF($B785="","",SUM(VLOOKUP($B785,DADOS!$C$2:$I1014,4,0)*$C785))</f>
        <v/>
      </c>
      <c r="E785" s="38" t="str">
        <f>IF($B785="","",SUM(VLOOKUP($B785,DADOS!$C$2:$I1014,6,0)*$C785))</f>
        <v/>
      </c>
      <c r="F785" s="39" t="str">
        <f>IF($E785="","",(VLOOKUP($B785,DADOS!$C$2:$I1014,7,0)))</f>
        <v/>
      </c>
      <c r="G785" s="40" t="str">
        <f t="shared" si="2"/>
        <v/>
      </c>
      <c r="H785" s="41"/>
      <c r="I785" s="42"/>
      <c r="J785" s="42"/>
      <c r="K785" s="42"/>
      <c r="L785" s="42"/>
      <c r="M785" s="42"/>
      <c r="N785" s="42"/>
      <c r="O785" s="42"/>
      <c r="P785" s="42"/>
      <c r="Q785" s="42"/>
      <c r="R785" s="42"/>
      <c r="S785" s="42"/>
      <c r="T785" s="42"/>
      <c r="U785" s="42"/>
      <c r="V785" s="42"/>
      <c r="W785" s="42"/>
      <c r="X785" s="42"/>
      <c r="Y785" s="42"/>
      <c r="Z785" s="42"/>
      <c r="AA785" s="42"/>
    </row>
    <row r="786">
      <c r="A786" s="36" t="str">
        <f>IF($B786="","",VLOOKUP($B786,DADOS!$C$2:$I1014,2,0))</f>
        <v/>
      </c>
      <c r="B786" s="37"/>
      <c r="C786" s="36"/>
      <c r="D786" s="38" t="str">
        <f>IF($B786="","",SUM(VLOOKUP($B786,DADOS!$C$2:$I1014,4,0)*$C786))</f>
        <v/>
      </c>
      <c r="E786" s="38" t="str">
        <f>IF($B786="","",SUM(VLOOKUP($B786,DADOS!$C$2:$I1014,6,0)*$C786))</f>
        <v/>
      </c>
      <c r="F786" s="39" t="str">
        <f>IF($E786="","",(VLOOKUP($B786,DADOS!$C$2:$I1014,7,0)))</f>
        <v/>
      </c>
      <c r="G786" s="40" t="str">
        <f t="shared" si="2"/>
        <v/>
      </c>
      <c r="H786" s="41"/>
      <c r="I786" s="42"/>
      <c r="J786" s="42"/>
      <c r="K786" s="42"/>
      <c r="L786" s="42"/>
      <c r="M786" s="42"/>
      <c r="N786" s="42"/>
      <c r="O786" s="42"/>
      <c r="P786" s="42"/>
      <c r="Q786" s="42"/>
      <c r="R786" s="42"/>
      <c r="S786" s="42"/>
      <c r="T786" s="42"/>
      <c r="U786" s="42"/>
      <c r="V786" s="42"/>
      <c r="W786" s="42"/>
      <c r="X786" s="42"/>
      <c r="Y786" s="42"/>
      <c r="Z786" s="42"/>
      <c r="AA786" s="42"/>
    </row>
    <row r="787">
      <c r="A787" s="36" t="str">
        <f>IF($B787="","",VLOOKUP($B787,DADOS!$C$2:$I1014,2,0))</f>
        <v/>
      </c>
      <c r="B787" s="37"/>
      <c r="C787" s="36"/>
      <c r="D787" s="38" t="str">
        <f>IF($B787="","",SUM(VLOOKUP($B787,DADOS!$C$2:$I1014,4,0)*$C787))</f>
        <v/>
      </c>
      <c r="E787" s="38" t="str">
        <f>IF($B787="","",SUM(VLOOKUP($B787,DADOS!$C$2:$I1014,6,0)*$C787))</f>
        <v/>
      </c>
      <c r="F787" s="39" t="str">
        <f>IF($E787="","",(VLOOKUP($B787,DADOS!$C$2:$I1014,7,0)))</f>
        <v/>
      </c>
      <c r="G787" s="40" t="str">
        <f t="shared" si="2"/>
        <v/>
      </c>
      <c r="H787" s="41"/>
      <c r="I787" s="42"/>
      <c r="J787" s="42"/>
      <c r="K787" s="42"/>
      <c r="L787" s="42"/>
      <c r="M787" s="42"/>
      <c r="N787" s="42"/>
      <c r="O787" s="42"/>
      <c r="P787" s="42"/>
      <c r="Q787" s="42"/>
      <c r="R787" s="42"/>
      <c r="S787" s="42"/>
      <c r="T787" s="42"/>
      <c r="U787" s="42"/>
      <c r="V787" s="42"/>
      <c r="W787" s="42"/>
      <c r="X787" s="42"/>
      <c r="Y787" s="42"/>
      <c r="Z787" s="42"/>
      <c r="AA787" s="42"/>
    </row>
    <row r="788">
      <c r="A788" s="36" t="str">
        <f>IF($B788="","",VLOOKUP($B788,DADOS!$C$2:$I1014,2,0))</f>
        <v/>
      </c>
      <c r="B788" s="37"/>
      <c r="C788" s="36"/>
      <c r="D788" s="38" t="str">
        <f>IF($B788="","",SUM(VLOOKUP($B788,DADOS!$C$2:$I1014,4,0)*$C788))</f>
        <v/>
      </c>
      <c r="E788" s="38" t="str">
        <f>IF($B788="","",SUM(VLOOKUP($B788,DADOS!$C$2:$I1014,6,0)*$C788))</f>
        <v/>
      </c>
      <c r="F788" s="39" t="str">
        <f>IF($E788="","",(VLOOKUP($B788,DADOS!$C$2:$I1014,7,0)))</f>
        <v/>
      </c>
      <c r="G788" s="40" t="str">
        <f t="shared" si="2"/>
        <v/>
      </c>
      <c r="H788" s="41"/>
      <c r="I788" s="42"/>
      <c r="J788" s="42"/>
      <c r="K788" s="42"/>
      <c r="L788" s="42"/>
      <c r="M788" s="42"/>
      <c r="N788" s="42"/>
      <c r="O788" s="42"/>
      <c r="P788" s="42"/>
      <c r="Q788" s="42"/>
      <c r="R788" s="42"/>
      <c r="S788" s="42"/>
      <c r="T788" s="42"/>
      <c r="U788" s="42"/>
      <c r="V788" s="42"/>
      <c r="W788" s="42"/>
      <c r="X788" s="42"/>
      <c r="Y788" s="42"/>
      <c r="Z788" s="42"/>
      <c r="AA788" s="42"/>
    </row>
    <row r="789">
      <c r="A789" s="36" t="str">
        <f>IF($B789="","",VLOOKUP($B789,DADOS!$C$2:$I1014,2,0))</f>
        <v/>
      </c>
      <c r="B789" s="37"/>
      <c r="C789" s="36"/>
      <c r="D789" s="38" t="str">
        <f>IF($B789="","",SUM(VLOOKUP($B789,DADOS!$C$2:$I1014,4,0)*$C789))</f>
        <v/>
      </c>
      <c r="E789" s="38" t="str">
        <f>IF($B789="","",SUM(VLOOKUP($B789,DADOS!$C$2:$I1014,6,0)*$C789))</f>
        <v/>
      </c>
      <c r="F789" s="39" t="str">
        <f>IF($E789="","",(VLOOKUP($B789,DADOS!$C$2:$I1014,7,0)))</f>
        <v/>
      </c>
      <c r="G789" s="40" t="str">
        <f t="shared" si="2"/>
        <v/>
      </c>
      <c r="H789" s="41"/>
      <c r="I789" s="42"/>
      <c r="J789" s="42"/>
      <c r="K789" s="42"/>
      <c r="L789" s="42"/>
      <c r="M789" s="42"/>
      <c r="N789" s="42"/>
      <c r="O789" s="42"/>
      <c r="P789" s="42"/>
      <c r="Q789" s="42"/>
      <c r="R789" s="42"/>
      <c r="S789" s="42"/>
      <c r="T789" s="42"/>
      <c r="U789" s="42"/>
      <c r="V789" s="42"/>
      <c r="W789" s="42"/>
      <c r="X789" s="42"/>
      <c r="Y789" s="42"/>
      <c r="Z789" s="42"/>
      <c r="AA789" s="42"/>
    </row>
    <row r="790">
      <c r="A790" s="36" t="str">
        <f>IF($B790="","",VLOOKUP($B790,DADOS!$C$2:$I1014,2,0))</f>
        <v/>
      </c>
      <c r="B790" s="37"/>
      <c r="C790" s="36"/>
      <c r="D790" s="38" t="str">
        <f>IF($B790="","",SUM(VLOOKUP($B790,DADOS!$C$2:$I1014,4,0)*$C790))</f>
        <v/>
      </c>
      <c r="E790" s="38" t="str">
        <f>IF($B790="","",SUM(VLOOKUP($B790,DADOS!$C$2:$I1014,6,0)*$C790))</f>
        <v/>
      </c>
      <c r="F790" s="39" t="str">
        <f>IF($E790="","",(VLOOKUP($B790,DADOS!$C$2:$I1014,7,0)))</f>
        <v/>
      </c>
      <c r="G790" s="40" t="str">
        <f t="shared" si="2"/>
        <v/>
      </c>
      <c r="H790" s="41"/>
      <c r="I790" s="42"/>
      <c r="J790" s="42"/>
      <c r="K790" s="42"/>
      <c r="L790" s="42"/>
      <c r="M790" s="42"/>
      <c r="N790" s="42"/>
      <c r="O790" s="42"/>
      <c r="P790" s="42"/>
      <c r="Q790" s="42"/>
      <c r="R790" s="42"/>
      <c r="S790" s="42"/>
      <c r="T790" s="42"/>
      <c r="U790" s="42"/>
      <c r="V790" s="42"/>
      <c r="W790" s="42"/>
      <c r="X790" s="42"/>
      <c r="Y790" s="42"/>
      <c r="Z790" s="42"/>
      <c r="AA790" s="42"/>
    </row>
    <row r="791">
      <c r="A791" s="36" t="str">
        <f>IF($B791="","",VLOOKUP($B791,DADOS!$C$2:$I1014,2,0))</f>
        <v/>
      </c>
      <c r="B791" s="37"/>
      <c r="C791" s="36"/>
      <c r="D791" s="38" t="str">
        <f>IF($B791="","",SUM(VLOOKUP($B791,DADOS!$C$2:$I1014,4,0)*$C791))</f>
        <v/>
      </c>
      <c r="E791" s="38" t="str">
        <f>IF($B791="","",SUM(VLOOKUP($B791,DADOS!$C$2:$I1014,6,0)*$C791))</f>
        <v/>
      </c>
      <c r="F791" s="39" t="str">
        <f>IF($E791="","",(VLOOKUP($B791,DADOS!$C$2:$I1014,7,0)))</f>
        <v/>
      </c>
      <c r="G791" s="40" t="str">
        <f t="shared" si="2"/>
        <v/>
      </c>
      <c r="H791" s="41"/>
      <c r="I791" s="42"/>
      <c r="J791" s="42"/>
      <c r="K791" s="42"/>
      <c r="L791" s="42"/>
      <c r="M791" s="42"/>
      <c r="N791" s="42"/>
      <c r="O791" s="42"/>
      <c r="P791" s="42"/>
      <c r="Q791" s="42"/>
      <c r="R791" s="42"/>
      <c r="S791" s="42"/>
      <c r="T791" s="42"/>
      <c r="U791" s="42"/>
      <c r="V791" s="42"/>
      <c r="W791" s="42"/>
      <c r="X791" s="42"/>
      <c r="Y791" s="42"/>
      <c r="Z791" s="42"/>
      <c r="AA791" s="42"/>
    </row>
    <row r="792">
      <c r="A792" s="36" t="str">
        <f>IF($B792="","",VLOOKUP($B792,DADOS!$C$2:$I1014,2,0))</f>
        <v/>
      </c>
      <c r="B792" s="37"/>
      <c r="C792" s="36"/>
      <c r="D792" s="38" t="str">
        <f>IF($B792="","",SUM(VLOOKUP($B792,DADOS!$C$2:$I1014,4,0)*$C792))</f>
        <v/>
      </c>
      <c r="E792" s="38" t="str">
        <f>IF($B792="","",SUM(VLOOKUP($B792,DADOS!$C$2:$I1014,6,0)*$C792))</f>
        <v/>
      </c>
      <c r="F792" s="39" t="str">
        <f>IF($E792="","",(VLOOKUP($B792,DADOS!$C$2:$I1014,7,0)))</f>
        <v/>
      </c>
      <c r="G792" s="40" t="str">
        <f t="shared" si="2"/>
        <v/>
      </c>
      <c r="H792" s="41"/>
      <c r="I792" s="42"/>
      <c r="J792" s="42"/>
      <c r="K792" s="42"/>
      <c r="L792" s="42"/>
      <c r="M792" s="42"/>
      <c r="N792" s="42"/>
      <c r="O792" s="42"/>
      <c r="P792" s="42"/>
      <c r="Q792" s="42"/>
      <c r="R792" s="42"/>
      <c r="S792" s="42"/>
      <c r="T792" s="42"/>
      <c r="U792" s="42"/>
      <c r="V792" s="42"/>
      <c r="W792" s="42"/>
      <c r="X792" s="42"/>
      <c r="Y792" s="42"/>
      <c r="Z792" s="42"/>
      <c r="AA792" s="42"/>
    </row>
    <row r="793">
      <c r="A793" s="36" t="str">
        <f>IF($B793="","",VLOOKUP($B793,DADOS!$C$2:$I1014,2,0))</f>
        <v/>
      </c>
      <c r="B793" s="37"/>
      <c r="C793" s="36"/>
      <c r="D793" s="38" t="str">
        <f>IF($B793="","",SUM(VLOOKUP($B793,DADOS!$C$2:$I1014,4,0)*$C793))</f>
        <v/>
      </c>
      <c r="E793" s="38" t="str">
        <f>IF($B793="","",SUM(VLOOKUP($B793,DADOS!$C$2:$I1014,6,0)*$C793))</f>
        <v/>
      </c>
      <c r="F793" s="39" t="str">
        <f>IF($E793="","",(VLOOKUP($B793,DADOS!$C$2:$I1014,7,0)))</f>
        <v/>
      </c>
      <c r="G793" s="40" t="str">
        <f t="shared" si="2"/>
        <v/>
      </c>
      <c r="H793" s="41"/>
      <c r="I793" s="42"/>
      <c r="J793" s="42"/>
      <c r="K793" s="42"/>
      <c r="L793" s="42"/>
      <c r="M793" s="42"/>
      <c r="N793" s="42"/>
      <c r="O793" s="42"/>
      <c r="P793" s="42"/>
      <c r="Q793" s="42"/>
      <c r="R793" s="42"/>
      <c r="S793" s="42"/>
      <c r="T793" s="42"/>
      <c r="U793" s="42"/>
      <c r="V793" s="42"/>
      <c r="W793" s="42"/>
      <c r="X793" s="42"/>
      <c r="Y793" s="42"/>
      <c r="Z793" s="42"/>
      <c r="AA793" s="42"/>
    </row>
    <row r="794">
      <c r="A794" s="36" t="str">
        <f>IF($B794="","",VLOOKUP($B794,DADOS!$C$2:$I1014,2,0))</f>
        <v/>
      </c>
      <c r="B794" s="37"/>
      <c r="C794" s="36"/>
      <c r="D794" s="38" t="str">
        <f>IF($B794="","",SUM(VLOOKUP($B794,DADOS!$C$2:$I1014,4,0)*$C794))</f>
        <v/>
      </c>
      <c r="E794" s="38" t="str">
        <f>IF($B794="","",SUM(VLOOKUP($B794,DADOS!$C$2:$I1014,6,0)*$C794))</f>
        <v/>
      </c>
      <c r="F794" s="39" t="str">
        <f>IF($E794="","",(VLOOKUP($B794,DADOS!$C$2:$I1014,7,0)))</f>
        <v/>
      </c>
      <c r="G794" s="40" t="str">
        <f t="shared" si="2"/>
        <v/>
      </c>
      <c r="H794" s="41"/>
      <c r="I794" s="42"/>
      <c r="J794" s="42"/>
      <c r="K794" s="42"/>
      <c r="L794" s="42"/>
      <c r="M794" s="42"/>
      <c r="N794" s="42"/>
      <c r="O794" s="42"/>
      <c r="P794" s="42"/>
      <c r="Q794" s="42"/>
      <c r="R794" s="42"/>
      <c r="S794" s="42"/>
      <c r="T794" s="42"/>
      <c r="U794" s="42"/>
      <c r="V794" s="42"/>
      <c r="W794" s="42"/>
      <c r="X794" s="42"/>
      <c r="Y794" s="42"/>
      <c r="Z794" s="42"/>
      <c r="AA794" s="42"/>
    </row>
    <row r="795">
      <c r="A795" s="36" t="str">
        <f>IF($B795="","",VLOOKUP($B795,DADOS!$C$2:$I1014,2,0))</f>
        <v/>
      </c>
      <c r="B795" s="37"/>
      <c r="C795" s="36"/>
      <c r="D795" s="38" t="str">
        <f>IF($B795="","",SUM(VLOOKUP($B795,DADOS!$C$2:$I1014,4,0)*$C795))</f>
        <v/>
      </c>
      <c r="E795" s="38" t="str">
        <f>IF($B795="","",SUM(VLOOKUP($B795,DADOS!$C$2:$I1014,6,0)*$C795))</f>
        <v/>
      </c>
      <c r="F795" s="39" t="str">
        <f>IF($E795="","",(VLOOKUP($B795,DADOS!$C$2:$I1014,7,0)))</f>
        <v/>
      </c>
      <c r="G795" s="40" t="str">
        <f t="shared" si="2"/>
        <v/>
      </c>
      <c r="H795" s="41"/>
      <c r="I795" s="42"/>
      <c r="J795" s="42"/>
      <c r="K795" s="42"/>
      <c r="L795" s="42"/>
      <c r="M795" s="42"/>
      <c r="N795" s="42"/>
      <c r="O795" s="42"/>
      <c r="P795" s="42"/>
      <c r="Q795" s="42"/>
      <c r="R795" s="42"/>
      <c r="S795" s="42"/>
      <c r="T795" s="42"/>
      <c r="U795" s="42"/>
      <c r="V795" s="42"/>
      <c r="W795" s="42"/>
      <c r="X795" s="42"/>
      <c r="Y795" s="42"/>
      <c r="Z795" s="42"/>
      <c r="AA795" s="42"/>
    </row>
    <row r="796">
      <c r="A796" s="36" t="str">
        <f>IF($B796="","",VLOOKUP($B796,DADOS!$C$2:$I1014,2,0))</f>
        <v/>
      </c>
      <c r="B796" s="37"/>
      <c r="C796" s="36"/>
      <c r="D796" s="38" t="str">
        <f>IF($B796="","",SUM(VLOOKUP($B796,DADOS!$C$2:$I1014,4,0)*$C796))</f>
        <v/>
      </c>
      <c r="E796" s="38" t="str">
        <f>IF($B796="","",SUM(VLOOKUP($B796,DADOS!$C$2:$I1014,6,0)*$C796))</f>
        <v/>
      </c>
      <c r="F796" s="39" t="str">
        <f>IF($E796="","",(VLOOKUP($B796,DADOS!$C$2:$I1014,7,0)))</f>
        <v/>
      </c>
      <c r="G796" s="40" t="str">
        <f t="shared" si="2"/>
        <v/>
      </c>
      <c r="H796" s="41"/>
      <c r="I796" s="42"/>
      <c r="J796" s="42"/>
      <c r="K796" s="42"/>
      <c r="L796" s="42"/>
      <c r="M796" s="42"/>
      <c r="N796" s="42"/>
      <c r="O796" s="42"/>
      <c r="P796" s="42"/>
      <c r="Q796" s="42"/>
      <c r="R796" s="42"/>
      <c r="S796" s="42"/>
      <c r="T796" s="42"/>
      <c r="U796" s="42"/>
      <c r="V796" s="42"/>
      <c r="W796" s="42"/>
      <c r="X796" s="42"/>
      <c r="Y796" s="42"/>
      <c r="Z796" s="42"/>
      <c r="AA796" s="42"/>
    </row>
    <row r="797">
      <c r="A797" s="36" t="str">
        <f>IF($B797="","",VLOOKUP($B797,DADOS!$C$2:$I1014,2,0))</f>
        <v/>
      </c>
      <c r="B797" s="37"/>
      <c r="C797" s="36"/>
      <c r="D797" s="38" t="str">
        <f>IF($B797="","",SUM(VLOOKUP($B797,DADOS!$C$2:$I1014,4,0)*$C797))</f>
        <v/>
      </c>
      <c r="E797" s="38" t="str">
        <f>IF($B797="","",SUM(VLOOKUP($B797,DADOS!$C$2:$I1014,6,0)*$C797))</f>
        <v/>
      </c>
      <c r="F797" s="39" t="str">
        <f>IF($E797="","",(VLOOKUP($B797,DADOS!$C$2:$I1014,7,0)))</f>
        <v/>
      </c>
      <c r="G797" s="40" t="str">
        <f t="shared" si="2"/>
        <v/>
      </c>
      <c r="H797" s="41"/>
      <c r="I797" s="42"/>
      <c r="J797" s="42"/>
      <c r="K797" s="42"/>
      <c r="L797" s="42"/>
      <c r="M797" s="42"/>
      <c r="N797" s="42"/>
      <c r="O797" s="42"/>
      <c r="P797" s="42"/>
      <c r="Q797" s="42"/>
      <c r="R797" s="42"/>
      <c r="S797" s="42"/>
      <c r="T797" s="42"/>
      <c r="U797" s="42"/>
      <c r="V797" s="42"/>
      <c r="W797" s="42"/>
      <c r="X797" s="42"/>
      <c r="Y797" s="42"/>
      <c r="Z797" s="42"/>
      <c r="AA797" s="42"/>
    </row>
    <row r="798">
      <c r="A798" s="36" t="str">
        <f>IF($B798="","",VLOOKUP($B798,DADOS!$C$2:$I1014,2,0))</f>
        <v/>
      </c>
      <c r="B798" s="37"/>
      <c r="C798" s="36"/>
      <c r="D798" s="38" t="str">
        <f>IF($B798="","",SUM(VLOOKUP($B798,DADOS!$C$2:$I1014,4,0)*$C798))</f>
        <v/>
      </c>
      <c r="E798" s="38" t="str">
        <f>IF($B798="","",SUM(VLOOKUP($B798,DADOS!$C$2:$I1014,6,0)*$C798))</f>
        <v/>
      </c>
      <c r="F798" s="39" t="str">
        <f>IF($E798="","",(VLOOKUP($B798,DADOS!$C$2:$I1014,7,0)))</f>
        <v/>
      </c>
      <c r="G798" s="40" t="str">
        <f t="shared" si="2"/>
        <v/>
      </c>
      <c r="H798" s="41"/>
      <c r="I798" s="42"/>
      <c r="J798" s="42"/>
      <c r="K798" s="42"/>
      <c r="L798" s="42"/>
      <c r="M798" s="42"/>
      <c r="N798" s="42"/>
      <c r="O798" s="42"/>
      <c r="P798" s="42"/>
      <c r="Q798" s="42"/>
      <c r="R798" s="42"/>
      <c r="S798" s="42"/>
      <c r="T798" s="42"/>
      <c r="U798" s="42"/>
      <c r="V798" s="42"/>
      <c r="W798" s="42"/>
      <c r="X798" s="42"/>
      <c r="Y798" s="42"/>
      <c r="Z798" s="42"/>
      <c r="AA798" s="42"/>
    </row>
    <row r="799">
      <c r="A799" s="36" t="str">
        <f>IF($B799="","",VLOOKUP($B799,DADOS!$C$2:$I1014,2,0))</f>
        <v/>
      </c>
      <c r="B799" s="37"/>
      <c r="C799" s="36"/>
      <c r="D799" s="38" t="str">
        <f>IF($B799="","",SUM(VLOOKUP($B799,DADOS!$C$2:$I1014,4,0)*$C799))</f>
        <v/>
      </c>
      <c r="E799" s="38" t="str">
        <f>IF($B799="","",SUM(VLOOKUP($B799,DADOS!$C$2:$I1014,6,0)*$C799))</f>
        <v/>
      </c>
      <c r="F799" s="39" t="str">
        <f>IF($E799="","",(VLOOKUP($B799,DADOS!$C$2:$I1014,7,0)))</f>
        <v/>
      </c>
      <c r="G799" s="40" t="str">
        <f t="shared" si="2"/>
        <v/>
      </c>
      <c r="H799" s="41"/>
      <c r="I799" s="42"/>
      <c r="J799" s="42"/>
      <c r="K799" s="42"/>
      <c r="L799" s="42"/>
      <c r="M799" s="42"/>
      <c r="N799" s="42"/>
      <c r="O799" s="42"/>
      <c r="P799" s="42"/>
      <c r="Q799" s="42"/>
      <c r="R799" s="42"/>
      <c r="S799" s="42"/>
      <c r="T799" s="42"/>
      <c r="U799" s="42"/>
      <c r="V799" s="42"/>
      <c r="W799" s="42"/>
      <c r="X799" s="42"/>
      <c r="Y799" s="42"/>
      <c r="Z799" s="42"/>
      <c r="AA799" s="42"/>
    </row>
    <row r="800">
      <c r="A800" s="36" t="str">
        <f>IF($B800="","",VLOOKUP($B800,DADOS!$C$2:$I1014,2,0))</f>
        <v/>
      </c>
      <c r="B800" s="37"/>
      <c r="C800" s="36"/>
      <c r="D800" s="38" t="str">
        <f>IF($B800="","",SUM(VLOOKUP($B800,DADOS!$C$2:$I1014,4,0)*$C800))</f>
        <v/>
      </c>
      <c r="E800" s="38" t="str">
        <f>IF($B800="","",SUM(VLOOKUP($B800,DADOS!$C$2:$I1014,6,0)*$C800))</f>
        <v/>
      </c>
      <c r="F800" s="39" t="str">
        <f>IF($E800="","",(VLOOKUP($B800,DADOS!$C$2:$I1014,7,0)))</f>
        <v/>
      </c>
      <c r="G800" s="40" t="str">
        <f t="shared" si="2"/>
        <v/>
      </c>
      <c r="H800" s="41"/>
      <c r="I800" s="42"/>
      <c r="J800" s="42"/>
      <c r="K800" s="42"/>
      <c r="L800" s="42"/>
      <c r="M800" s="42"/>
      <c r="N800" s="42"/>
      <c r="O800" s="42"/>
      <c r="P800" s="42"/>
      <c r="Q800" s="42"/>
      <c r="R800" s="42"/>
      <c r="S800" s="42"/>
      <c r="T800" s="42"/>
      <c r="U800" s="42"/>
      <c r="V800" s="42"/>
      <c r="W800" s="42"/>
      <c r="X800" s="42"/>
      <c r="Y800" s="42"/>
      <c r="Z800" s="42"/>
      <c r="AA800" s="42"/>
    </row>
    <row r="801">
      <c r="A801" s="36" t="str">
        <f>IF($B801="","",VLOOKUP($B801,DADOS!$C$2:$I1014,2,0))</f>
        <v/>
      </c>
      <c r="B801" s="37"/>
      <c r="C801" s="36"/>
      <c r="D801" s="38" t="str">
        <f>IF($B801="","",SUM(VLOOKUP($B801,DADOS!$C$2:$I1014,4,0)*$C801))</f>
        <v/>
      </c>
      <c r="E801" s="38" t="str">
        <f>IF($B801="","",SUM(VLOOKUP($B801,DADOS!$C$2:$I1014,6,0)*$C801))</f>
        <v/>
      </c>
      <c r="F801" s="39" t="str">
        <f>IF($E801="","",(VLOOKUP($B801,DADOS!$C$2:$I1014,7,0)))</f>
        <v/>
      </c>
      <c r="G801" s="40" t="str">
        <f t="shared" si="2"/>
        <v/>
      </c>
      <c r="H801" s="41"/>
      <c r="I801" s="42"/>
      <c r="J801" s="42"/>
      <c r="K801" s="42"/>
      <c r="L801" s="42"/>
      <c r="M801" s="42"/>
      <c r="N801" s="42"/>
      <c r="O801" s="42"/>
      <c r="P801" s="42"/>
      <c r="Q801" s="42"/>
      <c r="R801" s="42"/>
      <c r="S801" s="42"/>
      <c r="T801" s="42"/>
      <c r="U801" s="42"/>
      <c r="V801" s="42"/>
      <c r="W801" s="42"/>
      <c r="X801" s="42"/>
      <c r="Y801" s="42"/>
      <c r="Z801" s="42"/>
      <c r="AA801" s="42"/>
    </row>
    <row r="802">
      <c r="A802" s="36" t="str">
        <f>IF($B802="","",VLOOKUP($B802,DADOS!$C$2:$I1014,2,0))</f>
        <v/>
      </c>
      <c r="B802" s="37"/>
      <c r="C802" s="36"/>
      <c r="D802" s="38" t="str">
        <f>IF($B802="","",SUM(VLOOKUP($B802,DADOS!$C$2:$I1014,4,0)*$C802))</f>
        <v/>
      </c>
      <c r="E802" s="38" t="str">
        <f>IF($B802="","",SUM(VLOOKUP($B802,DADOS!$C$2:$I1014,6,0)*$C802))</f>
        <v/>
      </c>
      <c r="F802" s="39" t="str">
        <f>IF($E802="","",(VLOOKUP($B802,DADOS!$C$2:$I1014,7,0)))</f>
        <v/>
      </c>
      <c r="G802" s="40" t="str">
        <f t="shared" si="2"/>
        <v/>
      </c>
      <c r="H802" s="41"/>
      <c r="I802" s="42"/>
      <c r="J802" s="42"/>
      <c r="K802" s="42"/>
      <c r="L802" s="42"/>
      <c r="M802" s="42"/>
      <c r="N802" s="42"/>
      <c r="O802" s="42"/>
      <c r="P802" s="42"/>
      <c r="Q802" s="42"/>
      <c r="R802" s="42"/>
      <c r="S802" s="42"/>
      <c r="T802" s="42"/>
      <c r="U802" s="42"/>
      <c r="V802" s="42"/>
      <c r="W802" s="42"/>
      <c r="X802" s="42"/>
      <c r="Y802" s="42"/>
      <c r="Z802" s="42"/>
      <c r="AA802" s="42"/>
    </row>
    <row r="803">
      <c r="A803" s="36" t="str">
        <f>IF($B803="","",VLOOKUP($B803,DADOS!$C$2:$I1014,2,0))</f>
        <v/>
      </c>
      <c r="B803" s="37"/>
      <c r="C803" s="36"/>
      <c r="D803" s="38" t="str">
        <f>IF($B803="","",SUM(VLOOKUP($B803,DADOS!$C$2:$I1014,4,0)*$C803))</f>
        <v/>
      </c>
      <c r="E803" s="38" t="str">
        <f>IF($B803="","",SUM(VLOOKUP($B803,DADOS!$C$2:$I1014,6,0)*$C803))</f>
        <v/>
      </c>
      <c r="F803" s="39" t="str">
        <f>IF($E803="","",(VLOOKUP($B803,DADOS!$C$2:$I1014,7,0)))</f>
        <v/>
      </c>
      <c r="G803" s="40" t="str">
        <f t="shared" si="2"/>
        <v/>
      </c>
      <c r="H803" s="41"/>
      <c r="I803" s="42"/>
      <c r="J803" s="42"/>
      <c r="K803" s="42"/>
      <c r="L803" s="42"/>
      <c r="M803" s="42"/>
      <c r="N803" s="42"/>
      <c r="O803" s="42"/>
      <c r="P803" s="42"/>
      <c r="Q803" s="42"/>
      <c r="R803" s="42"/>
      <c r="S803" s="42"/>
      <c r="T803" s="42"/>
      <c r="U803" s="42"/>
      <c r="V803" s="42"/>
      <c r="W803" s="42"/>
      <c r="X803" s="42"/>
      <c r="Y803" s="42"/>
      <c r="Z803" s="42"/>
      <c r="AA803" s="42"/>
    </row>
    <row r="804">
      <c r="A804" s="36" t="str">
        <f>IF($B804="","",VLOOKUP($B804,DADOS!$C$2:$I1014,2,0))</f>
        <v/>
      </c>
      <c r="B804" s="37"/>
      <c r="C804" s="36"/>
      <c r="D804" s="38" t="str">
        <f>IF($B804="","",SUM(VLOOKUP($B804,DADOS!$C$2:$I1014,4,0)*$C804))</f>
        <v/>
      </c>
      <c r="E804" s="38" t="str">
        <f>IF($B804="","",SUM(VLOOKUP($B804,DADOS!$C$2:$I1014,6,0)*$C804))</f>
        <v/>
      </c>
      <c r="F804" s="39" t="str">
        <f>IF($E804="","",(VLOOKUP($B804,DADOS!$C$2:$I1014,7,0)))</f>
        <v/>
      </c>
      <c r="G804" s="40" t="str">
        <f t="shared" si="2"/>
        <v/>
      </c>
      <c r="H804" s="41"/>
      <c r="I804" s="42"/>
      <c r="J804" s="42"/>
      <c r="K804" s="42"/>
      <c r="L804" s="42"/>
      <c r="M804" s="42"/>
      <c r="N804" s="42"/>
      <c r="O804" s="42"/>
      <c r="P804" s="42"/>
      <c r="Q804" s="42"/>
      <c r="R804" s="42"/>
      <c r="S804" s="42"/>
      <c r="T804" s="42"/>
      <c r="U804" s="42"/>
      <c r="V804" s="42"/>
      <c r="W804" s="42"/>
      <c r="X804" s="42"/>
      <c r="Y804" s="42"/>
      <c r="Z804" s="42"/>
      <c r="AA804" s="42"/>
    </row>
    <row r="805">
      <c r="A805" s="36" t="str">
        <f>IF($B805="","",VLOOKUP($B805,DADOS!$C$2:$I1014,2,0))</f>
        <v/>
      </c>
      <c r="B805" s="37"/>
      <c r="C805" s="36"/>
      <c r="D805" s="38" t="str">
        <f>IF($B805="","",SUM(VLOOKUP($B805,DADOS!$C$2:$I1014,4,0)*$C805))</f>
        <v/>
      </c>
      <c r="E805" s="38" t="str">
        <f>IF($B805="","",SUM(VLOOKUP($B805,DADOS!$C$2:$I1014,6,0)*$C805))</f>
        <v/>
      </c>
      <c r="F805" s="39" t="str">
        <f>IF($E805="","",(VLOOKUP($B805,DADOS!$C$2:$I1014,7,0)))</f>
        <v/>
      </c>
      <c r="G805" s="40" t="str">
        <f t="shared" si="2"/>
        <v/>
      </c>
      <c r="H805" s="41"/>
      <c r="I805" s="42"/>
      <c r="J805" s="42"/>
      <c r="K805" s="42"/>
      <c r="L805" s="42"/>
      <c r="M805" s="42"/>
      <c r="N805" s="42"/>
      <c r="O805" s="42"/>
      <c r="P805" s="42"/>
      <c r="Q805" s="42"/>
      <c r="R805" s="42"/>
      <c r="S805" s="42"/>
      <c r="T805" s="42"/>
      <c r="U805" s="42"/>
      <c r="V805" s="42"/>
      <c r="W805" s="42"/>
      <c r="X805" s="42"/>
      <c r="Y805" s="42"/>
      <c r="Z805" s="42"/>
      <c r="AA805" s="42"/>
    </row>
    <row r="806">
      <c r="A806" s="36" t="str">
        <f>IF($B806="","",VLOOKUP($B806,DADOS!$C$2:$I1014,2,0))</f>
        <v/>
      </c>
      <c r="B806" s="37"/>
      <c r="C806" s="36"/>
      <c r="D806" s="38" t="str">
        <f>IF($B806="","",SUM(VLOOKUP($B806,DADOS!$C$2:$I1014,4,0)*$C806))</f>
        <v/>
      </c>
      <c r="E806" s="38" t="str">
        <f>IF($B806="","",SUM(VLOOKUP($B806,DADOS!$C$2:$I1014,6,0)*$C806))</f>
        <v/>
      </c>
      <c r="F806" s="39" t="str">
        <f>IF($E806="","",(VLOOKUP($B806,DADOS!$C$2:$I1014,7,0)))</f>
        <v/>
      </c>
      <c r="G806" s="40" t="str">
        <f t="shared" si="2"/>
        <v/>
      </c>
      <c r="H806" s="41"/>
      <c r="I806" s="42"/>
      <c r="J806" s="42"/>
      <c r="K806" s="42"/>
      <c r="L806" s="42"/>
      <c r="M806" s="42"/>
      <c r="N806" s="42"/>
      <c r="O806" s="42"/>
      <c r="P806" s="42"/>
      <c r="Q806" s="42"/>
      <c r="R806" s="42"/>
      <c r="S806" s="42"/>
      <c r="T806" s="42"/>
      <c r="U806" s="42"/>
      <c r="V806" s="42"/>
      <c r="W806" s="42"/>
      <c r="X806" s="42"/>
      <c r="Y806" s="42"/>
      <c r="Z806" s="42"/>
      <c r="AA806" s="42"/>
    </row>
    <row r="807">
      <c r="A807" s="36" t="str">
        <f>IF($B807="","",VLOOKUP($B807,DADOS!$C$2:$I1014,2,0))</f>
        <v/>
      </c>
      <c r="B807" s="37"/>
      <c r="C807" s="36"/>
      <c r="D807" s="38" t="str">
        <f>IF($B807="","",SUM(VLOOKUP($B807,DADOS!$C$2:$I1014,4,0)*$C807))</f>
        <v/>
      </c>
      <c r="E807" s="38" t="str">
        <f>IF($B807="","",SUM(VLOOKUP($B807,DADOS!$C$2:$I1014,6,0)*$C807))</f>
        <v/>
      </c>
      <c r="F807" s="39" t="str">
        <f>IF($E807="","",(VLOOKUP($B807,DADOS!$C$2:$I1014,7,0)))</f>
        <v/>
      </c>
      <c r="G807" s="40" t="str">
        <f t="shared" si="2"/>
        <v/>
      </c>
      <c r="H807" s="41"/>
      <c r="I807" s="42"/>
      <c r="J807" s="42"/>
      <c r="K807" s="42"/>
      <c r="L807" s="42"/>
      <c r="M807" s="42"/>
      <c r="N807" s="42"/>
      <c r="O807" s="42"/>
      <c r="P807" s="42"/>
      <c r="Q807" s="42"/>
      <c r="R807" s="42"/>
      <c r="S807" s="42"/>
      <c r="T807" s="42"/>
      <c r="U807" s="42"/>
      <c r="V807" s="42"/>
      <c r="W807" s="42"/>
      <c r="X807" s="42"/>
      <c r="Y807" s="42"/>
      <c r="Z807" s="42"/>
      <c r="AA807" s="42"/>
    </row>
    <row r="808">
      <c r="A808" s="36" t="str">
        <f>IF($B808="","",VLOOKUP($B808,DADOS!$C$2:$I1014,2,0))</f>
        <v/>
      </c>
      <c r="B808" s="37"/>
      <c r="C808" s="36"/>
      <c r="D808" s="38" t="str">
        <f>IF($B808="","",SUM(VLOOKUP($B808,DADOS!$C$2:$I1014,4,0)*$C808))</f>
        <v/>
      </c>
      <c r="E808" s="38" t="str">
        <f>IF($B808="","",SUM(VLOOKUP($B808,DADOS!$C$2:$I1014,6,0)*$C808))</f>
        <v/>
      </c>
      <c r="F808" s="39" t="str">
        <f>IF($E808="","",(VLOOKUP($B808,DADOS!$C$2:$I1014,7,0)))</f>
        <v/>
      </c>
      <c r="G808" s="40" t="str">
        <f t="shared" si="2"/>
        <v/>
      </c>
      <c r="H808" s="41"/>
      <c r="I808" s="42"/>
      <c r="J808" s="42"/>
      <c r="K808" s="42"/>
      <c r="L808" s="42"/>
      <c r="M808" s="42"/>
      <c r="N808" s="42"/>
      <c r="O808" s="42"/>
      <c r="P808" s="42"/>
      <c r="Q808" s="42"/>
      <c r="R808" s="42"/>
      <c r="S808" s="42"/>
      <c r="T808" s="42"/>
      <c r="U808" s="42"/>
      <c r="V808" s="42"/>
      <c r="W808" s="42"/>
      <c r="X808" s="42"/>
      <c r="Y808" s="42"/>
      <c r="Z808" s="42"/>
      <c r="AA808" s="42"/>
    </row>
    <row r="809">
      <c r="A809" s="36" t="str">
        <f>IF($B809="","",VLOOKUP($B809,DADOS!$C$2:$I1014,2,0))</f>
        <v/>
      </c>
      <c r="B809" s="37"/>
      <c r="C809" s="36"/>
      <c r="D809" s="38" t="str">
        <f>IF($B809="","",SUM(VLOOKUP($B809,DADOS!$C$2:$I1014,4,0)*$C809))</f>
        <v/>
      </c>
      <c r="E809" s="38" t="str">
        <f>IF($B809="","",SUM(VLOOKUP($B809,DADOS!$C$2:$I1014,6,0)*$C809))</f>
        <v/>
      </c>
      <c r="F809" s="39" t="str">
        <f>IF($E809="","",(VLOOKUP($B809,DADOS!$C$2:$I1014,7,0)))</f>
        <v/>
      </c>
      <c r="G809" s="40" t="str">
        <f t="shared" si="2"/>
        <v/>
      </c>
      <c r="H809" s="41"/>
      <c r="I809" s="42"/>
      <c r="J809" s="42"/>
      <c r="K809" s="42"/>
      <c r="L809" s="42"/>
      <c r="M809" s="42"/>
      <c r="N809" s="42"/>
      <c r="O809" s="42"/>
      <c r="P809" s="42"/>
      <c r="Q809" s="42"/>
      <c r="R809" s="42"/>
      <c r="S809" s="42"/>
      <c r="T809" s="42"/>
      <c r="U809" s="42"/>
      <c r="V809" s="42"/>
      <c r="W809" s="42"/>
      <c r="X809" s="42"/>
      <c r="Y809" s="42"/>
      <c r="Z809" s="42"/>
      <c r="AA809" s="42"/>
    </row>
    <row r="810">
      <c r="A810" s="36" t="str">
        <f>IF($B810="","",VLOOKUP($B810,DADOS!$C$2:$I1014,2,0))</f>
        <v/>
      </c>
      <c r="B810" s="37"/>
      <c r="C810" s="36"/>
      <c r="D810" s="38" t="str">
        <f>IF($B810="","",SUM(VLOOKUP($B810,DADOS!$C$2:$I1014,4,0)*$C810))</f>
        <v/>
      </c>
      <c r="E810" s="38" t="str">
        <f>IF($B810="","",SUM(VLOOKUP($B810,DADOS!$C$2:$I1014,6,0)*$C810))</f>
        <v/>
      </c>
      <c r="F810" s="39" t="str">
        <f>IF($E810="","",(VLOOKUP($B810,DADOS!$C$2:$I1014,7,0)))</f>
        <v/>
      </c>
      <c r="G810" s="40" t="str">
        <f t="shared" si="2"/>
        <v/>
      </c>
      <c r="H810" s="41"/>
      <c r="I810" s="42"/>
      <c r="J810" s="42"/>
      <c r="K810" s="42"/>
      <c r="L810" s="42"/>
      <c r="M810" s="42"/>
      <c r="N810" s="42"/>
      <c r="O810" s="42"/>
      <c r="P810" s="42"/>
      <c r="Q810" s="42"/>
      <c r="R810" s="42"/>
      <c r="S810" s="42"/>
      <c r="T810" s="42"/>
      <c r="U810" s="42"/>
      <c r="V810" s="42"/>
      <c r="W810" s="42"/>
      <c r="X810" s="42"/>
      <c r="Y810" s="42"/>
      <c r="Z810" s="42"/>
      <c r="AA810" s="42"/>
    </row>
    <row r="811">
      <c r="A811" s="36" t="str">
        <f>IF($B811="","",VLOOKUP($B811,DADOS!$C$2:$I1014,2,0))</f>
        <v/>
      </c>
      <c r="B811" s="37"/>
      <c r="C811" s="36"/>
      <c r="D811" s="38" t="str">
        <f>IF($B811="","",SUM(VLOOKUP($B811,DADOS!$C$2:$I1014,4,0)*$C811))</f>
        <v/>
      </c>
      <c r="E811" s="38" t="str">
        <f>IF($B811="","",SUM(VLOOKUP($B811,DADOS!$C$2:$I1014,6,0)*$C811))</f>
        <v/>
      </c>
      <c r="F811" s="39" t="str">
        <f>IF($E811="","",(VLOOKUP($B811,DADOS!$C$2:$I1014,7,0)))</f>
        <v/>
      </c>
      <c r="G811" s="40" t="str">
        <f t="shared" si="2"/>
        <v/>
      </c>
      <c r="H811" s="41"/>
      <c r="I811" s="42"/>
      <c r="J811" s="42"/>
      <c r="K811" s="42"/>
      <c r="L811" s="42"/>
      <c r="M811" s="42"/>
      <c r="N811" s="42"/>
      <c r="O811" s="42"/>
      <c r="P811" s="42"/>
      <c r="Q811" s="42"/>
      <c r="R811" s="42"/>
      <c r="S811" s="42"/>
      <c r="T811" s="42"/>
      <c r="U811" s="42"/>
      <c r="V811" s="42"/>
      <c r="W811" s="42"/>
      <c r="X811" s="42"/>
      <c r="Y811" s="42"/>
      <c r="Z811" s="42"/>
      <c r="AA811" s="42"/>
    </row>
    <row r="812">
      <c r="A812" s="36" t="str">
        <f>IF($B812="","",VLOOKUP($B812,DADOS!$C$2:$I1014,2,0))</f>
        <v/>
      </c>
      <c r="B812" s="37"/>
      <c r="C812" s="36"/>
      <c r="D812" s="38" t="str">
        <f>IF($B812="","",SUM(VLOOKUP($B812,DADOS!$C$2:$I1014,4,0)*$C812))</f>
        <v/>
      </c>
      <c r="E812" s="38" t="str">
        <f>IF($B812="","",SUM(VLOOKUP($B812,DADOS!$C$2:$I1014,6,0)*$C812))</f>
        <v/>
      </c>
      <c r="F812" s="39" t="str">
        <f>IF($E812="","",(VLOOKUP($B812,DADOS!$C$2:$I1014,7,0)))</f>
        <v/>
      </c>
      <c r="G812" s="40" t="str">
        <f t="shared" si="2"/>
        <v/>
      </c>
      <c r="H812" s="41"/>
      <c r="I812" s="42"/>
      <c r="J812" s="42"/>
      <c r="K812" s="42"/>
      <c r="L812" s="42"/>
      <c r="M812" s="42"/>
      <c r="N812" s="42"/>
      <c r="O812" s="42"/>
      <c r="P812" s="42"/>
      <c r="Q812" s="42"/>
      <c r="R812" s="42"/>
      <c r="S812" s="42"/>
      <c r="T812" s="42"/>
      <c r="U812" s="42"/>
      <c r="V812" s="42"/>
      <c r="W812" s="42"/>
      <c r="X812" s="42"/>
      <c r="Y812" s="42"/>
      <c r="Z812" s="42"/>
      <c r="AA812" s="42"/>
    </row>
    <row r="813">
      <c r="A813" s="36" t="str">
        <f>IF($B813="","",VLOOKUP($B813,DADOS!$C$2:$I1014,2,0))</f>
        <v/>
      </c>
      <c r="B813" s="37"/>
      <c r="C813" s="36"/>
      <c r="D813" s="38" t="str">
        <f>IF($B813="","",SUM(VLOOKUP($B813,DADOS!$C$2:$I1014,4,0)*$C813))</f>
        <v/>
      </c>
      <c r="E813" s="38" t="str">
        <f>IF($B813="","",SUM(VLOOKUP($B813,DADOS!$C$2:$I1014,6,0)*$C813))</f>
        <v/>
      </c>
      <c r="F813" s="39" t="str">
        <f>IF($E813="","",(VLOOKUP($B813,DADOS!$C$2:$I1014,7,0)))</f>
        <v/>
      </c>
      <c r="G813" s="40" t="str">
        <f t="shared" si="2"/>
        <v/>
      </c>
      <c r="H813" s="41"/>
      <c r="I813" s="42"/>
      <c r="J813" s="42"/>
      <c r="K813" s="42"/>
      <c r="L813" s="42"/>
      <c r="M813" s="42"/>
      <c r="N813" s="42"/>
      <c r="O813" s="42"/>
      <c r="P813" s="42"/>
      <c r="Q813" s="42"/>
      <c r="R813" s="42"/>
      <c r="S813" s="42"/>
      <c r="T813" s="42"/>
      <c r="U813" s="42"/>
      <c r="V813" s="42"/>
      <c r="W813" s="42"/>
      <c r="X813" s="42"/>
      <c r="Y813" s="42"/>
      <c r="Z813" s="42"/>
      <c r="AA813" s="42"/>
    </row>
    <row r="814">
      <c r="A814" s="36" t="str">
        <f>IF($B814="","",VLOOKUP($B814,DADOS!$C$2:$I1014,2,0))</f>
        <v/>
      </c>
      <c r="B814" s="37"/>
      <c r="C814" s="36"/>
      <c r="D814" s="38" t="str">
        <f>IF($B814="","",SUM(VLOOKUP($B814,DADOS!$C$2:$I1014,4,0)*$C814))</f>
        <v/>
      </c>
      <c r="E814" s="38" t="str">
        <f>IF($B814="","",SUM(VLOOKUP($B814,DADOS!$C$2:$I1014,6,0)*$C814))</f>
        <v/>
      </c>
      <c r="F814" s="39" t="str">
        <f>IF($E814="","",(VLOOKUP($B814,DADOS!$C$2:$I1014,7,0)))</f>
        <v/>
      </c>
      <c r="G814" s="40" t="str">
        <f t="shared" si="2"/>
        <v/>
      </c>
      <c r="H814" s="41"/>
      <c r="I814" s="42"/>
      <c r="J814" s="42"/>
      <c r="K814" s="42"/>
      <c r="L814" s="42"/>
      <c r="M814" s="42"/>
      <c r="N814" s="42"/>
      <c r="O814" s="42"/>
      <c r="P814" s="42"/>
      <c r="Q814" s="42"/>
      <c r="R814" s="42"/>
      <c r="S814" s="42"/>
      <c r="T814" s="42"/>
      <c r="U814" s="42"/>
      <c r="V814" s="42"/>
      <c r="W814" s="42"/>
      <c r="X814" s="42"/>
      <c r="Y814" s="42"/>
      <c r="Z814" s="42"/>
      <c r="AA814" s="42"/>
    </row>
    <row r="815">
      <c r="A815" s="36" t="str">
        <f>IF($B815="","",VLOOKUP($B815,DADOS!$C$2:$I1014,2,0))</f>
        <v/>
      </c>
      <c r="B815" s="37"/>
      <c r="C815" s="36"/>
      <c r="D815" s="38" t="str">
        <f>IF($B815="","",SUM(VLOOKUP($B815,DADOS!$C$2:$I1014,4,0)*$C815))</f>
        <v/>
      </c>
      <c r="E815" s="38" t="str">
        <f>IF($B815="","",SUM(VLOOKUP($B815,DADOS!$C$2:$I1014,6,0)*$C815))</f>
        <v/>
      </c>
      <c r="F815" s="39" t="str">
        <f>IF($E815="","",(VLOOKUP($B815,DADOS!$C$2:$I1014,7,0)))</f>
        <v/>
      </c>
      <c r="G815" s="40" t="str">
        <f t="shared" si="2"/>
        <v/>
      </c>
      <c r="H815" s="41"/>
      <c r="I815" s="42"/>
      <c r="J815" s="42"/>
      <c r="K815" s="42"/>
      <c r="L815" s="42"/>
      <c r="M815" s="42"/>
      <c r="N815" s="42"/>
      <c r="O815" s="42"/>
      <c r="P815" s="42"/>
      <c r="Q815" s="42"/>
      <c r="R815" s="42"/>
      <c r="S815" s="42"/>
      <c r="T815" s="42"/>
      <c r="U815" s="42"/>
      <c r="V815" s="42"/>
      <c r="W815" s="42"/>
      <c r="X815" s="42"/>
      <c r="Y815" s="42"/>
      <c r="Z815" s="42"/>
      <c r="AA815" s="42"/>
    </row>
    <row r="816">
      <c r="A816" s="36" t="str">
        <f>IF($B816="","",VLOOKUP($B816,DADOS!$C$2:$I1014,2,0))</f>
        <v/>
      </c>
      <c r="B816" s="37"/>
      <c r="C816" s="36"/>
      <c r="D816" s="38" t="str">
        <f>IF($B816="","",SUM(VLOOKUP($B816,DADOS!$C$2:$I1014,4,0)*$C816))</f>
        <v/>
      </c>
      <c r="E816" s="38" t="str">
        <f>IF($B816="","",SUM(VLOOKUP($B816,DADOS!$C$2:$I1014,6,0)*$C816))</f>
        <v/>
      </c>
      <c r="F816" s="39" t="str">
        <f>IF($E816="","",(VLOOKUP($B816,DADOS!$C$2:$I1014,7,0)))</f>
        <v/>
      </c>
      <c r="G816" s="40" t="str">
        <f t="shared" si="2"/>
        <v/>
      </c>
      <c r="H816" s="41"/>
      <c r="I816" s="42"/>
      <c r="J816" s="42"/>
      <c r="K816" s="42"/>
      <c r="L816" s="42"/>
      <c r="M816" s="42"/>
      <c r="N816" s="42"/>
      <c r="O816" s="42"/>
      <c r="P816" s="42"/>
      <c r="Q816" s="42"/>
      <c r="R816" s="42"/>
      <c r="S816" s="42"/>
      <c r="T816" s="42"/>
      <c r="U816" s="42"/>
      <c r="V816" s="42"/>
      <c r="W816" s="42"/>
      <c r="X816" s="42"/>
      <c r="Y816" s="42"/>
      <c r="Z816" s="42"/>
      <c r="AA816" s="42"/>
    </row>
    <row r="817">
      <c r="A817" s="36" t="str">
        <f>IF($B817="","",VLOOKUP($B817,DADOS!$C$2:$I1014,2,0))</f>
        <v/>
      </c>
      <c r="B817" s="37"/>
      <c r="C817" s="36"/>
      <c r="D817" s="38" t="str">
        <f>IF($B817="","",SUM(VLOOKUP($B817,DADOS!$C$2:$I1014,4,0)*$C817))</f>
        <v/>
      </c>
      <c r="E817" s="38" t="str">
        <f>IF($B817="","",SUM(VLOOKUP($B817,DADOS!$C$2:$I1014,6,0)*$C817))</f>
        <v/>
      </c>
      <c r="F817" s="39" t="str">
        <f>IF($E817="","",(VLOOKUP($B817,DADOS!$C$2:$I1014,7,0)))</f>
        <v/>
      </c>
      <c r="G817" s="40" t="str">
        <f t="shared" si="2"/>
        <v/>
      </c>
      <c r="H817" s="41"/>
      <c r="I817" s="42"/>
      <c r="J817" s="42"/>
      <c r="K817" s="42"/>
      <c r="L817" s="42"/>
      <c r="M817" s="42"/>
      <c r="N817" s="42"/>
      <c r="O817" s="42"/>
      <c r="P817" s="42"/>
      <c r="Q817" s="42"/>
      <c r="R817" s="42"/>
      <c r="S817" s="42"/>
      <c r="T817" s="42"/>
      <c r="U817" s="42"/>
      <c r="V817" s="42"/>
      <c r="W817" s="42"/>
      <c r="X817" s="42"/>
      <c r="Y817" s="42"/>
      <c r="Z817" s="42"/>
      <c r="AA817" s="42"/>
    </row>
    <row r="818">
      <c r="A818" s="36" t="str">
        <f>IF($B818="","",VLOOKUP($B818,DADOS!$C$2:$I1014,2,0))</f>
        <v/>
      </c>
      <c r="B818" s="37"/>
      <c r="C818" s="36"/>
      <c r="D818" s="38" t="str">
        <f>IF($B818="","",SUM(VLOOKUP($B818,DADOS!$C$2:$I1014,4,0)*$C818))</f>
        <v/>
      </c>
      <c r="E818" s="38" t="str">
        <f>IF($B818="","",SUM(VLOOKUP($B818,DADOS!$C$2:$I1014,6,0)*$C818))</f>
        <v/>
      </c>
      <c r="F818" s="39" t="str">
        <f>IF($E818="","",(VLOOKUP($B818,DADOS!$C$2:$I1014,7,0)))</f>
        <v/>
      </c>
      <c r="G818" s="40" t="str">
        <f t="shared" si="2"/>
        <v/>
      </c>
      <c r="H818" s="41"/>
      <c r="I818" s="42"/>
      <c r="J818" s="42"/>
      <c r="K818" s="42"/>
      <c r="L818" s="42"/>
      <c r="M818" s="42"/>
      <c r="N818" s="42"/>
      <c r="O818" s="42"/>
      <c r="P818" s="42"/>
      <c r="Q818" s="42"/>
      <c r="R818" s="42"/>
      <c r="S818" s="42"/>
      <c r="T818" s="42"/>
      <c r="U818" s="42"/>
      <c r="V818" s="42"/>
      <c r="W818" s="42"/>
      <c r="X818" s="42"/>
      <c r="Y818" s="42"/>
      <c r="Z818" s="42"/>
      <c r="AA818" s="42"/>
    </row>
    <row r="819">
      <c r="A819" s="36" t="str">
        <f>IF($B819="","",VLOOKUP($B819,DADOS!$C$2:$I1014,2,0))</f>
        <v/>
      </c>
      <c r="B819" s="37"/>
      <c r="C819" s="36"/>
      <c r="D819" s="38" t="str">
        <f>IF($B819="","",SUM(VLOOKUP($B819,DADOS!$C$2:$I1014,4,0)*$C819))</f>
        <v/>
      </c>
      <c r="E819" s="38" t="str">
        <f>IF($B819="","",SUM(VLOOKUP($B819,DADOS!$C$2:$I1014,6,0)*$C819))</f>
        <v/>
      </c>
      <c r="F819" s="39" t="str">
        <f>IF($E819="","",(VLOOKUP($B819,DADOS!$C$2:$I1014,7,0)))</f>
        <v/>
      </c>
      <c r="G819" s="40" t="str">
        <f t="shared" si="2"/>
        <v/>
      </c>
      <c r="H819" s="41"/>
      <c r="I819" s="42"/>
      <c r="J819" s="42"/>
      <c r="K819" s="42"/>
      <c r="L819" s="42"/>
      <c r="M819" s="42"/>
      <c r="N819" s="42"/>
      <c r="O819" s="42"/>
      <c r="P819" s="42"/>
      <c r="Q819" s="42"/>
      <c r="R819" s="42"/>
      <c r="S819" s="42"/>
      <c r="T819" s="42"/>
      <c r="U819" s="42"/>
      <c r="V819" s="42"/>
      <c r="W819" s="42"/>
      <c r="X819" s="42"/>
      <c r="Y819" s="42"/>
      <c r="Z819" s="42"/>
      <c r="AA819" s="42"/>
    </row>
    <row r="820">
      <c r="A820" s="36" t="str">
        <f>IF($B820="","",VLOOKUP($B820,DADOS!$C$2:$I1014,2,0))</f>
        <v/>
      </c>
      <c r="B820" s="37"/>
      <c r="C820" s="36"/>
      <c r="D820" s="38" t="str">
        <f>IF($B820="","",SUM(VLOOKUP($B820,DADOS!$C$2:$I1014,4,0)*$C820))</f>
        <v/>
      </c>
      <c r="E820" s="38" t="str">
        <f>IF($B820="","",SUM(VLOOKUP($B820,DADOS!$C$2:$I1014,6,0)*$C820))</f>
        <v/>
      </c>
      <c r="F820" s="39" t="str">
        <f>IF($E820="","",(VLOOKUP($B820,DADOS!$C$2:$I1014,7,0)))</f>
        <v/>
      </c>
      <c r="G820" s="40" t="str">
        <f t="shared" si="2"/>
        <v/>
      </c>
      <c r="H820" s="41"/>
      <c r="I820" s="42"/>
      <c r="J820" s="42"/>
      <c r="K820" s="42"/>
      <c r="L820" s="42"/>
      <c r="M820" s="42"/>
      <c r="N820" s="42"/>
      <c r="O820" s="42"/>
      <c r="P820" s="42"/>
      <c r="Q820" s="42"/>
      <c r="R820" s="42"/>
      <c r="S820" s="42"/>
      <c r="T820" s="42"/>
      <c r="U820" s="42"/>
      <c r="V820" s="42"/>
      <c r="W820" s="42"/>
      <c r="X820" s="42"/>
      <c r="Y820" s="42"/>
      <c r="Z820" s="42"/>
      <c r="AA820" s="42"/>
    </row>
    <row r="821">
      <c r="A821" s="36" t="str">
        <f>IF($B821="","",VLOOKUP($B821,DADOS!$C$2:$I1014,2,0))</f>
        <v/>
      </c>
      <c r="B821" s="37"/>
      <c r="C821" s="36"/>
      <c r="D821" s="38" t="str">
        <f>IF($B821="","",SUM(VLOOKUP($B821,DADOS!$C$2:$I1014,4,0)*$C821))</f>
        <v/>
      </c>
      <c r="E821" s="38" t="str">
        <f>IF($B821="","",SUM(VLOOKUP($B821,DADOS!$C$2:$I1014,6,0)*$C821))</f>
        <v/>
      </c>
      <c r="F821" s="39" t="str">
        <f>IF($E821="","",(VLOOKUP($B821,DADOS!$C$2:$I1014,7,0)))</f>
        <v/>
      </c>
      <c r="G821" s="40" t="str">
        <f t="shared" si="2"/>
        <v/>
      </c>
      <c r="H821" s="41"/>
      <c r="I821" s="42"/>
      <c r="J821" s="42"/>
      <c r="K821" s="42"/>
      <c r="L821" s="42"/>
      <c r="M821" s="42"/>
      <c r="N821" s="42"/>
      <c r="O821" s="42"/>
      <c r="P821" s="42"/>
      <c r="Q821" s="42"/>
      <c r="R821" s="42"/>
      <c r="S821" s="42"/>
      <c r="T821" s="42"/>
      <c r="U821" s="42"/>
      <c r="V821" s="42"/>
      <c r="W821" s="42"/>
      <c r="X821" s="42"/>
      <c r="Y821" s="42"/>
      <c r="Z821" s="42"/>
      <c r="AA821" s="42"/>
    </row>
    <row r="822">
      <c r="A822" s="36" t="str">
        <f>IF($B822="","",VLOOKUP($B822,DADOS!$C$2:$I1014,2,0))</f>
        <v/>
      </c>
      <c r="B822" s="37"/>
      <c r="C822" s="36"/>
      <c r="D822" s="38" t="str">
        <f>IF($B822="","",SUM(VLOOKUP($B822,DADOS!$C$2:$I1014,4,0)*$C822))</f>
        <v/>
      </c>
      <c r="E822" s="38" t="str">
        <f>IF($B822="","",SUM(VLOOKUP($B822,DADOS!$C$2:$I1014,6,0)*$C822))</f>
        <v/>
      </c>
      <c r="F822" s="39" t="str">
        <f>IF($E822="","",(VLOOKUP($B822,DADOS!$C$2:$I1014,7,0)))</f>
        <v/>
      </c>
      <c r="G822" s="40" t="str">
        <f t="shared" si="2"/>
        <v/>
      </c>
      <c r="H822" s="41"/>
      <c r="I822" s="42"/>
      <c r="J822" s="42"/>
      <c r="K822" s="42"/>
      <c r="L822" s="42"/>
      <c r="M822" s="42"/>
      <c r="N822" s="42"/>
      <c r="O822" s="42"/>
      <c r="P822" s="42"/>
      <c r="Q822" s="42"/>
      <c r="R822" s="42"/>
      <c r="S822" s="42"/>
      <c r="T822" s="42"/>
      <c r="U822" s="42"/>
      <c r="V822" s="42"/>
      <c r="W822" s="42"/>
      <c r="X822" s="42"/>
      <c r="Y822" s="42"/>
      <c r="Z822" s="42"/>
      <c r="AA822" s="42"/>
    </row>
    <row r="823">
      <c r="A823" s="36" t="str">
        <f>IF($B823="","",VLOOKUP($B823,DADOS!$C$2:$I1014,2,0))</f>
        <v/>
      </c>
      <c r="B823" s="37"/>
      <c r="C823" s="36"/>
      <c r="D823" s="38" t="str">
        <f>IF($B823="","",SUM(VLOOKUP($B823,DADOS!$C$2:$I1014,4,0)*$C823))</f>
        <v/>
      </c>
      <c r="E823" s="38" t="str">
        <f>IF($B823="","",SUM(VLOOKUP($B823,DADOS!$C$2:$I1014,6,0)*$C823))</f>
        <v/>
      </c>
      <c r="F823" s="39" t="str">
        <f>IF($E823="","",(VLOOKUP($B823,DADOS!$C$2:$I1014,7,0)))</f>
        <v/>
      </c>
      <c r="G823" s="40" t="str">
        <f t="shared" si="2"/>
        <v/>
      </c>
      <c r="H823" s="41"/>
      <c r="I823" s="42"/>
      <c r="J823" s="42"/>
      <c r="K823" s="42"/>
      <c r="L823" s="42"/>
      <c r="M823" s="42"/>
      <c r="N823" s="42"/>
      <c r="O823" s="42"/>
      <c r="P823" s="42"/>
      <c r="Q823" s="42"/>
      <c r="R823" s="42"/>
      <c r="S823" s="42"/>
      <c r="T823" s="42"/>
      <c r="U823" s="42"/>
      <c r="V823" s="42"/>
      <c r="W823" s="42"/>
      <c r="X823" s="42"/>
      <c r="Y823" s="42"/>
      <c r="Z823" s="42"/>
      <c r="AA823" s="42"/>
    </row>
    <row r="824">
      <c r="A824" s="36" t="str">
        <f>IF($B824="","",VLOOKUP($B824,DADOS!$C$2:$I1014,2,0))</f>
        <v/>
      </c>
      <c r="B824" s="37"/>
      <c r="C824" s="36"/>
      <c r="D824" s="38" t="str">
        <f>IF($B824="","",SUM(VLOOKUP($B824,DADOS!$C$2:$I1014,4,0)*$C824))</f>
        <v/>
      </c>
      <c r="E824" s="38" t="str">
        <f>IF($B824="","",SUM(VLOOKUP($B824,DADOS!$C$2:$I1014,6,0)*$C824))</f>
        <v/>
      </c>
      <c r="F824" s="39" t="str">
        <f>IF($E824="","",(VLOOKUP($B824,DADOS!$C$2:$I1014,7,0)))</f>
        <v/>
      </c>
      <c r="G824" s="40" t="str">
        <f t="shared" si="2"/>
        <v/>
      </c>
      <c r="H824" s="41"/>
      <c r="I824" s="42"/>
      <c r="J824" s="42"/>
      <c r="K824" s="42"/>
      <c r="L824" s="42"/>
      <c r="M824" s="42"/>
      <c r="N824" s="42"/>
      <c r="O824" s="42"/>
      <c r="P824" s="42"/>
      <c r="Q824" s="42"/>
      <c r="R824" s="42"/>
      <c r="S824" s="42"/>
      <c r="T824" s="42"/>
      <c r="U824" s="42"/>
      <c r="V824" s="42"/>
      <c r="W824" s="42"/>
      <c r="X824" s="42"/>
      <c r="Y824" s="42"/>
      <c r="Z824" s="42"/>
      <c r="AA824" s="42"/>
    </row>
    <row r="825">
      <c r="A825" s="36" t="str">
        <f>IF($B825="","",VLOOKUP($B825,DADOS!$C$2:$I1014,2,0))</f>
        <v/>
      </c>
      <c r="B825" s="37"/>
      <c r="C825" s="36"/>
      <c r="D825" s="38" t="str">
        <f>IF($B825="","",SUM(VLOOKUP($B825,DADOS!$C$2:$I1014,4,0)*$C825))</f>
        <v/>
      </c>
      <c r="E825" s="38" t="str">
        <f>IF($B825="","",SUM(VLOOKUP($B825,DADOS!$C$2:$I1014,6,0)*$C825))</f>
        <v/>
      </c>
      <c r="F825" s="39" t="str">
        <f>IF($E825="","",(VLOOKUP($B825,DADOS!$C$2:$I1014,7,0)))</f>
        <v/>
      </c>
      <c r="G825" s="40" t="str">
        <f t="shared" si="2"/>
        <v/>
      </c>
      <c r="H825" s="41"/>
      <c r="I825" s="42"/>
      <c r="J825" s="42"/>
      <c r="K825" s="42"/>
      <c r="L825" s="42"/>
      <c r="M825" s="42"/>
      <c r="N825" s="42"/>
      <c r="O825" s="42"/>
      <c r="P825" s="42"/>
      <c r="Q825" s="42"/>
      <c r="R825" s="42"/>
      <c r="S825" s="42"/>
      <c r="T825" s="42"/>
      <c r="U825" s="42"/>
      <c r="V825" s="42"/>
      <c r="W825" s="42"/>
      <c r="X825" s="42"/>
      <c r="Y825" s="42"/>
      <c r="Z825" s="42"/>
      <c r="AA825" s="42"/>
    </row>
    <row r="826">
      <c r="A826" s="36" t="str">
        <f>IF($B826="","",VLOOKUP($B826,DADOS!$C$2:$I1014,2,0))</f>
        <v/>
      </c>
      <c r="B826" s="37"/>
      <c r="C826" s="36"/>
      <c r="D826" s="38" t="str">
        <f>IF($B826="","",SUM(VLOOKUP($B826,DADOS!$C$2:$I1014,4,0)*$C826))</f>
        <v/>
      </c>
      <c r="E826" s="38" t="str">
        <f>IF($B826="","",SUM(VLOOKUP($B826,DADOS!$C$2:$I1014,6,0)*$C826))</f>
        <v/>
      </c>
      <c r="F826" s="39" t="str">
        <f>IF($E826="","",(VLOOKUP($B826,DADOS!$C$2:$I1014,7,0)))</f>
        <v/>
      </c>
      <c r="G826" s="40" t="str">
        <f t="shared" si="2"/>
        <v/>
      </c>
      <c r="H826" s="41"/>
      <c r="I826" s="42"/>
      <c r="J826" s="42"/>
      <c r="K826" s="42"/>
      <c r="L826" s="42"/>
      <c r="M826" s="42"/>
      <c r="N826" s="42"/>
      <c r="O826" s="42"/>
      <c r="P826" s="42"/>
      <c r="Q826" s="42"/>
      <c r="R826" s="42"/>
      <c r="S826" s="42"/>
      <c r="T826" s="42"/>
      <c r="U826" s="42"/>
      <c r="V826" s="42"/>
      <c r="W826" s="42"/>
      <c r="X826" s="42"/>
      <c r="Y826" s="42"/>
      <c r="Z826" s="42"/>
      <c r="AA826" s="42"/>
    </row>
    <row r="827">
      <c r="A827" s="36" t="str">
        <f>IF($B827="","",VLOOKUP($B827,DADOS!$C$2:$I1014,2,0))</f>
        <v/>
      </c>
      <c r="B827" s="37"/>
      <c r="C827" s="36"/>
      <c r="D827" s="38" t="str">
        <f>IF($B827="","",SUM(VLOOKUP($B827,DADOS!$C$2:$I1014,4,0)*$C827))</f>
        <v/>
      </c>
      <c r="E827" s="38" t="str">
        <f>IF($B827="","",SUM(VLOOKUP($B827,DADOS!$C$2:$I1014,6,0)*$C827))</f>
        <v/>
      </c>
      <c r="F827" s="39" t="str">
        <f>IF($E827="","",(VLOOKUP($B827,DADOS!$C$2:$I1014,7,0)))</f>
        <v/>
      </c>
      <c r="G827" s="40" t="str">
        <f t="shared" si="2"/>
        <v/>
      </c>
      <c r="H827" s="41"/>
      <c r="I827" s="42"/>
      <c r="J827" s="42"/>
      <c r="K827" s="42"/>
      <c r="L827" s="42"/>
      <c r="M827" s="42"/>
      <c r="N827" s="42"/>
      <c r="O827" s="42"/>
      <c r="P827" s="42"/>
      <c r="Q827" s="42"/>
      <c r="R827" s="42"/>
      <c r="S827" s="42"/>
      <c r="T827" s="42"/>
      <c r="U827" s="42"/>
      <c r="V827" s="42"/>
      <c r="W827" s="42"/>
      <c r="X827" s="42"/>
      <c r="Y827" s="42"/>
      <c r="Z827" s="42"/>
      <c r="AA827" s="42"/>
    </row>
    <row r="828">
      <c r="A828" s="36" t="str">
        <f>IF($B828="","",VLOOKUP($B828,DADOS!$C$2:$I1014,2,0))</f>
        <v/>
      </c>
      <c r="B828" s="37"/>
      <c r="C828" s="36"/>
      <c r="D828" s="38" t="str">
        <f>IF($B828="","",SUM(VLOOKUP($B828,DADOS!$C$2:$I1014,4,0)*$C828))</f>
        <v/>
      </c>
      <c r="E828" s="38" t="str">
        <f>IF($B828="","",SUM(VLOOKUP($B828,DADOS!$C$2:$I1014,6,0)*$C828))</f>
        <v/>
      </c>
      <c r="F828" s="39" t="str">
        <f>IF($E828="","",(VLOOKUP($B828,DADOS!$C$2:$I1014,7,0)))</f>
        <v/>
      </c>
      <c r="G828" s="40" t="str">
        <f t="shared" si="2"/>
        <v/>
      </c>
      <c r="H828" s="41"/>
      <c r="I828" s="42"/>
      <c r="J828" s="42"/>
      <c r="K828" s="42"/>
      <c r="L828" s="42"/>
      <c r="M828" s="42"/>
      <c r="N828" s="42"/>
      <c r="O828" s="42"/>
      <c r="P828" s="42"/>
      <c r="Q828" s="42"/>
      <c r="R828" s="42"/>
      <c r="S828" s="42"/>
      <c r="T828" s="42"/>
      <c r="U828" s="42"/>
      <c r="V828" s="42"/>
      <c r="W828" s="42"/>
      <c r="X828" s="42"/>
      <c r="Y828" s="42"/>
      <c r="Z828" s="42"/>
      <c r="AA828" s="42"/>
    </row>
    <row r="829">
      <c r="A829" s="36" t="str">
        <f>IF($B829="","",VLOOKUP($B829,DADOS!$C$2:$I1014,2,0))</f>
        <v/>
      </c>
      <c r="B829" s="37"/>
      <c r="C829" s="36"/>
      <c r="D829" s="38" t="str">
        <f>IF($B829="","",SUM(VLOOKUP($B829,DADOS!$C$2:$I1014,4,0)*$C829))</f>
        <v/>
      </c>
      <c r="E829" s="38" t="str">
        <f>IF($B829="","",SUM(VLOOKUP($B829,DADOS!$C$2:$I1014,6,0)*$C829))</f>
        <v/>
      </c>
      <c r="F829" s="39" t="str">
        <f>IF($E829="","",(VLOOKUP($B829,DADOS!$C$2:$I1014,7,0)))</f>
        <v/>
      </c>
      <c r="G829" s="40" t="str">
        <f t="shared" si="2"/>
        <v/>
      </c>
      <c r="H829" s="41"/>
      <c r="I829" s="42"/>
      <c r="J829" s="42"/>
      <c r="K829" s="42"/>
      <c r="L829" s="42"/>
      <c r="M829" s="42"/>
      <c r="N829" s="42"/>
      <c r="O829" s="42"/>
      <c r="P829" s="42"/>
      <c r="Q829" s="42"/>
      <c r="R829" s="42"/>
      <c r="S829" s="42"/>
      <c r="T829" s="42"/>
      <c r="U829" s="42"/>
      <c r="V829" s="42"/>
      <c r="W829" s="42"/>
      <c r="X829" s="42"/>
      <c r="Y829" s="42"/>
      <c r="Z829" s="42"/>
      <c r="AA829" s="42"/>
    </row>
    <row r="830">
      <c r="A830" s="36" t="str">
        <f>IF($B830="","",VLOOKUP($B830,DADOS!$C$2:$I1014,2,0))</f>
        <v/>
      </c>
      <c r="B830" s="37"/>
      <c r="C830" s="36"/>
      <c r="D830" s="38" t="str">
        <f>IF($B830="","",SUM(VLOOKUP($B830,DADOS!$C$2:$I1014,4,0)*$C830))</f>
        <v/>
      </c>
      <c r="E830" s="38" t="str">
        <f>IF($B830="","",SUM(VLOOKUP($B830,DADOS!$C$2:$I1014,6,0)*$C830))</f>
        <v/>
      </c>
      <c r="F830" s="39" t="str">
        <f>IF($E830="","",(VLOOKUP($B830,DADOS!$C$2:$I1014,7,0)))</f>
        <v/>
      </c>
      <c r="G830" s="40" t="str">
        <f t="shared" si="2"/>
        <v/>
      </c>
      <c r="H830" s="41"/>
      <c r="I830" s="42"/>
      <c r="J830" s="42"/>
      <c r="K830" s="42"/>
      <c r="L830" s="42"/>
      <c r="M830" s="42"/>
      <c r="N830" s="42"/>
      <c r="O830" s="42"/>
      <c r="P830" s="42"/>
      <c r="Q830" s="42"/>
      <c r="R830" s="42"/>
      <c r="S830" s="42"/>
      <c r="T830" s="42"/>
      <c r="U830" s="42"/>
      <c r="V830" s="42"/>
      <c r="W830" s="42"/>
      <c r="X830" s="42"/>
      <c r="Y830" s="42"/>
      <c r="Z830" s="42"/>
      <c r="AA830" s="42"/>
    </row>
    <row r="831">
      <c r="A831" s="36" t="str">
        <f>IF($B831="","",VLOOKUP($B831,DADOS!$C$2:$I1014,2,0))</f>
        <v/>
      </c>
      <c r="B831" s="37"/>
      <c r="C831" s="36"/>
      <c r="D831" s="38" t="str">
        <f>IF($B831="","",SUM(VLOOKUP($B831,DADOS!$C$2:$I1014,4,0)*$C831))</f>
        <v/>
      </c>
      <c r="E831" s="38" t="str">
        <f>IF($B831="","",SUM(VLOOKUP($B831,DADOS!$C$2:$I1014,6,0)*$C831))</f>
        <v/>
      </c>
      <c r="F831" s="39" t="str">
        <f>IF($E831="","",(VLOOKUP($B831,DADOS!$C$2:$I1014,7,0)))</f>
        <v/>
      </c>
      <c r="G831" s="40" t="str">
        <f t="shared" si="2"/>
        <v/>
      </c>
      <c r="H831" s="41"/>
      <c r="I831" s="42"/>
      <c r="J831" s="42"/>
      <c r="K831" s="42"/>
      <c r="L831" s="42"/>
      <c r="M831" s="42"/>
      <c r="N831" s="42"/>
      <c r="O831" s="42"/>
      <c r="P831" s="42"/>
      <c r="Q831" s="42"/>
      <c r="R831" s="42"/>
      <c r="S831" s="42"/>
      <c r="T831" s="42"/>
      <c r="U831" s="42"/>
      <c r="V831" s="42"/>
      <c r="W831" s="42"/>
      <c r="X831" s="42"/>
      <c r="Y831" s="42"/>
      <c r="Z831" s="42"/>
      <c r="AA831" s="42"/>
    </row>
    <row r="832">
      <c r="A832" s="36" t="str">
        <f>IF($B832="","",VLOOKUP($B832,DADOS!$C$2:$I1014,2,0))</f>
        <v/>
      </c>
      <c r="B832" s="37"/>
      <c r="C832" s="36"/>
      <c r="D832" s="38" t="str">
        <f>IF($B832="","",SUM(VLOOKUP($B832,DADOS!$C$2:$I1014,4,0)*$C832))</f>
        <v/>
      </c>
      <c r="E832" s="38" t="str">
        <f>IF($B832="","",SUM(VLOOKUP($B832,DADOS!$C$2:$I1014,6,0)*$C832))</f>
        <v/>
      </c>
      <c r="F832" s="39" t="str">
        <f>IF($E832="","",(VLOOKUP($B832,DADOS!$C$2:$I1014,7,0)))</f>
        <v/>
      </c>
      <c r="G832" s="40" t="str">
        <f t="shared" si="2"/>
        <v/>
      </c>
      <c r="H832" s="41"/>
      <c r="I832" s="42"/>
      <c r="J832" s="42"/>
      <c r="K832" s="42"/>
      <c r="L832" s="42"/>
      <c r="M832" s="42"/>
      <c r="N832" s="42"/>
      <c r="O832" s="42"/>
      <c r="P832" s="42"/>
      <c r="Q832" s="42"/>
      <c r="R832" s="42"/>
      <c r="S832" s="42"/>
      <c r="T832" s="42"/>
      <c r="U832" s="42"/>
      <c r="V832" s="42"/>
      <c r="W832" s="42"/>
      <c r="X832" s="42"/>
      <c r="Y832" s="42"/>
      <c r="Z832" s="42"/>
      <c r="AA832" s="42"/>
    </row>
    <row r="833">
      <c r="A833" s="36" t="str">
        <f>IF($B833="","",VLOOKUP($B833,DADOS!$C$2:$I1014,2,0))</f>
        <v/>
      </c>
      <c r="B833" s="37"/>
      <c r="C833" s="36"/>
      <c r="D833" s="38" t="str">
        <f>IF($B833="","",SUM(VLOOKUP($B833,DADOS!$C$2:$I1014,4,0)*$C833))</f>
        <v/>
      </c>
      <c r="E833" s="38" t="str">
        <f>IF($B833="","",SUM(VLOOKUP($B833,DADOS!$C$2:$I1014,6,0)*$C833))</f>
        <v/>
      </c>
      <c r="F833" s="39" t="str">
        <f>IF($E833="","",(VLOOKUP($B833,DADOS!$C$2:$I1014,7,0)))</f>
        <v/>
      </c>
      <c r="G833" s="40" t="str">
        <f t="shared" si="2"/>
        <v/>
      </c>
      <c r="H833" s="41"/>
      <c r="I833" s="42"/>
      <c r="J833" s="42"/>
      <c r="K833" s="42"/>
      <c r="L833" s="42"/>
      <c r="M833" s="42"/>
      <c r="N833" s="42"/>
      <c r="O833" s="42"/>
      <c r="P833" s="42"/>
      <c r="Q833" s="42"/>
      <c r="R833" s="42"/>
      <c r="S833" s="42"/>
      <c r="T833" s="42"/>
      <c r="U833" s="42"/>
      <c r="V833" s="42"/>
      <c r="W833" s="42"/>
      <c r="X833" s="42"/>
      <c r="Y833" s="42"/>
      <c r="Z833" s="42"/>
      <c r="AA833" s="42"/>
    </row>
    <row r="834">
      <c r="A834" s="36" t="str">
        <f>IF($B834="","",VLOOKUP($B834,DADOS!$C$2:$I1014,2,0))</f>
        <v/>
      </c>
      <c r="B834" s="37"/>
      <c r="C834" s="36"/>
      <c r="D834" s="38" t="str">
        <f>IF($B834="","",SUM(VLOOKUP($B834,DADOS!$C$2:$I1014,4,0)*$C834))</f>
        <v/>
      </c>
      <c r="E834" s="38" t="str">
        <f>IF($B834="","",SUM(VLOOKUP($B834,DADOS!$C$2:$I1014,6,0)*$C834))</f>
        <v/>
      </c>
      <c r="F834" s="39" t="str">
        <f>IF($E834="","",(VLOOKUP($B834,DADOS!$C$2:$I1014,7,0)))</f>
        <v/>
      </c>
      <c r="G834" s="40" t="str">
        <f t="shared" si="2"/>
        <v/>
      </c>
      <c r="H834" s="41"/>
      <c r="I834" s="42"/>
      <c r="J834" s="42"/>
      <c r="K834" s="42"/>
      <c r="L834" s="42"/>
      <c r="M834" s="42"/>
      <c r="N834" s="42"/>
      <c r="O834" s="42"/>
      <c r="P834" s="42"/>
      <c r="Q834" s="42"/>
      <c r="R834" s="42"/>
      <c r="S834" s="42"/>
      <c r="T834" s="42"/>
      <c r="U834" s="42"/>
      <c r="V834" s="42"/>
      <c r="W834" s="42"/>
      <c r="X834" s="42"/>
      <c r="Y834" s="42"/>
      <c r="Z834" s="42"/>
      <c r="AA834" s="42"/>
    </row>
    <row r="835">
      <c r="A835" s="36" t="str">
        <f>IF($B835="","",VLOOKUP($B835,DADOS!$C$2:$I1014,2,0))</f>
        <v/>
      </c>
      <c r="B835" s="37"/>
      <c r="C835" s="36"/>
      <c r="D835" s="38" t="str">
        <f>IF($B835="","",SUM(VLOOKUP($B835,DADOS!$C$2:$I1014,4,0)*$C835))</f>
        <v/>
      </c>
      <c r="E835" s="38" t="str">
        <f>IF($B835="","",SUM(VLOOKUP($B835,DADOS!$C$2:$I1014,6,0)*$C835))</f>
        <v/>
      </c>
      <c r="F835" s="39" t="str">
        <f>IF($E835="","",(VLOOKUP($B835,DADOS!$C$2:$I1014,7,0)))</f>
        <v/>
      </c>
      <c r="G835" s="40" t="str">
        <f t="shared" si="2"/>
        <v/>
      </c>
      <c r="H835" s="41"/>
      <c r="I835" s="42"/>
      <c r="J835" s="42"/>
      <c r="K835" s="42"/>
      <c r="L835" s="42"/>
      <c r="M835" s="42"/>
      <c r="N835" s="42"/>
      <c r="O835" s="42"/>
      <c r="P835" s="42"/>
      <c r="Q835" s="42"/>
      <c r="R835" s="42"/>
      <c r="S835" s="42"/>
      <c r="T835" s="42"/>
      <c r="U835" s="42"/>
      <c r="V835" s="42"/>
      <c r="W835" s="42"/>
      <c r="X835" s="42"/>
      <c r="Y835" s="42"/>
      <c r="Z835" s="42"/>
      <c r="AA835" s="42"/>
    </row>
    <row r="836">
      <c r="A836" s="36" t="str">
        <f>IF($B836="","",VLOOKUP($B836,DADOS!$C$2:$I1014,2,0))</f>
        <v/>
      </c>
      <c r="B836" s="37"/>
      <c r="C836" s="36"/>
      <c r="D836" s="38" t="str">
        <f>IF($B836="","",SUM(VLOOKUP($B836,DADOS!$C$2:$I1014,4,0)*$C836))</f>
        <v/>
      </c>
      <c r="E836" s="38" t="str">
        <f>IF($B836="","",SUM(VLOOKUP($B836,DADOS!$C$2:$I1014,6,0)*$C836))</f>
        <v/>
      </c>
      <c r="F836" s="39" t="str">
        <f>IF($E836="","",(VLOOKUP($B836,DADOS!$C$2:$I1014,7,0)))</f>
        <v/>
      </c>
      <c r="G836" s="40" t="str">
        <f t="shared" si="2"/>
        <v/>
      </c>
      <c r="H836" s="41"/>
      <c r="I836" s="42"/>
      <c r="J836" s="42"/>
      <c r="K836" s="42"/>
      <c r="L836" s="42"/>
      <c r="M836" s="42"/>
      <c r="N836" s="42"/>
      <c r="O836" s="42"/>
      <c r="P836" s="42"/>
      <c r="Q836" s="42"/>
      <c r="R836" s="42"/>
      <c r="S836" s="42"/>
      <c r="T836" s="42"/>
      <c r="U836" s="42"/>
      <c r="V836" s="42"/>
      <c r="W836" s="42"/>
      <c r="X836" s="42"/>
      <c r="Y836" s="42"/>
      <c r="Z836" s="42"/>
      <c r="AA836" s="42"/>
    </row>
    <row r="837">
      <c r="A837" s="36" t="str">
        <f>IF($B837="","",VLOOKUP($B837,DADOS!$C$2:$I1014,2,0))</f>
        <v/>
      </c>
      <c r="B837" s="37"/>
      <c r="C837" s="36"/>
      <c r="D837" s="38" t="str">
        <f>IF($B837="","",SUM(VLOOKUP($B837,DADOS!$C$2:$I1014,4,0)*$C837))</f>
        <v/>
      </c>
      <c r="E837" s="38" t="str">
        <f>IF($B837="","",SUM(VLOOKUP($B837,DADOS!$C$2:$I1014,6,0)*$C837))</f>
        <v/>
      </c>
      <c r="F837" s="39" t="str">
        <f>IF($E837="","",(VLOOKUP($B837,DADOS!$C$2:$I1014,7,0)))</f>
        <v/>
      </c>
      <c r="G837" s="40" t="str">
        <f t="shared" si="2"/>
        <v/>
      </c>
      <c r="H837" s="41"/>
      <c r="I837" s="42"/>
      <c r="J837" s="42"/>
      <c r="K837" s="42"/>
      <c r="L837" s="42"/>
      <c r="M837" s="42"/>
      <c r="N837" s="42"/>
      <c r="O837" s="42"/>
      <c r="P837" s="42"/>
      <c r="Q837" s="42"/>
      <c r="R837" s="42"/>
      <c r="S837" s="42"/>
      <c r="T837" s="42"/>
      <c r="U837" s="42"/>
      <c r="V837" s="42"/>
      <c r="W837" s="42"/>
      <c r="X837" s="42"/>
      <c r="Y837" s="42"/>
      <c r="Z837" s="42"/>
      <c r="AA837" s="42"/>
    </row>
    <row r="838">
      <c r="A838" s="36" t="str">
        <f>IF($B838="","",VLOOKUP($B838,DADOS!$C$2:$I1014,2,0))</f>
        <v/>
      </c>
      <c r="B838" s="37"/>
      <c r="C838" s="36"/>
      <c r="D838" s="38" t="str">
        <f>IF($B838="","",SUM(VLOOKUP($B838,DADOS!$C$2:$I1014,4,0)*$C838))</f>
        <v/>
      </c>
      <c r="E838" s="38" t="str">
        <f>IF($B838="","",SUM(VLOOKUP($B838,DADOS!$C$2:$I1014,6,0)*$C838))</f>
        <v/>
      </c>
      <c r="F838" s="39" t="str">
        <f>IF($E838="","",(VLOOKUP($B838,DADOS!$C$2:$I1014,7,0)))</f>
        <v/>
      </c>
      <c r="G838" s="40" t="str">
        <f t="shared" si="2"/>
        <v/>
      </c>
      <c r="H838" s="41"/>
      <c r="I838" s="42"/>
      <c r="J838" s="42"/>
      <c r="K838" s="42"/>
      <c r="L838" s="42"/>
      <c r="M838" s="42"/>
      <c r="N838" s="42"/>
      <c r="O838" s="42"/>
      <c r="P838" s="42"/>
      <c r="Q838" s="42"/>
      <c r="R838" s="42"/>
      <c r="S838" s="42"/>
      <c r="T838" s="42"/>
      <c r="U838" s="42"/>
      <c r="V838" s="42"/>
      <c r="W838" s="42"/>
      <c r="X838" s="42"/>
      <c r="Y838" s="42"/>
      <c r="Z838" s="42"/>
      <c r="AA838" s="42"/>
    </row>
    <row r="839">
      <c r="A839" s="36" t="str">
        <f>IF($B839="","",VLOOKUP($B839,DADOS!$C$2:$I1014,2,0))</f>
        <v/>
      </c>
      <c r="B839" s="37"/>
      <c r="C839" s="36"/>
      <c r="D839" s="38" t="str">
        <f>IF($B839="","",SUM(VLOOKUP($B839,DADOS!$C$2:$I1014,4,0)*$C839))</f>
        <v/>
      </c>
      <c r="E839" s="38" t="str">
        <f>IF($B839="","",SUM(VLOOKUP($B839,DADOS!$C$2:$I1014,6,0)*$C839))</f>
        <v/>
      </c>
      <c r="F839" s="39" t="str">
        <f>IF($E839="","",(VLOOKUP($B839,DADOS!$C$2:$I1014,7,0)))</f>
        <v/>
      </c>
      <c r="G839" s="40" t="str">
        <f t="shared" si="2"/>
        <v/>
      </c>
      <c r="H839" s="41"/>
      <c r="I839" s="42"/>
      <c r="J839" s="42"/>
      <c r="K839" s="42"/>
      <c r="L839" s="42"/>
      <c r="M839" s="42"/>
      <c r="N839" s="42"/>
      <c r="O839" s="42"/>
      <c r="P839" s="42"/>
      <c r="Q839" s="42"/>
      <c r="R839" s="42"/>
      <c r="S839" s="42"/>
      <c r="T839" s="42"/>
      <c r="U839" s="42"/>
      <c r="V839" s="42"/>
      <c r="W839" s="42"/>
      <c r="X839" s="42"/>
      <c r="Y839" s="42"/>
      <c r="Z839" s="42"/>
      <c r="AA839" s="42"/>
    </row>
    <row r="840">
      <c r="A840" s="36" t="str">
        <f>IF($B840="","",VLOOKUP($B840,DADOS!$C$2:$I1014,2,0))</f>
        <v/>
      </c>
      <c r="B840" s="37"/>
      <c r="C840" s="36"/>
      <c r="D840" s="38" t="str">
        <f>IF($B840="","",SUM(VLOOKUP($B840,DADOS!$C$2:$I1014,4,0)*$C840))</f>
        <v/>
      </c>
      <c r="E840" s="38" t="str">
        <f>IF($B840="","",SUM(VLOOKUP($B840,DADOS!$C$2:$I1014,6,0)*$C840))</f>
        <v/>
      </c>
      <c r="F840" s="39" t="str">
        <f>IF($E840="","",(VLOOKUP($B840,DADOS!$C$2:$I1014,7,0)))</f>
        <v/>
      </c>
      <c r="G840" s="40" t="str">
        <f t="shared" si="2"/>
        <v/>
      </c>
      <c r="H840" s="41"/>
      <c r="I840" s="42"/>
      <c r="J840" s="42"/>
      <c r="K840" s="42"/>
      <c r="L840" s="42"/>
      <c r="M840" s="42"/>
      <c r="N840" s="42"/>
      <c r="O840" s="42"/>
      <c r="P840" s="42"/>
      <c r="Q840" s="42"/>
      <c r="R840" s="42"/>
      <c r="S840" s="42"/>
      <c r="T840" s="42"/>
      <c r="U840" s="42"/>
      <c r="V840" s="42"/>
      <c r="W840" s="42"/>
      <c r="X840" s="42"/>
      <c r="Y840" s="42"/>
      <c r="Z840" s="42"/>
      <c r="AA840" s="42"/>
    </row>
    <row r="841">
      <c r="A841" s="36" t="str">
        <f>IF($B841="","",VLOOKUP($B841,DADOS!$C$2:$I1014,2,0))</f>
        <v/>
      </c>
      <c r="B841" s="37"/>
      <c r="C841" s="36"/>
      <c r="D841" s="38" t="str">
        <f>IF($B841="","",SUM(VLOOKUP($B841,DADOS!$C$2:$I1014,4,0)*$C841))</f>
        <v/>
      </c>
      <c r="E841" s="38" t="str">
        <f>IF($B841="","",SUM(VLOOKUP($B841,DADOS!$C$2:$I1014,6,0)*$C841))</f>
        <v/>
      </c>
      <c r="F841" s="39" t="str">
        <f>IF($E841="","",(VLOOKUP($B841,DADOS!$C$2:$I1014,7,0)))</f>
        <v/>
      </c>
      <c r="G841" s="40" t="str">
        <f t="shared" si="2"/>
        <v/>
      </c>
      <c r="H841" s="41"/>
      <c r="I841" s="42"/>
      <c r="J841" s="42"/>
      <c r="K841" s="42"/>
      <c r="L841" s="42"/>
      <c r="M841" s="42"/>
      <c r="N841" s="42"/>
      <c r="O841" s="42"/>
      <c r="P841" s="42"/>
      <c r="Q841" s="42"/>
      <c r="R841" s="42"/>
      <c r="S841" s="42"/>
      <c r="T841" s="42"/>
      <c r="U841" s="42"/>
      <c r="V841" s="42"/>
      <c r="W841" s="42"/>
      <c r="X841" s="42"/>
      <c r="Y841" s="42"/>
      <c r="Z841" s="42"/>
      <c r="AA841" s="42"/>
    </row>
    <row r="842">
      <c r="A842" s="36" t="str">
        <f>IF($B842="","",VLOOKUP($B842,DADOS!$C$2:$I1014,2,0))</f>
        <v/>
      </c>
      <c r="B842" s="37"/>
      <c r="C842" s="36"/>
      <c r="D842" s="38" t="str">
        <f>IF($B842="","",SUM(VLOOKUP($B842,DADOS!$C$2:$I1014,4,0)*$C842))</f>
        <v/>
      </c>
      <c r="E842" s="38" t="str">
        <f>IF($B842="","",SUM(VLOOKUP($B842,DADOS!$C$2:$I1014,6,0)*$C842))</f>
        <v/>
      </c>
      <c r="F842" s="39" t="str">
        <f>IF($E842="","",(VLOOKUP($B842,DADOS!$C$2:$I1014,7,0)))</f>
        <v/>
      </c>
      <c r="G842" s="40" t="str">
        <f t="shared" si="2"/>
        <v/>
      </c>
      <c r="H842" s="41"/>
      <c r="I842" s="42"/>
      <c r="J842" s="42"/>
      <c r="K842" s="42"/>
      <c r="L842" s="42"/>
      <c r="M842" s="42"/>
      <c r="N842" s="42"/>
      <c r="O842" s="42"/>
      <c r="P842" s="42"/>
      <c r="Q842" s="42"/>
      <c r="R842" s="42"/>
      <c r="S842" s="42"/>
      <c r="T842" s="42"/>
      <c r="U842" s="42"/>
      <c r="V842" s="42"/>
      <c r="W842" s="42"/>
      <c r="X842" s="42"/>
      <c r="Y842" s="42"/>
      <c r="Z842" s="42"/>
      <c r="AA842" s="42"/>
    </row>
    <row r="843">
      <c r="A843" s="36" t="str">
        <f>IF($B843="","",VLOOKUP($B843,DADOS!$C$2:$I1014,2,0))</f>
        <v/>
      </c>
      <c r="B843" s="37"/>
      <c r="C843" s="36"/>
      <c r="D843" s="38" t="str">
        <f>IF($B843="","",SUM(VLOOKUP($B843,DADOS!$C$2:$I1014,4,0)*$C843))</f>
        <v/>
      </c>
      <c r="E843" s="38" t="str">
        <f>IF($B843="","",SUM(VLOOKUP($B843,DADOS!$C$2:$I1014,6,0)*$C843))</f>
        <v/>
      </c>
      <c r="F843" s="39" t="str">
        <f>IF($E843="","",(VLOOKUP($B843,DADOS!$C$2:$I1014,7,0)))</f>
        <v/>
      </c>
      <c r="G843" s="40" t="str">
        <f t="shared" si="2"/>
        <v/>
      </c>
      <c r="H843" s="41"/>
      <c r="I843" s="42"/>
      <c r="J843" s="42"/>
      <c r="K843" s="42"/>
      <c r="L843" s="42"/>
      <c r="M843" s="42"/>
      <c r="N843" s="42"/>
      <c r="O843" s="42"/>
      <c r="P843" s="42"/>
      <c r="Q843" s="42"/>
      <c r="R843" s="42"/>
      <c r="S843" s="42"/>
      <c r="T843" s="42"/>
      <c r="U843" s="42"/>
      <c r="V843" s="42"/>
      <c r="W843" s="42"/>
      <c r="X843" s="42"/>
      <c r="Y843" s="42"/>
      <c r="Z843" s="42"/>
      <c r="AA843" s="42"/>
    </row>
    <row r="844">
      <c r="A844" s="36" t="str">
        <f>IF($B844="","",VLOOKUP($B844,DADOS!$C$2:$I1014,2,0))</f>
        <v/>
      </c>
      <c r="B844" s="37"/>
      <c r="C844" s="36"/>
      <c r="D844" s="38" t="str">
        <f>IF($B844="","",SUM(VLOOKUP($B844,DADOS!$C$2:$I1014,4,0)*$C844))</f>
        <v/>
      </c>
      <c r="E844" s="38" t="str">
        <f>IF($B844="","",SUM(VLOOKUP($B844,DADOS!$C$2:$I1014,6,0)*$C844))</f>
        <v/>
      </c>
      <c r="F844" s="39" t="str">
        <f>IF($E844="","",(VLOOKUP($B844,DADOS!$C$2:$I1014,7,0)))</f>
        <v/>
      </c>
      <c r="G844" s="40" t="str">
        <f t="shared" si="2"/>
        <v/>
      </c>
      <c r="H844" s="41"/>
      <c r="I844" s="42"/>
      <c r="J844" s="42"/>
      <c r="K844" s="42"/>
      <c r="L844" s="42"/>
      <c r="M844" s="42"/>
      <c r="N844" s="42"/>
      <c r="O844" s="42"/>
      <c r="P844" s="42"/>
      <c r="Q844" s="42"/>
      <c r="R844" s="42"/>
      <c r="S844" s="42"/>
      <c r="T844" s="42"/>
      <c r="U844" s="42"/>
      <c r="V844" s="42"/>
      <c r="W844" s="42"/>
      <c r="X844" s="42"/>
      <c r="Y844" s="42"/>
      <c r="Z844" s="42"/>
      <c r="AA844" s="42"/>
    </row>
    <row r="845">
      <c r="A845" s="36" t="str">
        <f>IF($B845="","",VLOOKUP($B845,DADOS!$C$2:$I1014,2,0))</f>
        <v/>
      </c>
      <c r="B845" s="37"/>
      <c r="C845" s="36"/>
      <c r="D845" s="38" t="str">
        <f>IF($B845="","",SUM(VLOOKUP($B845,DADOS!$C$2:$I1014,4,0)*$C845))</f>
        <v/>
      </c>
      <c r="E845" s="38" t="str">
        <f>IF($B845="","",SUM(VLOOKUP($B845,DADOS!$C$2:$I1014,6,0)*$C845))</f>
        <v/>
      </c>
      <c r="F845" s="39" t="str">
        <f>IF($E845="","",(VLOOKUP($B845,DADOS!$C$2:$I1014,7,0)))</f>
        <v/>
      </c>
      <c r="G845" s="40" t="str">
        <f t="shared" si="2"/>
        <v/>
      </c>
      <c r="H845" s="41"/>
      <c r="I845" s="42"/>
      <c r="J845" s="42"/>
      <c r="K845" s="42"/>
      <c r="L845" s="42"/>
      <c r="M845" s="42"/>
      <c r="N845" s="42"/>
      <c r="O845" s="42"/>
      <c r="P845" s="42"/>
      <c r="Q845" s="42"/>
      <c r="R845" s="42"/>
      <c r="S845" s="42"/>
      <c r="T845" s="42"/>
      <c r="U845" s="42"/>
      <c r="V845" s="42"/>
      <c r="W845" s="42"/>
      <c r="X845" s="42"/>
      <c r="Y845" s="42"/>
      <c r="Z845" s="42"/>
      <c r="AA845" s="42"/>
    </row>
    <row r="846">
      <c r="A846" s="36" t="str">
        <f>IF($B846="","",VLOOKUP($B846,DADOS!$C$2:$I1014,2,0))</f>
        <v/>
      </c>
      <c r="B846" s="37"/>
      <c r="C846" s="36"/>
      <c r="D846" s="38" t="str">
        <f>IF($B846="","",SUM(VLOOKUP($B846,DADOS!$C$2:$I1014,4,0)*$C846))</f>
        <v/>
      </c>
      <c r="E846" s="38" t="str">
        <f>IF($B846="","",SUM(VLOOKUP($B846,DADOS!$C$2:$I1014,6,0)*$C846))</f>
        <v/>
      </c>
      <c r="F846" s="39" t="str">
        <f>IF($E846="","",(VLOOKUP($B846,DADOS!$C$2:$I1014,7,0)))</f>
        <v/>
      </c>
      <c r="G846" s="40" t="str">
        <f t="shared" si="2"/>
        <v/>
      </c>
      <c r="H846" s="41"/>
      <c r="I846" s="42"/>
      <c r="J846" s="42"/>
      <c r="K846" s="42"/>
      <c r="L846" s="42"/>
      <c r="M846" s="42"/>
      <c r="N846" s="42"/>
      <c r="O846" s="42"/>
      <c r="P846" s="42"/>
      <c r="Q846" s="42"/>
      <c r="R846" s="42"/>
      <c r="S846" s="42"/>
      <c r="T846" s="42"/>
      <c r="U846" s="42"/>
      <c r="V846" s="42"/>
      <c r="W846" s="42"/>
      <c r="X846" s="42"/>
      <c r="Y846" s="42"/>
      <c r="Z846" s="42"/>
      <c r="AA846" s="42"/>
    </row>
    <row r="847">
      <c r="A847" s="36" t="str">
        <f>IF($B847="","",VLOOKUP($B847,DADOS!$C$2:$I1014,2,0))</f>
        <v/>
      </c>
      <c r="B847" s="37"/>
      <c r="C847" s="36"/>
      <c r="D847" s="38" t="str">
        <f>IF($B847="","",SUM(VLOOKUP($B847,DADOS!$C$2:$I1014,4,0)*$C847))</f>
        <v/>
      </c>
      <c r="E847" s="38" t="str">
        <f>IF($B847="","",SUM(VLOOKUP($B847,DADOS!$C$2:$I1014,6,0)*$C847))</f>
        <v/>
      </c>
      <c r="F847" s="39" t="str">
        <f>IF($E847="","",(VLOOKUP($B847,DADOS!$C$2:$I1014,7,0)))</f>
        <v/>
      </c>
      <c r="G847" s="40" t="str">
        <f t="shared" si="2"/>
        <v/>
      </c>
      <c r="H847" s="41"/>
      <c r="I847" s="42"/>
      <c r="J847" s="42"/>
      <c r="K847" s="42"/>
      <c r="L847" s="42"/>
      <c r="M847" s="42"/>
      <c r="N847" s="42"/>
      <c r="O847" s="42"/>
      <c r="P847" s="42"/>
      <c r="Q847" s="42"/>
      <c r="R847" s="42"/>
      <c r="S847" s="42"/>
      <c r="T847" s="42"/>
      <c r="U847" s="42"/>
      <c r="V847" s="42"/>
      <c r="W847" s="42"/>
      <c r="X847" s="42"/>
      <c r="Y847" s="42"/>
      <c r="Z847" s="42"/>
      <c r="AA847" s="42"/>
    </row>
    <row r="848">
      <c r="A848" s="36" t="str">
        <f>IF($B848="","",VLOOKUP($B848,DADOS!$C$2:$I1014,2,0))</f>
        <v/>
      </c>
      <c r="B848" s="37"/>
      <c r="C848" s="36"/>
      <c r="D848" s="38" t="str">
        <f>IF($B848="","",SUM(VLOOKUP($B848,DADOS!$C$2:$I1014,4,0)*$C848))</f>
        <v/>
      </c>
      <c r="E848" s="38" t="str">
        <f>IF($B848="","",SUM(VLOOKUP($B848,DADOS!$C$2:$I1014,6,0)*$C848))</f>
        <v/>
      </c>
      <c r="F848" s="39" t="str">
        <f>IF($E848="","",(VLOOKUP($B848,DADOS!$C$2:$I1014,7,0)))</f>
        <v/>
      </c>
      <c r="G848" s="40" t="str">
        <f t="shared" si="2"/>
        <v/>
      </c>
      <c r="H848" s="41"/>
      <c r="I848" s="42"/>
      <c r="J848" s="42"/>
      <c r="K848" s="42"/>
      <c r="L848" s="42"/>
      <c r="M848" s="42"/>
      <c r="N848" s="42"/>
      <c r="O848" s="42"/>
      <c r="P848" s="42"/>
      <c r="Q848" s="42"/>
      <c r="R848" s="42"/>
      <c r="S848" s="42"/>
      <c r="T848" s="42"/>
      <c r="U848" s="42"/>
      <c r="V848" s="42"/>
      <c r="W848" s="42"/>
      <c r="X848" s="42"/>
      <c r="Y848" s="42"/>
      <c r="Z848" s="42"/>
      <c r="AA848" s="42"/>
    </row>
    <row r="849">
      <c r="A849" s="36" t="str">
        <f>IF($B849="","",VLOOKUP($B849,DADOS!$C$2:$I1014,2,0))</f>
        <v/>
      </c>
      <c r="B849" s="37"/>
      <c r="C849" s="36"/>
      <c r="D849" s="38" t="str">
        <f>IF($B849="","",SUM(VLOOKUP($B849,DADOS!$C$2:$I1014,4,0)*$C849))</f>
        <v/>
      </c>
      <c r="E849" s="38" t="str">
        <f>IF($B849="","",SUM(VLOOKUP($B849,DADOS!$C$2:$I1014,6,0)*$C849))</f>
        <v/>
      </c>
      <c r="F849" s="39" t="str">
        <f>IF($E849="","",(VLOOKUP($B849,DADOS!$C$2:$I1014,7,0)))</f>
        <v/>
      </c>
      <c r="G849" s="40" t="str">
        <f t="shared" si="2"/>
        <v/>
      </c>
      <c r="H849" s="41"/>
      <c r="I849" s="42"/>
      <c r="J849" s="42"/>
      <c r="K849" s="42"/>
      <c r="L849" s="42"/>
      <c r="M849" s="42"/>
      <c r="N849" s="42"/>
      <c r="O849" s="42"/>
      <c r="P849" s="42"/>
      <c r="Q849" s="42"/>
      <c r="R849" s="42"/>
      <c r="S849" s="42"/>
      <c r="T849" s="42"/>
      <c r="U849" s="42"/>
      <c r="V849" s="42"/>
      <c r="W849" s="42"/>
      <c r="X849" s="42"/>
      <c r="Y849" s="42"/>
      <c r="Z849" s="42"/>
      <c r="AA849" s="42"/>
    </row>
    <row r="850">
      <c r="A850" s="36" t="str">
        <f>IF($B850="","",VLOOKUP($B850,DADOS!$C$2:$I1014,2,0))</f>
        <v/>
      </c>
      <c r="B850" s="37"/>
      <c r="C850" s="36"/>
      <c r="D850" s="38" t="str">
        <f>IF($B850="","",SUM(VLOOKUP($B850,DADOS!$C$2:$I1014,4,0)*$C850))</f>
        <v/>
      </c>
      <c r="E850" s="38" t="str">
        <f>IF($B850="","",SUM(VLOOKUP($B850,DADOS!$C$2:$I1014,6,0)*$C850))</f>
        <v/>
      </c>
      <c r="F850" s="39" t="str">
        <f>IF($E850="","",(VLOOKUP($B850,DADOS!$C$2:$I1014,7,0)))</f>
        <v/>
      </c>
      <c r="G850" s="40" t="str">
        <f t="shared" si="2"/>
        <v/>
      </c>
      <c r="H850" s="41"/>
      <c r="I850" s="42"/>
      <c r="J850" s="42"/>
      <c r="K850" s="42"/>
      <c r="L850" s="42"/>
      <c r="M850" s="42"/>
      <c r="N850" s="42"/>
      <c r="O850" s="42"/>
      <c r="P850" s="42"/>
      <c r="Q850" s="42"/>
      <c r="R850" s="42"/>
      <c r="S850" s="42"/>
      <c r="T850" s="42"/>
      <c r="U850" s="42"/>
      <c r="V850" s="42"/>
      <c r="W850" s="42"/>
      <c r="X850" s="42"/>
      <c r="Y850" s="42"/>
      <c r="Z850" s="42"/>
      <c r="AA850" s="42"/>
    </row>
    <row r="851">
      <c r="A851" s="36" t="str">
        <f>IF($B851="","",VLOOKUP($B851,DADOS!$C$2:$I1014,2,0))</f>
        <v/>
      </c>
      <c r="B851" s="37"/>
      <c r="C851" s="36"/>
      <c r="D851" s="38" t="str">
        <f>IF($B851="","",SUM(VLOOKUP($B851,DADOS!$C$2:$I1014,4,0)*$C851))</f>
        <v/>
      </c>
      <c r="E851" s="38" t="str">
        <f>IF($B851="","",SUM(VLOOKUP($B851,DADOS!$C$2:$I1014,6,0)*$C851))</f>
        <v/>
      </c>
      <c r="F851" s="39" t="str">
        <f>IF($E851="","",(VLOOKUP($B851,DADOS!$C$2:$I1014,7,0)))</f>
        <v/>
      </c>
      <c r="G851" s="40" t="str">
        <f t="shared" si="2"/>
        <v/>
      </c>
      <c r="H851" s="41"/>
      <c r="I851" s="42"/>
      <c r="J851" s="42"/>
      <c r="K851" s="42"/>
      <c r="L851" s="42"/>
      <c r="M851" s="42"/>
      <c r="N851" s="42"/>
      <c r="O851" s="42"/>
      <c r="P851" s="42"/>
      <c r="Q851" s="42"/>
      <c r="R851" s="42"/>
      <c r="S851" s="42"/>
      <c r="T851" s="42"/>
      <c r="U851" s="42"/>
      <c r="V851" s="42"/>
      <c r="W851" s="42"/>
      <c r="X851" s="42"/>
      <c r="Y851" s="42"/>
      <c r="Z851" s="42"/>
      <c r="AA851" s="42"/>
    </row>
    <row r="852">
      <c r="A852" s="36" t="str">
        <f>IF($B852="","",VLOOKUP($B852,DADOS!$C$2:$I1014,2,0))</f>
        <v/>
      </c>
      <c r="B852" s="37"/>
      <c r="C852" s="36"/>
      <c r="D852" s="38" t="str">
        <f>IF($B852="","",SUM(VLOOKUP($B852,DADOS!$C$2:$I1014,4,0)*$C852))</f>
        <v/>
      </c>
      <c r="E852" s="38" t="str">
        <f>IF($B852="","",SUM(VLOOKUP($B852,DADOS!$C$2:$I1014,6,0)*$C852))</f>
        <v/>
      </c>
      <c r="F852" s="39" t="str">
        <f>IF($E852="","",(VLOOKUP($B852,DADOS!$C$2:$I1014,7,0)))</f>
        <v/>
      </c>
      <c r="G852" s="40" t="str">
        <f t="shared" si="2"/>
        <v/>
      </c>
      <c r="H852" s="41"/>
      <c r="I852" s="42"/>
      <c r="J852" s="42"/>
      <c r="K852" s="42"/>
      <c r="L852" s="42"/>
      <c r="M852" s="42"/>
      <c r="N852" s="42"/>
      <c r="O852" s="42"/>
      <c r="P852" s="42"/>
      <c r="Q852" s="42"/>
      <c r="R852" s="42"/>
      <c r="S852" s="42"/>
      <c r="T852" s="42"/>
      <c r="U852" s="42"/>
      <c r="V852" s="42"/>
      <c r="W852" s="42"/>
      <c r="X852" s="42"/>
      <c r="Y852" s="42"/>
      <c r="Z852" s="42"/>
      <c r="AA852" s="42"/>
    </row>
    <row r="853">
      <c r="A853" s="36" t="str">
        <f>IF($B853="","",VLOOKUP($B853,DADOS!$C$2:$I1014,2,0))</f>
        <v/>
      </c>
      <c r="B853" s="37"/>
      <c r="C853" s="36"/>
      <c r="D853" s="38" t="str">
        <f>IF($B853="","",SUM(VLOOKUP($B853,DADOS!$C$2:$I1014,4,0)*$C853))</f>
        <v/>
      </c>
      <c r="E853" s="38" t="str">
        <f>IF($B853="","",SUM(VLOOKUP($B853,DADOS!$C$2:$I1014,6,0)*$C853))</f>
        <v/>
      </c>
      <c r="F853" s="39" t="str">
        <f>IF($E853="","",(VLOOKUP($B853,DADOS!$C$2:$I1014,7,0)))</f>
        <v/>
      </c>
      <c r="G853" s="40" t="str">
        <f t="shared" si="2"/>
        <v/>
      </c>
      <c r="H853" s="41"/>
      <c r="I853" s="42"/>
      <c r="J853" s="42"/>
      <c r="K853" s="42"/>
      <c r="L853" s="42"/>
      <c r="M853" s="42"/>
      <c r="N853" s="42"/>
      <c r="O853" s="42"/>
      <c r="P853" s="42"/>
      <c r="Q853" s="42"/>
      <c r="R853" s="42"/>
      <c r="S853" s="42"/>
      <c r="T853" s="42"/>
      <c r="U853" s="42"/>
      <c r="V853" s="42"/>
      <c r="W853" s="42"/>
      <c r="X853" s="42"/>
      <c r="Y853" s="42"/>
      <c r="Z853" s="42"/>
      <c r="AA853" s="42"/>
    </row>
    <row r="854">
      <c r="A854" s="36" t="str">
        <f>IF($B854="","",VLOOKUP($B854,DADOS!$C$2:$I1014,2,0))</f>
        <v/>
      </c>
      <c r="B854" s="37"/>
      <c r="C854" s="36"/>
      <c r="D854" s="38" t="str">
        <f>IF($B854="","",SUM(VLOOKUP($B854,DADOS!$C$2:$I1014,4,0)*$C854))</f>
        <v/>
      </c>
      <c r="E854" s="38" t="str">
        <f>IF($B854="","",SUM(VLOOKUP($B854,DADOS!$C$2:$I1014,6,0)*$C854))</f>
        <v/>
      </c>
      <c r="F854" s="39" t="str">
        <f>IF($E854="","",(VLOOKUP($B854,DADOS!$C$2:$I1014,7,0)))</f>
        <v/>
      </c>
      <c r="G854" s="40" t="str">
        <f t="shared" si="2"/>
        <v/>
      </c>
      <c r="H854" s="41"/>
      <c r="I854" s="42"/>
      <c r="J854" s="42"/>
      <c r="K854" s="42"/>
      <c r="L854" s="42"/>
      <c r="M854" s="42"/>
      <c r="N854" s="42"/>
      <c r="O854" s="42"/>
      <c r="P854" s="42"/>
      <c r="Q854" s="42"/>
      <c r="R854" s="42"/>
      <c r="S854" s="42"/>
      <c r="T854" s="42"/>
      <c r="U854" s="42"/>
      <c r="V854" s="42"/>
      <c r="W854" s="42"/>
      <c r="X854" s="42"/>
      <c r="Y854" s="42"/>
      <c r="Z854" s="42"/>
      <c r="AA854" s="42"/>
    </row>
    <row r="855">
      <c r="A855" s="36" t="str">
        <f>IF($B855="","",VLOOKUP($B855,DADOS!$C$2:$I1014,2,0))</f>
        <v/>
      </c>
      <c r="B855" s="37"/>
      <c r="C855" s="36"/>
      <c r="D855" s="38" t="str">
        <f>IF($B855="","",SUM(VLOOKUP($B855,DADOS!$C$2:$I1014,4,0)*$C855))</f>
        <v/>
      </c>
      <c r="E855" s="38" t="str">
        <f>IF($B855="","",SUM(VLOOKUP($B855,DADOS!$C$2:$I1014,6,0)*$C855))</f>
        <v/>
      </c>
      <c r="F855" s="39" t="str">
        <f>IF($E855="","",(VLOOKUP($B855,DADOS!$C$2:$I1014,7,0)))</f>
        <v/>
      </c>
      <c r="G855" s="40" t="str">
        <f t="shared" si="2"/>
        <v/>
      </c>
      <c r="H855" s="41"/>
      <c r="I855" s="42"/>
      <c r="J855" s="42"/>
      <c r="K855" s="42"/>
      <c r="L855" s="42"/>
      <c r="M855" s="42"/>
      <c r="N855" s="42"/>
      <c r="O855" s="42"/>
      <c r="P855" s="42"/>
      <c r="Q855" s="42"/>
      <c r="R855" s="42"/>
      <c r="S855" s="42"/>
      <c r="T855" s="42"/>
      <c r="U855" s="42"/>
      <c r="V855" s="42"/>
      <c r="W855" s="42"/>
      <c r="X855" s="42"/>
      <c r="Y855" s="42"/>
      <c r="Z855" s="42"/>
      <c r="AA855" s="42"/>
    </row>
    <row r="856">
      <c r="A856" s="36" t="str">
        <f>IF($B856="","",VLOOKUP($B856,DADOS!$C$2:$I1014,2,0))</f>
        <v/>
      </c>
      <c r="B856" s="37"/>
      <c r="C856" s="36"/>
      <c r="D856" s="38" t="str">
        <f>IF($B856="","",SUM(VLOOKUP($B856,DADOS!$C$2:$I1014,4,0)*$C856))</f>
        <v/>
      </c>
      <c r="E856" s="38" t="str">
        <f>IF($B856="","",SUM(VLOOKUP($B856,DADOS!$C$2:$I1014,6,0)*$C856))</f>
        <v/>
      </c>
      <c r="F856" s="39" t="str">
        <f>IF($E856="","",(VLOOKUP($B856,DADOS!$C$2:$I1014,7,0)))</f>
        <v/>
      </c>
      <c r="G856" s="40" t="str">
        <f t="shared" si="2"/>
        <v/>
      </c>
      <c r="H856" s="41"/>
      <c r="I856" s="42"/>
      <c r="J856" s="42"/>
      <c r="K856" s="42"/>
      <c r="L856" s="42"/>
      <c r="M856" s="42"/>
      <c r="N856" s="42"/>
      <c r="O856" s="42"/>
      <c r="P856" s="42"/>
      <c r="Q856" s="42"/>
      <c r="R856" s="42"/>
      <c r="S856" s="42"/>
      <c r="T856" s="42"/>
      <c r="U856" s="42"/>
      <c r="V856" s="42"/>
      <c r="W856" s="42"/>
      <c r="X856" s="42"/>
      <c r="Y856" s="42"/>
      <c r="Z856" s="42"/>
      <c r="AA856" s="42"/>
    </row>
    <row r="857">
      <c r="A857" s="36" t="str">
        <f>IF($B857="","",VLOOKUP($B857,DADOS!$C$2:$I1014,2,0))</f>
        <v/>
      </c>
      <c r="B857" s="37"/>
      <c r="C857" s="36"/>
      <c r="D857" s="38" t="str">
        <f>IF($B857="","",SUM(VLOOKUP($B857,DADOS!$C$2:$I1014,4,0)*$C857))</f>
        <v/>
      </c>
      <c r="E857" s="38" t="str">
        <f>IF($B857="","",SUM(VLOOKUP($B857,DADOS!$C$2:$I1014,6,0)*$C857))</f>
        <v/>
      </c>
      <c r="F857" s="39" t="str">
        <f>IF($E857="","",(VLOOKUP($B857,DADOS!$C$2:$I1014,7,0)))</f>
        <v/>
      </c>
      <c r="G857" s="40" t="str">
        <f t="shared" si="2"/>
        <v/>
      </c>
      <c r="H857" s="41"/>
      <c r="I857" s="42"/>
      <c r="J857" s="42"/>
      <c r="K857" s="42"/>
      <c r="L857" s="42"/>
      <c r="M857" s="42"/>
      <c r="N857" s="42"/>
      <c r="O857" s="42"/>
      <c r="P857" s="42"/>
      <c r="Q857" s="42"/>
      <c r="R857" s="42"/>
      <c r="S857" s="42"/>
      <c r="T857" s="42"/>
      <c r="U857" s="42"/>
      <c r="V857" s="42"/>
      <c r="W857" s="42"/>
      <c r="X857" s="42"/>
      <c r="Y857" s="42"/>
      <c r="Z857" s="42"/>
      <c r="AA857" s="42"/>
    </row>
    <row r="858">
      <c r="A858" s="36" t="str">
        <f>IF($B858="","",VLOOKUP($B858,DADOS!$C$2:$I1014,2,0))</f>
        <v/>
      </c>
      <c r="B858" s="37"/>
      <c r="C858" s="36"/>
      <c r="D858" s="38" t="str">
        <f>IF($B858="","",SUM(VLOOKUP($B858,DADOS!$C$2:$I1014,4,0)*$C858))</f>
        <v/>
      </c>
      <c r="E858" s="38" t="str">
        <f>IF($B858="","",SUM(VLOOKUP($B858,DADOS!$C$2:$I1014,6,0)*$C858))</f>
        <v/>
      </c>
      <c r="F858" s="39" t="str">
        <f>IF($E858="","",(VLOOKUP($B858,DADOS!$C$2:$I1014,7,0)))</f>
        <v/>
      </c>
      <c r="G858" s="40" t="str">
        <f t="shared" si="2"/>
        <v/>
      </c>
      <c r="H858" s="41"/>
      <c r="I858" s="42"/>
      <c r="J858" s="42"/>
      <c r="K858" s="42"/>
      <c r="L858" s="42"/>
      <c r="M858" s="42"/>
      <c r="N858" s="42"/>
      <c r="O858" s="42"/>
      <c r="P858" s="42"/>
      <c r="Q858" s="42"/>
      <c r="R858" s="42"/>
      <c r="S858" s="42"/>
      <c r="T858" s="42"/>
      <c r="U858" s="42"/>
      <c r="V858" s="42"/>
      <c r="W858" s="42"/>
      <c r="X858" s="42"/>
      <c r="Y858" s="42"/>
      <c r="Z858" s="42"/>
      <c r="AA858" s="42"/>
    </row>
    <row r="859">
      <c r="A859" s="36" t="str">
        <f>IF($B859="","",VLOOKUP($B859,DADOS!$C$2:$I1014,2,0))</f>
        <v/>
      </c>
      <c r="B859" s="37"/>
      <c r="C859" s="36"/>
      <c r="D859" s="38" t="str">
        <f>IF($B859="","",SUM(VLOOKUP($B859,DADOS!$C$2:$I1014,4,0)*$C859))</f>
        <v/>
      </c>
      <c r="E859" s="38" t="str">
        <f>IF($B859="","",SUM(VLOOKUP($B859,DADOS!$C$2:$I1014,6,0)*$C859))</f>
        <v/>
      </c>
      <c r="F859" s="39" t="str">
        <f>IF($E859="","",(VLOOKUP($B859,DADOS!$C$2:$I1014,7,0)))</f>
        <v/>
      </c>
      <c r="G859" s="40" t="str">
        <f t="shared" si="2"/>
        <v/>
      </c>
      <c r="H859" s="41"/>
      <c r="I859" s="42"/>
      <c r="J859" s="42"/>
      <c r="K859" s="42"/>
      <c r="L859" s="42"/>
      <c r="M859" s="42"/>
      <c r="N859" s="42"/>
      <c r="O859" s="42"/>
      <c r="P859" s="42"/>
      <c r="Q859" s="42"/>
      <c r="R859" s="42"/>
      <c r="S859" s="42"/>
      <c r="T859" s="42"/>
      <c r="U859" s="42"/>
      <c r="V859" s="42"/>
      <c r="W859" s="42"/>
      <c r="X859" s="42"/>
      <c r="Y859" s="42"/>
      <c r="Z859" s="42"/>
      <c r="AA859" s="42"/>
    </row>
    <row r="860">
      <c r="A860" s="36" t="str">
        <f>IF($B860="","",VLOOKUP($B860,DADOS!$C$2:$I1014,2,0))</f>
        <v/>
      </c>
      <c r="B860" s="37"/>
      <c r="C860" s="36"/>
      <c r="D860" s="38" t="str">
        <f>IF($B860="","",SUM(VLOOKUP($B860,DADOS!$C$2:$I1014,4,0)*$C860))</f>
        <v/>
      </c>
      <c r="E860" s="38" t="str">
        <f>IF($B860="","",SUM(VLOOKUP($B860,DADOS!$C$2:$I1014,6,0)*$C860))</f>
        <v/>
      </c>
      <c r="F860" s="39" t="str">
        <f>IF($E860="","",(VLOOKUP($B860,DADOS!$C$2:$I1014,7,0)))</f>
        <v/>
      </c>
      <c r="G860" s="40" t="str">
        <f t="shared" si="2"/>
        <v/>
      </c>
      <c r="H860" s="41"/>
      <c r="I860" s="42"/>
      <c r="J860" s="42"/>
      <c r="K860" s="42"/>
      <c r="L860" s="42"/>
      <c r="M860" s="42"/>
      <c r="N860" s="42"/>
      <c r="O860" s="42"/>
      <c r="P860" s="42"/>
      <c r="Q860" s="42"/>
      <c r="R860" s="42"/>
      <c r="S860" s="42"/>
      <c r="T860" s="42"/>
      <c r="U860" s="42"/>
      <c r="V860" s="42"/>
      <c r="W860" s="42"/>
      <c r="X860" s="42"/>
      <c r="Y860" s="42"/>
      <c r="Z860" s="42"/>
      <c r="AA860" s="42"/>
    </row>
    <row r="861">
      <c r="A861" s="36" t="str">
        <f>IF($B861="","",VLOOKUP($B861,DADOS!$C$2:$I1014,2,0))</f>
        <v/>
      </c>
      <c r="B861" s="37"/>
      <c r="C861" s="36"/>
      <c r="D861" s="38" t="str">
        <f>IF($B861="","",SUM(VLOOKUP($B861,DADOS!$C$2:$I1014,4,0)*$C861))</f>
        <v/>
      </c>
      <c r="E861" s="38" t="str">
        <f>IF($B861="","",SUM(VLOOKUP($B861,DADOS!$C$2:$I1014,6,0)*$C861))</f>
        <v/>
      </c>
      <c r="F861" s="39" t="str">
        <f>IF($E861="","",(VLOOKUP($B861,DADOS!$C$2:$I1014,7,0)))</f>
        <v/>
      </c>
      <c r="G861" s="40" t="str">
        <f t="shared" si="2"/>
        <v/>
      </c>
      <c r="H861" s="41"/>
      <c r="I861" s="42"/>
      <c r="J861" s="42"/>
      <c r="K861" s="42"/>
      <c r="L861" s="42"/>
      <c r="M861" s="42"/>
      <c r="N861" s="42"/>
      <c r="O861" s="42"/>
      <c r="P861" s="42"/>
      <c r="Q861" s="42"/>
      <c r="R861" s="42"/>
      <c r="S861" s="42"/>
      <c r="T861" s="42"/>
      <c r="U861" s="42"/>
      <c r="V861" s="42"/>
      <c r="W861" s="42"/>
      <c r="X861" s="42"/>
      <c r="Y861" s="42"/>
      <c r="Z861" s="42"/>
      <c r="AA861" s="42"/>
    </row>
    <row r="862">
      <c r="A862" s="36" t="str">
        <f>IF($B862="","",VLOOKUP($B862,DADOS!$C$2:$I1014,2,0))</f>
        <v/>
      </c>
      <c r="B862" s="37"/>
      <c r="C862" s="36"/>
      <c r="D862" s="38" t="str">
        <f>IF($B862="","",SUM(VLOOKUP($B862,DADOS!$C$2:$I1014,4,0)*$C862))</f>
        <v/>
      </c>
      <c r="E862" s="38" t="str">
        <f>IF($B862="","",SUM(VLOOKUP($B862,DADOS!$C$2:$I1014,6,0)*$C862))</f>
        <v/>
      </c>
      <c r="F862" s="39" t="str">
        <f>IF($E862="","",(VLOOKUP($B862,DADOS!$C$2:$I1014,7,0)))</f>
        <v/>
      </c>
      <c r="G862" s="40" t="str">
        <f t="shared" si="2"/>
        <v/>
      </c>
      <c r="H862" s="41"/>
      <c r="I862" s="42"/>
      <c r="J862" s="42"/>
      <c r="K862" s="42"/>
      <c r="L862" s="42"/>
      <c r="M862" s="42"/>
      <c r="N862" s="42"/>
      <c r="O862" s="42"/>
      <c r="P862" s="42"/>
      <c r="Q862" s="42"/>
      <c r="R862" s="42"/>
      <c r="S862" s="42"/>
      <c r="T862" s="42"/>
      <c r="U862" s="42"/>
      <c r="V862" s="42"/>
      <c r="W862" s="42"/>
      <c r="X862" s="42"/>
      <c r="Y862" s="42"/>
      <c r="Z862" s="42"/>
      <c r="AA862" s="42"/>
    </row>
    <row r="863">
      <c r="A863" s="36" t="str">
        <f>IF($B863="","",VLOOKUP($B863,DADOS!$C$2:$I1014,2,0))</f>
        <v/>
      </c>
      <c r="B863" s="37"/>
      <c r="C863" s="36"/>
      <c r="D863" s="38" t="str">
        <f>IF($B863="","",SUM(VLOOKUP($B863,DADOS!$C$2:$I1014,4,0)*$C863))</f>
        <v/>
      </c>
      <c r="E863" s="38" t="str">
        <f>IF($B863="","",SUM(VLOOKUP($B863,DADOS!$C$2:$I1014,6,0)*$C863))</f>
        <v/>
      </c>
      <c r="F863" s="39" t="str">
        <f>IF($E863="","",(VLOOKUP($B863,DADOS!$C$2:$I1014,7,0)))</f>
        <v/>
      </c>
      <c r="G863" s="40" t="str">
        <f t="shared" si="2"/>
        <v/>
      </c>
      <c r="H863" s="41"/>
      <c r="I863" s="42"/>
      <c r="J863" s="42"/>
      <c r="K863" s="42"/>
      <c r="L863" s="42"/>
      <c r="M863" s="42"/>
      <c r="N863" s="42"/>
      <c r="O863" s="42"/>
      <c r="P863" s="42"/>
      <c r="Q863" s="42"/>
      <c r="R863" s="42"/>
      <c r="S863" s="42"/>
      <c r="T863" s="42"/>
      <c r="U863" s="42"/>
      <c r="V863" s="42"/>
      <c r="W863" s="42"/>
      <c r="X863" s="42"/>
      <c r="Y863" s="42"/>
      <c r="Z863" s="42"/>
      <c r="AA863" s="42"/>
    </row>
    <row r="864">
      <c r="A864" s="36" t="str">
        <f>IF($B864="","",VLOOKUP($B864,DADOS!$C$2:$I1014,2,0))</f>
        <v/>
      </c>
      <c r="B864" s="37"/>
      <c r="C864" s="36"/>
      <c r="D864" s="38" t="str">
        <f>IF($B864="","",SUM(VLOOKUP($B864,DADOS!$C$2:$I1014,4,0)*$C864))</f>
        <v/>
      </c>
      <c r="E864" s="38" t="str">
        <f>IF($B864="","",SUM(VLOOKUP($B864,DADOS!$C$2:$I1014,6,0)*$C864))</f>
        <v/>
      </c>
      <c r="F864" s="39" t="str">
        <f>IF($E864="","",(VLOOKUP($B864,DADOS!$C$2:$I1014,7,0)))</f>
        <v/>
      </c>
      <c r="G864" s="40" t="str">
        <f t="shared" si="2"/>
        <v/>
      </c>
      <c r="H864" s="41"/>
      <c r="I864" s="42"/>
      <c r="J864" s="42"/>
      <c r="K864" s="42"/>
      <c r="L864" s="42"/>
      <c r="M864" s="42"/>
      <c r="N864" s="42"/>
      <c r="O864" s="42"/>
      <c r="P864" s="42"/>
      <c r="Q864" s="42"/>
      <c r="R864" s="42"/>
      <c r="S864" s="42"/>
      <c r="T864" s="42"/>
      <c r="U864" s="42"/>
      <c r="V864" s="42"/>
      <c r="W864" s="42"/>
      <c r="X864" s="42"/>
      <c r="Y864" s="42"/>
      <c r="Z864" s="42"/>
      <c r="AA864" s="42"/>
    </row>
    <row r="865">
      <c r="A865" s="36" t="str">
        <f>IF($B865="","",VLOOKUP($B865,DADOS!$C$2:$I1014,2,0))</f>
        <v/>
      </c>
      <c r="B865" s="37"/>
      <c r="C865" s="36"/>
      <c r="D865" s="38" t="str">
        <f>IF($B865="","",SUM(VLOOKUP($B865,DADOS!$C$2:$I1014,4,0)*$C865))</f>
        <v/>
      </c>
      <c r="E865" s="38" t="str">
        <f>IF($B865="","",SUM(VLOOKUP($B865,DADOS!$C$2:$I1014,6,0)*$C865))</f>
        <v/>
      </c>
      <c r="F865" s="39" t="str">
        <f>IF($E865="","",(VLOOKUP($B865,DADOS!$C$2:$I1014,7,0)))</f>
        <v/>
      </c>
      <c r="G865" s="40" t="str">
        <f t="shared" si="2"/>
        <v/>
      </c>
      <c r="H865" s="41"/>
      <c r="I865" s="42"/>
      <c r="J865" s="42"/>
      <c r="K865" s="42"/>
      <c r="L865" s="42"/>
      <c r="M865" s="42"/>
      <c r="N865" s="42"/>
      <c r="O865" s="42"/>
      <c r="P865" s="42"/>
      <c r="Q865" s="42"/>
      <c r="R865" s="42"/>
      <c r="S865" s="42"/>
      <c r="T865" s="42"/>
      <c r="U865" s="42"/>
      <c r="V865" s="42"/>
      <c r="W865" s="42"/>
      <c r="X865" s="42"/>
      <c r="Y865" s="42"/>
      <c r="Z865" s="42"/>
      <c r="AA865" s="42"/>
    </row>
    <row r="866">
      <c r="A866" s="36" t="str">
        <f>IF($B866="","",VLOOKUP($B866,DADOS!$C$2:$I1014,2,0))</f>
        <v/>
      </c>
      <c r="B866" s="37"/>
      <c r="C866" s="36"/>
      <c r="D866" s="38" t="str">
        <f>IF($B866="","",SUM(VLOOKUP($B866,DADOS!$C$2:$I1014,4,0)*$C866))</f>
        <v/>
      </c>
      <c r="E866" s="38" t="str">
        <f>IF($B866="","",SUM(VLOOKUP($B866,DADOS!$C$2:$I1014,6,0)*$C866))</f>
        <v/>
      </c>
      <c r="F866" s="39" t="str">
        <f>IF($E866="","",(VLOOKUP($B866,DADOS!$C$2:$I1014,7,0)))</f>
        <v/>
      </c>
      <c r="G866" s="40" t="str">
        <f t="shared" si="2"/>
        <v/>
      </c>
      <c r="H866" s="41"/>
      <c r="I866" s="42"/>
      <c r="J866" s="42"/>
      <c r="K866" s="42"/>
      <c r="L866" s="42"/>
      <c r="M866" s="42"/>
      <c r="N866" s="42"/>
      <c r="O866" s="42"/>
      <c r="P866" s="42"/>
      <c r="Q866" s="42"/>
      <c r="R866" s="42"/>
      <c r="S866" s="42"/>
      <c r="T866" s="42"/>
      <c r="U866" s="42"/>
      <c r="V866" s="42"/>
      <c r="W866" s="42"/>
      <c r="X866" s="42"/>
      <c r="Y866" s="42"/>
      <c r="Z866" s="42"/>
      <c r="AA866" s="42"/>
    </row>
    <row r="867">
      <c r="A867" s="36" t="str">
        <f>IF($B867="","",VLOOKUP($B867,DADOS!$C$2:$I1014,2,0))</f>
        <v/>
      </c>
      <c r="B867" s="37"/>
      <c r="C867" s="36"/>
      <c r="D867" s="38" t="str">
        <f>IF($B867="","",SUM(VLOOKUP($B867,DADOS!$C$2:$I1014,4,0)*$C867))</f>
        <v/>
      </c>
      <c r="E867" s="38" t="str">
        <f>IF($B867="","",SUM(VLOOKUP($B867,DADOS!$C$2:$I1014,6,0)*$C867))</f>
        <v/>
      </c>
      <c r="F867" s="39" t="str">
        <f>IF($E867="","",(VLOOKUP($B867,DADOS!$C$2:$I1014,7,0)))</f>
        <v/>
      </c>
      <c r="G867" s="40" t="str">
        <f t="shared" si="2"/>
        <v/>
      </c>
      <c r="H867" s="41"/>
      <c r="I867" s="42"/>
      <c r="J867" s="42"/>
      <c r="K867" s="42"/>
      <c r="L867" s="42"/>
      <c r="M867" s="42"/>
      <c r="N867" s="42"/>
      <c r="O867" s="42"/>
      <c r="P867" s="42"/>
      <c r="Q867" s="42"/>
      <c r="R867" s="42"/>
      <c r="S867" s="42"/>
      <c r="T867" s="42"/>
      <c r="U867" s="42"/>
      <c r="V867" s="42"/>
      <c r="W867" s="42"/>
      <c r="X867" s="42"/>
      <c r="Y867" s="42"/>
      <c r="Z867" s="42"/>
      <c r="AA867" s="42"/>
    </row>
    <row r="868">
      <c r="A868" s="36" t="str">
        <f>IF($B868="","",VLOOKUP($B868,DADOS!$C$2:$I1014,2,0))</f>
        <v/>
      </c>
      <c r="B868" s="37"/>
      <c r="C868" s="36"/>
      <c r="D868" s="38" t="str">
        <f>IF($B868="","",SUM(VLOOKUP($B868,DADOS!$C$2:$I1014,4,0)*$C868))</f>
        <v/>
      </c>
      <c r="E868" s="38" t="str">
        <f>IF($B868="","",SUM(VLOOKUP($B868,DADOS!$C$2:$I1014,6,0)*$C868))</f>
        <v/>
      </c>
      <c r="F868" s="39" t="str">
        <f>IF($E868="","",(VLOOKUP($B868,DADOS!$C$2:$I1014,7,0)))</f>
        <v/>
      </c>
      <c r="G868" s="40" t="str">
        <f t="shared" si="2"/>
        <v/>
      </c>
      <c r="H868" s="41"/>
      <c r="I868" s="42"/>
      <c r="J868" s="42"/>
      <c r="K868" s="42"/>
      <c r="L868" s="42"/>
      <c r="M868" s="42"/>
      <c r="N868" s="42"/>
      <c r="O868" s="42"/>
      <c r="P868" s="42"/>
      <c r="Q868" s="42"/>
      <c r="R868" s="42"/>
      <c r="S868" s="42"/>
      <c r="T868" s="42"/>
      <c r="U868" s="42"/>
      <c r="V868" s="42"/>
      <c r="W868" s="42"/>
      <c r="X868" s="42"/>
      <c r="Y868" s="42"/>
      <c r="Z868" s="42"/>
      <c r="AA868" s="42"/>
    </row>
    <row r="869">
      <c r="A869" s="36" t="str">
        <f>IF($B869="","",VLOOKUP($B869,DADOS!$C$2:$I1014,2,0))</f>
        <v/>
      </c>
      <c r="B869" s="37"/>
      <c r="C869" s="36"/>
      <c r="D869" s="38" t="str">
        <f>IF($B869="","",SUM(VLOOKUP($B869,DADOS!$C$2:$I1014,4,0)*$C869))</f>
        <v/>
      </c>
      <c r="E869" s="38" t="str">
        <f>IF($B869="","",SUM(VLOOKUP($B869,DADOS!$C$2:$I1014,6,0)*$C869))</f>
        <v/>
      </c>
      <c r="F869" s="39" t="str">
        <f>IF($E869="","",(VLOOKUP($B869,DADOS!$C$2:$I1014,7,0)))</f>
        <v/>
      </c>
      <c r="G869" s="40" t="str">
        <f t="shared" si="2"/>
        <v/>
      </c>
      <c r="H869" s="41"/>
      <c r="I869" s="42"/>
      <c r="J869" s="42"/>
      <c r="K869" s="42"/>
      <c r="L869" s="42"/>
      <c r="M869" s="42"/>
      <c r="N869" s="42"/>
      <c r="O869" s="42"/>
      <c r="P869" s="42"/>
      <c r="Q869" s="42"/>
      <c r="R869" s="42"/>
      <c r="S869" s="42"/>
      <c r="T869" s="42"/>
      <c r="U869" s="42"/>
      <c r="V869" s="42"/>
      <c r="W869" s="42"/>
      <c r="X869" s="42"/>
      <c r="Y869" s="42"/>
      <c r="Z869" s="42"/>
      <c r="AA869" s="42"/>
    </row>
    <row r="870">
      <c r="A870" s="36" t="str">
        <f>IF($B870="","",VLOOKUP($B870,DADOS!$C$2:$I1014,2,0))</f>
        <v/>
      </c>
      <c r="B870" s="37"/>
      <c r="C870" s="36"/>
      <c r="D870" s="38" t="str">
        <f>IF($B870="","",SUM(VLOOKUP($B870,DADOS!$C$2:$I1014,4,0)*$C870))</f>
        <v/>
      </c>
      <c r="E870" s="38" t="str">
        <f>IF($B870="","",SUM(VLOOKUP($B870,DADOS!$C$2:$I1014,6,0)*$C870))</f>
        <v/>
      </c>
      <c r="F870" s="39" t="str">
        <f>IF($E870="","",(VLOOKUP($B870,DADOS!$C$2:$I1014,7,0)))</f>
        <v/>
      </c>
      <c r="G870" s="40" t="str">
        <f t="shared" si="2"/>
        <v/>
      </c>
      <c r="H870" s="41"/>
      <c r="I870" s="42"/>
      <c r="J870" s="42"/>
      <c r="K870" s="42"/>
      <c r="L870" s="42"/>
      <c r="M870" s="42"/>
      <c r="N870" s="42"/>
      <c r="O870" s="42"/>
      <c r="P870" s="42"/>
      <c r="Q870" s="42"/>
      <c r="R870" s="42"/>
      <c r="S870" s="42"/>
      <c r="T870" s="42"/>
      <c r="U870" s="42"/>
      <c r="V870" s="42"/>
      <c r="W870" s="42"/>
      <c r="X870" s="42"/>
      <c r="Y870" s="42"/>
      <c r="Z870" s="42"/>
      <c r="AA870" s="42"/>
    </row>
    <row r="871">
      <c r="A871" s="36" t="str">
        <f>IF($B871="","",VLOOKUP($B871,DADOS!$C$2:$I1014,2,0))</f>
        <v/>
      </c>
      <c r="B871" s="37"/>
      <c r="C871" s="36"/>
      <c r="D871" s="38" t="str">
        <f>IF($B871="","",SUM(VLOOKUP($B871,DADOS!$C$2:$I1014,4,0)*$C871))</f>
        <v/>
      </c>
      <c r="E871" s="38" t="str">
        <f>IF($B871="","",SUM(VLOOKUP($B871,DADOS!$C$2:$I1014,6,0)*$C871))</f>
        <v/>
      </c>
      <c r="F871" s="39" t="str">
        <f>IF($E871="","",(VLOOKUP($B871,DADOS!$C$2:$I1014,7,0)))</f>
        <v/>
      </c>
      <c r="G871" s="40" t="str">
        <f t="shared" si="2"/>
        <v/>
      </c>
      <c r="H871" s="41"/>
      <c r="I871" s="42"/>
      <c r="J871" s="42"/>
      <c r="K871" s="42"/>
      <c r="L871" s="42"/>
      <c r="M871" s="42"/>
      <c r="N871" s="42"/>
      <c r="O871" s="42"/>
      <c r="P871" s="42"/>
      <c r="Q871" s="42"/>
      <c r="R871" s="42"/>
      <c r="S871" s="42"/>
      <c r="T871" s="42"/>
      <c r="U871" s="42"/>
      <c r="V871" s="42"/>
      <c r="W871" s="42"/>
      <c r="X871" s="42"/>
      <c r="Y871" s="42"/>
      <c r="Z871" s="42"/>
      <c r="AA871" s="42"/>
    </row>
    <row r="872">
      <c r="A872" s="36" t="str">
        <f>IF($B872="","",VLOOKUP($B872,DADOS!$C$2:$I1014,2,0))</f>
        <v/>
      </c>
      <c r="B872" s="37"/>
      <c r="C872" s="36"/>
      <c r="D872" s="38" t="str">
        <f>IF($B872="","",SUM(VLOOKUP($B872,DADOS!$C$2:$I1014,4,0)*$C872))</f>
        <v/>
      </c>
      <c r="E872" s="38" t="str">
        <f>IF($B872="","",SUM(VLOOKUP($B872,DADOS!$C$2:$I1014,6,0)*$C872))</f>
        <v/>
      </c>
      <c r="F872" s="39" t="str">
        <f>IF($E872="","",(VLOOKUP($B872,DADOS!$C$2:$I1014,7,0)))</f>
        <v/>
      </c>
      <c r="G872" s="40" t="str">
        <f t="shared" si="2"/>
        <v/>
      </c>
      <c r="H872" s="41"/>
      <c r="I872" s="42"/>
      <c r="J872" s="42"/>
      <c r="K872" s="42"/>
      <c r="L872" s="42"/>
      <c r="M872" s="42"/>
      <c r="N872" s="42"/>
      <c r="O872" s="42"/>
      <c r="P872" s="42"/>
      <c r="Q872" s="42"/>
      <c r="R872" s="42"/>
      <c r="S872" s="42"/>
      <c r="T872" s="42"/>
      <c r="U872" s="42"/>
      <c r="V872" s="42"/>
      <c r="W872" s="42"/>
      <c r="X872" s="42"/>
      <c r="Y872" s="42"/>
      <c r="Z872" s="42"/>
      <c r="AA872" s="42"/>
    </row>
    <row r="873">
      <c r="A873" s="36" t="str">
        <f>IF($B873="","",VLOOKUP($B873,DADOS!$C$2:$I1014,2,0))</f>
        <v/>
      </c>
      <c r="B873" s="37"/>
      <c r="C873" s="36"/>
      <c r="D873" s="38" t="str">
        <f>IF($B873="","",SUM(VLOOKUP($B873,DADOS!$C$2:$I1014,4,0)*$C873))</f>
        <v/>
      </c>
      <c r="E873" s="38" t="str">
        <f>IF($B873="","",SUM(VLOOKUP($B873,DADOS!$C$2:$I1014,6,0)*$C873))</f>
        <v/>
      </c>
      <c r="F873" s="39" t="str">
        <f>IF($E873="","",(VLOOKUP($B873,DADOS!$C$2:$I1014,7,0)))</f>
        <v/>
      </c>
      <c r="G873" s="40" t="str">
        <f t="shared" si="2"/>
        <v/>
      </c>
      <c r="H873" s="41"/>
      <c r="I873" s="42"/>
      <c r="J873" s="42"/>
      <c r="K873" s="42"/>
      <c r="L873" s="42"/>
      <c r="M873" s="42"/>
      <c r="N873" s="42"/>
      <c r="O873" s="42"/>
      <c r="P873" s="42"/>
      <c r="Q873" s="42"/>
      <c r="R873" s="42"/>
      <c r="S873" s="42"/>
      <c r="T873" s="42"/>
      <c r="U873" s="42"/>
      <c r="V873" s="42"/>
      <c r="W873" s="42"/>
      <c r="X873" s="42"/>
      <c r="Y873" s="42"/>
      <c r="Z873" s="42"/>
      <c r="AA873" s="42"/>
    </row>
    <row r="874">
      <c r="A874" s="36" t="str">
        <f>IF($B874="","",VLOOKUP($B874,DADOS!$C$2:$I1014,2,0))</f>
        <v/>
      </c>
      <c r="B874" s="37"/>
      <c r="C874" s="36"/>
      <c r="D874" s="38" t="str">
        <f>IF($B874="","",SUM(VLOOKUP($B874,DADOS!$C$2:$I1014,4,0)*$C874))</f>
        <v/>
      </c>
      <c r="E874" s="38" t="str">
        <f>IF($B874="","",SUM(VLOOKUP($B874,DADOS!$C$2:$I1014,6,0)*$C874))</f>
        <v/>
      </c>
      <c r="F874" s="39" t="str">
        <f>IF($E874="","",(VLOOKUP($B874,DADOS!$C$2:$I1014,7,0)))</f>
        <v/>
      </c>
      <c r="G874" s="40" t="str">
        <f t="shared" si="2"/>
        <v/>
      </c>
      <c r="H874" s="41"/>
      <c r="I874" s="42"/>
      <c r="J874" s="42"/>
      <c r="K874" s="42"/>
      <c r="L874" s="42"/>
      <c r="M874" s="42"/>
      <c r="N874" s="42"/>
      <c r="O874" s="42"/>
      <c r="P874" s="42"/>
      <c r="Q874" s="42"/>
      <c r="R874" s="42"/>
      <c r="S874" s="42"/>
      <c r="T874" s="42"/>
      <c r="U874" s="42"/>
      <c r="V874" s="42"/>
      <c r="W874" s="42"/>
      <c r="X874" s="42"/>
      <c r="Y874" s="42"/>
      <c r="Z874" s="42"/>
      <c r="AA874" s="42"/>
    </row>
    <row r="875">
      <c r="A875" s="36" t="str">
        <f>IF($B875="","",VLOOKUP($B875,DADOS!$C$2:$I1014,2,0))</f>
        <v/>
      </c>
      <c r="B875" s="37"/>
      <c r="C875" s="36"/>
      <c r="D875" s="38" t="str">
        <f>IF($B875="","",SUM(VLOOKUP($B875,DADOS!$C$2:$I1014,4,0)*$C875))</f>
        <v/>
      </c>
      <c r="E875" s="38" t="str">
        <f>IF($B875="","",SUM(VLOOKUP($B875,DADOS!$C$2:$I1014,6,0)*$C875))</f>
        <v/>
      </c>
      <c r="F875" s="39" t="str">
        <f>IF($E875="","",(VLOOKUP($B875,DADOS!$C$2:$I1014,7,0)))</f>
        <v/>
      </c>
      <c r="G875" s="40" t="str">
        <f t="shared" si="2"/>
        <v/>
      </c>
      <c r="H875" s="41"/>
      <c r="I875" s="42"/>
      <c r="J875" s="42"/>
      <c r="K875" s="42"/>
      <c r="L875" s="42"/>
      <c r="M875" s="42"/>
      <c r="N875" s="42"/>
      <c r="O875" s="42"/>
      <c r="P875" s="42"/>
      <c r="Q875" s="42"/>
      <c r="R875" s="42"/>
      <c r="S875" s="42"/>
      <c r="T875" s="42"/>
      <c r="U875" s="42"/>
      <c r="V875" s="42"/>
      <c r="W875" s="42"/>
      <c r="X875" s="42"/>
      <c r="Y875" s="42"/>
      <c r="Z875" s="42"/>
      <c r="AA875" s="42"/>
    </row>
    <row r="876">
      <c r="A876" s="36" t="str">
        <f>IF($B876="","",VLOOKUP($B876,DADOS!$C$2:$I1014,2,0))</f>
        <v/>
      </c>
      <c r="B876" s="37"/>
      <c r="C876" s="36"/>
      <c r="D876" s="38" t="str">
        <f>IF($B876="","",SUM(VLOOKUP($B876,DADOS!$C$2:$I1014,4,0)*$C876))</f>
        <v/>
      </c>
      <c r="E876" s="38" t="str">
        <f>IF($B876="","",SUM(VLOOKUP($B876,DADOS!$C$2:$I1014,6,0)*$C876))</f>
        <v/>
      </c>
      <c r="F876" s="39" t="str">
        <f>IF($E876="","",(VLOOKUP($B876,DADOS!$C$2:$I1014,7,0)))</f>
        <v/>
      </c>
      <c r="G876" s="40" t="str">
        <f t="shared" si="2"/>
        <v/>
      </c>
      <c r="H876" s="41"/>
      <c r="I876" s="42"/>
      <c r="J876" s="42"/>
      <c r="K876" s="42"/>
      <c r="L876" s="42"/>
      <c r="M876" s="42"/>
      <c r="N876" s="42"/>
      <c r="O876" s="42"/>
      <c r="P876" s="42"/>
      <c r="Q876" s="42"/>
      <c r="R876" s="42"/>
      <c r="S876" s="42"/>
      <c r="T876" s="42"/>
      <c r="U876" s="42"/>
      <c r="V876" s="42"/>
      <c r="W876" s="42"/>
      <c r="X876" s="42"/>
      <c r="Y876" s="42"/>
      <c r="Z876" s="42"/>
      <c r="AA876" s="42"/>
    </row>
    <row r="877">
      <c r="A877" s="36" t="str">
        <f>IF($B877="","",VLOOKUP($B877,DADOS!$C$2:$I1014,2,0))</f>
        <v/>
      </c>
      <c r="B877" s="37"/>
      <c r="C877" s="36"/>
      <c r="D877" s="38" t="str">
        <f>IF($B877="","",SUM(VLOOKUP($B877,DADOS!$C$2:$I1014,4,0)*$C877))</f>
        <v/>
      </c>
      <c r="E877" s="38" t="str">
        <f>IF($B877="","",SUM(VLOOKUP($B877,DADOS!$C$2:$I1014,6,0)*$C877))</f>
        <v/>
      </c>
      <c r="F877" s="39" t="str">
        <f>IF($E877="","",(VLOOKUP($B877,DADOS!$C$2:$I1014,7,0)))</f>
        <v/>
      </c>
      <c r="G877" s="40" t="str">
        <f t="shared" si="2"/>
        <v/>
      </c>
      <c r="H877" s="41"/>
      <c r="I877" s="42"/>
      <c r="J877" s="42"/>
      <c r="K877" s="42"/>
      <c r="L877" s="42"/>
      <c r="M877" s="42"/>
      <c r="N877" s="42"/>
      <c r="O877" s="42"/>
      <c r="P877" s="42"/>
      <c r="Q877" s="42"/>
      <c r="R877" s="42"/>
      <c r="S877" s="42"/>
      <c r="T877" s="42"/>
      <c r="U877" s="42"/>
      <c r="V877" s="42"/>
      <c r="W877" s="42"/>
      <c r="X877" s="42"/>
      <c r="Y877" s="42"/>
      <c r="Z877" s="42"/>
      <c r="AA877" s="42"/>
    </row>
    <row r="878">
      <c r="A878" s="36" t="str">
        <f>IF($B878="","",VLOOKUP($B878,DADOS!$C$2:$I1014,2,0))</f>
        <v/>
      </c>
      <c r="B878" s="37"/>
      <c r="C878" s="36"/>
      <c r="D878" s="38" t="str">
        <f>IF($B878="","",SUM(VLOOKUP($B878,DADOS!$C$2:$I1014,4,0)*$C878))</f>
        <v/>
      </c>
      <c r="E878" s="38" t="str">
        <f>IF($B878="","",SUM(VLOOKUP($B878,DADOS!$C$2:$I1014,6,0)*$C878))</f>
        <v/>
      </c>
      <c r="F878" s="39" t="str">
        <f>IF($E878="","",(VLOOKUP($B878,DADOS!$C$2:$I1014,7,0)))</f>
        <v/>
      </c>
      <c r="G878" s="40" t="str">
        <f t="shared" si="2"/>
        <v/>
      </c>
      <c r="H878" s="41"/>
      <c r="I878" s="42"/>
      <c r="J878" s="42"/>
      <c r="K878" s="42"/>
      <c r="L878" s="42"/>
      <c r="M878" s="42"/>
      <c r="N878" s="42"/>
      <c r="O878" s="42"/>
      <c r="P878" s="42"/>
      <c r="Q878" s="42"/>
      <c r="R878" s="42"/>
      <c r="S878" s="42"/>
      <c r="T878" s="42"/>
      <c r="U878" s="42"/>
      <c r="V878" s="42"/>
      <c r="W878" s="42"/>
      <c r="X878" s="42"/>
      <c r="Y878" s="42"/>
      <c r="Z878" s="42"/>
      <c r="AA878" s="42"/>
    </row>
    <row r="879">
      <c r="A879" s="36" t="str">
        <f>IF($B879="","",VLOOKUP($B879,DADOS!$C$2:$I1014,2,0))</f>
        <v/>
      </c>
      <c r="B879" s="37"/>
      <c r="C879" s="36"/>
      <c r="D879" s="38" t="str">
        <f>IF($B879="","",SUM(VLOOKUP($B879,DADOS!$C$2:$I1014,4,0)*$C879))</f>
        <v/>
      </c>
      <c r="E879" s="38" t="str">
        <f>IF($B879="","",SUM(VLOOKUP($B879,DADOS!$C$2:$I1014,6,0)*$C879))</f>
        <v/>
      </c>
      <c r="F879" s="39" t="str">
        <f>IF($E879="","",(VLOOKUP($B879,DADOS!$C$2:$I1014,7,0)))</f>
        <v/>
      </c>
      <c r="G879" s="40" t="str">
        <f t="shared" si="2"/>
        <v/>
      </c>
      <c r="H879" s="41"/>
      <c r="I879" s="42"/>
      <c r="J879" s="42"/>
      <c r="K879" s="42"/>
      <c r="L879" s="42"/>
      <c r="M879" s="42"/>
      <c r="N879" s="42"/>
      <c r="O879" s="42"/>
      <c r="P879" s="42"/>
      <c r="Q879" s="42"/>
      <c r="R879" s="42"/>
      <c r="S879" s="42"/>
      <c r="T879" s="42"/>
      <c r="U879" s="42"/>
      <c r="V879" s="42"/>
      <c r="W879" s="42"/>
      <c r="X879" s="42"/>
      <c r="Y879" s="42"/>
      <c r="Z879" s="42"/>
      <c r="AA879" s="42"/>
    </row>
    <row r="880">
      <c r="A880" s="36" t="str">
        <f>IF($B880="","",VLOOKUP($B880,DADOS!$C$2:$I1014,2,0))</f>
        <v/>
      </c>
      <c r="B880" s="37"/>
      <c r="C880" s="36"/>
      <c r="D880" s="38" t="str">
        <f>IF($B880="","",SUM(VLOOKUP($B880,DADOS!$C$2:$I1014,4,0)*$C880))</f>
        <v/>
      </c>
      <c r="E880" s="38" t="str">
        <f>IF($B880="","",SUM(VLOOKUP($B880,DADOS!$C$2:$I1014,6,0)*$C880))</f>
        <v/>
      </c>
      <c r="F880" s="39" t="str">
        <f>IF($E880="","",(VLOOKUP($B880,DADOS!$C$2:$I1014,7,0)))</f>
        <v/>
      </c>
      <c r="G880" s="40" t="str">
        <f t="shared" si="2"/>
        <v/>
      </c>
      <c r="H880" s="41"/>
      <c r="I880" s="42"/>
      <c r="J880" s="42"/>
      <c r="K880" s="42"/>
      <c r="L880" s="42"/>
      <c r="M880" s="42"/>
      <c r="N880" s="42"/>
      <c r="O880" s="42"/>
      <c r="P880" s="42"/>
      <c r="Q880" s="42"/>
      <c r="R880" s="42"/>
      <c r="S880" s="42"/>
      <c r="T880" s="42"/>
      <c r="U880" s="42"/>
      <c r="V880" s="42"/>
      <c r="W880" s="42"/>
      <c r="X880" s="42"/>
      <c r="Y880" s="42"/>
      <c r="Z880" s="42"/>
      <c r="AA880" s="42"/>
    </row>
    <row r="881">
      <c r="A881" s="36" t="str">
        <f>IF($B881="","",VLOOKUP($B881,DADOS!$C$2:$I1014,2,0))</f>
        <v/>
      </c>
      <c r="B881" s="37"/>
      <c r="C881" s="36"/>
      <c r="D881" s="38" t="str">
        <f>IF($B881="","",SUM(VLOOKUP($B881,DADOS!$C$2:$I1014,4,0)*$C881))</f>
        <v/>
      </c>
      <c r="E881" s="38" t="str">
        <f>IF($B881="","",SUM(VLOOKUP($B881,DADOS!$C$2:$I1014,6,0)*$C881))</f>
        <v/>
      </c>
      <c r="F881" s="39" t="str">
        <f>IF($E881="","",(VLOOKUP($B881,DADOS!$C$2:$I1014,7,0)))</f>
        <v/>
      </c>
      <c r="G881" s="40" t="str">
        <f t="shared" si="2"/>
        <v/>
      </c>
      <c r="H881" s="41"/>
      <c r="I881" s="42"/>
      <c r="J881" s="42"/>
      <c r="K881" s="42"/>
      <c r="L881" s="42"/>
      <c r="M881" s="42"/>
      <c r="N881" s="42"/>
      <c r="O881" s="42"/>
      <c r="P881" s="42"/>
      <c r="Q881" s="42"/>
      <c r="R881" s="42"/>
      <c r="S881" s="42"/>
      <c r="T881" s="42"/>
      <c r="U881" s="42"/>
      <c r="V881" s="42"/>
      <c r="W881" s="42"/>
      <c r="X881" s="42"/>
      <c r="Y881" s="42"/>
      <c r="Z881" s="42"/>
      <c r="AA881" s="42"/>
    </row>
    <row r="882">
      <c r="A882" s="36" t="str">
        <f>IF($B882="","",VLOOKUP($B882,DADOS!$C$2:$I1014,2,0))</f>
        <v/>
      </c>
      <c r="B882" s="37"/>
      <c r="C882" s="36"/>
      <c r="D882" s="38" t="str">
        <f>IF($B882="","",SUM(VLOOKUP($B882,DADOS!$C$2:$I1014,4,0)*$C882))</f>
        <v/>
      </c>
      <c r="E882" s="38" t="str">
        <f>IF($B882="","",SUM(VLOOKUP($B882,DADOS!$C$2:$I1014,6,0)*$C882))</f>
        <v/>
      </c>
      <c r="F882" s="39" t="str">
        <f>IF($E882="","",(VLOOKUP($B882,DADOS!$C$2:$I1014,7,0)))</f>
        <v/>
      </c>
      <c r="G882" s="40" t="str">
        <f t="shared" si="2"/>
        <v/>
      </c>
      <c r="H882" s="41"/>
      <c r="I882" s="42"/>
      <c r="J882" s="42"/>
      <c r="K882" s="42"/>
      <c r="L882" s="42"/>
      <c r="M882" s="42"/>
      <c r="N882" s="42"/>
      <c r="O882" s="42"/>
      <c r="P882" s="42"/>
      <c r="Q882" s="42"/>
      <c r="R882" s="42"/>
      <c r="S882" s="42"/>
      <c r="T882" s="42"/>
      <c r="U882" s="42"/>
      <c r="V882" s="42"/>
      <c r="W882" s="42"/>
      <c r="X882" s="42"/>
      <c r="Y882" s="42"/>
      <c r="Z882" s="42"/>
      <c r="AA882" s="42"/>
    </row>
    <row r="883">
      <c r="A883" s="36" t="str">
        <f>IF($B883="","",VLOOKUP($B883,DADOS!$C$2:$I1014,2,0))</f>
        <v/>
      </c>
      <c r="B883" s="37"/>
      <c r="C883" s="36"/>
      <c r="D883" s="38" t="str">
        <f>IF($B883="","",SUM(VLOOKUP($B883,DADOS!$C$2:$I1014,4,0)*$C883))</f>
        <v/>
      </c>
      <c r="E883" s="38" t="str">
        <f>IF($B883="","",SUM(VLOOKUP($B883,DADOS!$C$2:$I1014,6,0)*$C883))</f>
        <v/>
      </c>
      <c r="F883" s="39" t="str">
        <f>IF($E883="","",(VLOOKUP($B883,DADOS!$C$2:$I1014,7,0)))</f>
        <v/>
      </c>
      <c r="G883" s="40" t="str">
        <f t="shared" si="2"/>
        <v/>
      </c>
      <c r="H883" s="41"/>
      <c r="I883" s="42"/>
      <c r="J883" s="42"/>
      <c r="K883" s="42"/>
      <c r="L883" s="42"/>
      <c r="M883" s="42"/>
      <c r="N883" s="42"/>
      <c r="O883" s="42"/>
      <c r="P883" s="42"/>
      <c r="Q883" s="42"/>
      <c r="R883" s="42"/>
      <c r="S883" s="42"/>
      <c r="T883" s="42"/>
      <c r="U883" s="42"/>
      <c r="V883" s="42"/>
      <c r="W883" s="42"/>
      <c r="X883" s="42"/>
      <c r="Y883" s="42"/>
      <c r="Z883" s="42"/>
      <c r="AA883" s="42"/>
    </row>
    <row r="884">
      <c r="A884" s="36" t="str">
        <f>IF($B884="","",VLOOKUP($B884,DADOS!$C$2:$I1014,2,0))</f>
        <v/>
      </c>
      <c r="B884" s="37"/>
      <c r="C884" s="36"/>
      <c r="D884" s="38" t="str">
        <f>IF($B884="","",SUM(VLOOKUP($B884,DADOS!$C$2:$I1014,4,0)*$C884))</f>
        <v/>
      </c>
      <c r="E884" s="38" t="str">
        <f>IF($B884="","",SUM(VLOOKUP($B884,DADOS!$C$2:$I1014,6,0)*$C884))</f>
        <v/>
      </c>
      <c r="F884" s="39" t="str">
        <f>IF($E884="","",(VLOOKUP($B884,DADOS!$C$2:$I1014,7,0)))</f>
        <v/>
      </c>
      <c r="G884" s="40" t="str">
        <f t="shared" si="2"/>
        <v/>
      </c>
      <c r="H884" s="41"/>
      <c r="I884" s="42"/>
      <c r="J884" s="42"/>
      <c r="K884" s="42"/>
      <c r="L884" s="42"/>
      <c r="M884" s="42"/>
      <c r="N884" s="42"/>
      <c r="O884" s="42"/>
      <c r="P884" s="42"/>
      <c r="Q884" s="42"/>
      <c r="R884" s="42"/>
      <c r="S884" s="42"/>
      <c r="T884" s="42"/>
      <c r="U884" s="42"/>
      <c r="V884" s="42"/>
      <c r="W884" s="42"/>
      <c r="X884" s="42"/>
      <c r="Y884" s="42"/>
      <c r="Z884" s="42"/>
      <c r="AA884" s="42"/>
    </row>
    <row r="885">
      <c r="A885" s="36" t="str">
        <f>IF($B885="","",VLOOKUP($B885,DADOS!$C$2:$I1014,2,0))</f>
        <v/>
      </c>
      <c r="B885" s="37"/>
      <c r="C885" s="36"/>
      <c r="D885" s="38" t="str">
        <f>IF($B885="","",SUM(VLOOKUP($B885,DADOS!$C$2:$I1014,4,0)*$C885))</f>
        <v/>
      </c>
      <c r="E885" s="38" t="str">
        <f>IF($B885="","",SUM(VLOOKUP($B885,DADOS!$C$2:$I1014,6,0)*$C885))</f>
        <v/>
      </c>
      <c r="F885" s="39" t="str">
        <f>IF($E885="","",(VLOOKUP($B885,DADOS!$C$2:$I1014,7,0)))</f>
        <v/>
      </c>
      <c r="G885" s="40" t="str">
        <f t="shared" si="2"/>
        <v/>
      </c>
      <c r="H885" s="41"/>
      <c r="I885" s="42"/>
      <c r="J885" s="42"/>
      <c r="K885" s="42"/>
      <c r="L885" s="42"/>
      <c r="M885" s="42"/>
      <c r="N885" s="42"/>
      <c r="O885" s="42"/>
      <c r="P885" s="42"/>
      <c r="Q885" s="42"/>
      <c r="R885" s="42"/>
      <c r="S885" s="42"/>
      <c r="T885" s="42"/>
      <c r="U885" s="42"/>
      <c r="V885" s="42"/>
      <c r="W885" s="42"/>
      <c r="X885" s="42"/>
      <c r="Y885" s="42"/>
      <c r="Z885" s="42"/>
      <c r="AA885" s="42"/>
    </row>
    <row r="886">
      <c r="A886" s="36" t="str">
        <f>IF($B886="","",VLOOKUP($B886,DADOS!$C$2:$I1014,2,0))</f>
        <v/>
      </c>
      <c r="B886" s="37"/>
      <c r="C886" s="36"/>
      <c r="D886" s="38" t="str">
        <f>IF($B886="","",SUM(VLOOKUP($B886,DADOS!$C$2:$I1014,4,0)*$C886))</f>
        <v/>
      </c>
      <c r="E886" s="38" t="str">
        <f>IF($B886="","",SUM(VLOOKUP($B886,DADOS!$C$2:$I1014,6,0)*$C886))</f>
        <v/>
      </c>
      <c r="F886" s="39" t="str">
        <f>IF($E886="","",(VLOOKUP($B886,DADOS!$C$2:$I1014,7,0)))</f>
        <v/>
      </c>
      <c r="G886" s="40" t="str">
        <f t="shared" si="2"/>
        <v/>
      </c>
      <c r="H886" s="41"/>
      <c r="I886" s="42"/>
      <c r="J886" s="42"/>
      <c r="K886" s="42"/>
      <c r="L886" s="42"/>
      <c r="M886" s="42"/>
      <c r="N886" s="42"/>
      <c r="O886" s="42"/>
      <c r="P886" s="42"/>
      <c r="Q886" s="42"/>
      <c r="R886" s="42"/>
      <c r="S886" s="42"/>
      <c r="T886" s="42"/>
      <c r="U886" s="42"/>
      <c r="V886" s="42"/>
      <c r="W886" s="42"/>
      <c r="X886" s="42"/>
      <c r="Y886" s="42"/>
      <c r="Z886" s="42"/>
      <c r="AA886" s="42"/>
    </row>
    <row r="887">
      <c r="A887" s="36" t="str">
        <f>IF($B887="","",VLOOKUP($B887,DADOS!$C$2:$I1014,2,0))</f>
        <v/>
      </c>
      <c r="B887" s="37"/>
      <c r="C887" s="36"/>
      <c r="D887" s="38" t="str">
        <f>IF($B887="","",SUM(VLOOKUP($B887,DADOS!$C$2:$I1014,4,0)*$C887))</f>
        <v/>
      </c>
      <c r="E887" s="38" t="str">
        <f>IF($B887="","",SUM(VLOOKUP($B887,DADOS!$C$2:$I1014,6,0)*$C887))</f>
        <v/>
      </c>
      <c r="F887" s="39" t="str">
        <f>IF($E887="","",(VLOOKUP($B887,DADOS!$C$2:$I1014,7,0)))</f>
        <v/>
      </c>
      <c r="G887" s="40" t="str">
        <f t="shared" si="2"/>
        <v/>
      </c>
      <c r="H887" s="41"/>
      <c r="I887" s="42"/>
      <c r="J887" s="42"/>
      <c r="K887" s="42"/>
      <c r="L887" s="42"/>
      <c r="M887" s="42"/>
      <c r="N887" s="42"/>
      <c r="O887" s="42"/>
      <c r="P887" s="42"/>
      <c r="Q887" s="42"/>
      <c r="R887" s="42"/>
      <c r="S887" s="42"/>
      <c r="T887" s="42"/>
      <c r="U887" s="42"/>
      <c r="V887" s="42"/>
      <c r="W887" s="42"/>
      <c r="X887" s="42"/>
      <c r="Y887" s="42"/>
      <c r="Z887" s="42"/>
      <c r="AA887" s="42"/>
    </row>
    <row r="888">
      <c r="A888" s="36" t="str">
        <f>IF($B888="","",VLOOKUP($B888,DADOS!$C$2:$I1014,2,0))</f>
        <v/>
      </c>
      <c r="B888" s="37"/>
      <c r="C888" s="36"/>
      <c r="D888" s="38" t="str">
        <f>IF($B888="","",SUM(VLOOKUP($B888,DADOS!$C$2:$I1014,4,0)*$C888))</f>
        <v/>
      </c>
      <c r="E888" s="38" t="str">
        <f>IF($B888="","",SUM(VLOOKUP($B888,DADOS!$C$2:$I1014,6,0)*$C888))</f>
        <v/>
      </c>
      <c r="F888" s="39" t="str">
        <f>IF($E888="","",(VLOOKUP($B888,DADOS!$C$2:$I1014,7,0)))</f>
        <v/>
      </c>
      <c r="G888" s="40" t="str">
        <f t="shared" si="2"/>
        <v/>
      </c>
      <c r="H888" s="41"/>
      <c r="I888" s="42"/>
      <c r="J888" s="42"/>
      <c r="K888" s="42"/>
      <c r="L888" s="42"/>
      <c r="M888" s="42"/>
      <c r="N888" s="42"/>
      <c r="O888" s="42"/>
      <c r="P888" s="42"/>
      <c r="Q888" s="42"/>
      <c r="R888" s="42"/>
      <c r="S888" s="42"/>
      <c r="T888" s="42"/>
      <c r="U888" s="42"/>
      <c r="V888" s="42"/>
      <c r="W888" s="42"/>
      <c r="X888" s="42"/>
      <c r="Y888" s="42"/>
      <c r="Z888" s="42"/>
      <c r="AA888" s="42"/>
    </row>
    <row r="889">
      <c r="A889" s="36" t="str">
        <f>IF($B889="","",VLOOKUP($B889,DADOS!$C$2:$I1014,2,0))</f>
        <v/>
      </c>
      <c r="B889" s="37"/>
      <c r="C889" s="36"/>
      <c r="D889" s="38" t="str">
        <f>IF($B889="","",SUM(VLOOKUP($B889,DADOS!$C$2:$I1014,4,0)*$C889))</f>
        <v/>
      </c>
      <c r="E889" s="38" t="str">
        <f>IF($B889="","",SUM(VLOOKUP($B889,DADOS!$C$2:$I1014,6,0)*$C889))</f>
        <v/>
      </c>
      <c r="F889" s="39" t="str">
        <f>IF($E889="","",(VLOOKUP($B889,DADOS!$C$2:$I1014,7,0)))</f>
        <v/>
      </c>
      <c r="G889" s="40" t="str">
        <f t="shared" si="2"/>
        <v/>
      </c>
      <c r="H889" s="41"/>
      <c r="I889" s="42"/>
      <c r="J889" s="42"/>
      <c r="K889" s="42"/>
      <c r="L889" s="42"/>
      <c r="M889" s="42"/>
      <c r="N889" s="42"/>
      <c r="O889" s="42"/>
      <c r="P889" s="42"/>
      <c r="Q889" s="42"/>
      <c r="R889" s="42"/>
      <c r="S889" s="42"/>
      <c r="T889" s="42"/>
      <c r="U889" s="42"/>
      <c r="V889" s="42"/>
      <c r="W889" s="42"/>
      <c r="X889" s="42"/>
      <c r="Y889" s="42"/>
      <c r="Z889" s="42"/>
      <c r="AA889" s="42"/>
    </row>
    <row r="890">
      <c r="A890" s="36" t="str">
        <f>IF($B890="","",VLOOKUP($B890,DADOS!$C$2:$I1014,2,0))</f>
        <v/>
      </c>
      <c r="B890" s="37"/>
      <c r="C890" s="36"/>
      <c r="D890" s="38" t="str">
        <f>IF($B890="","",SUM(VLOOKUP($B890,DADOS!$C$2:$I1014,4,0)*$C890))</f>
        <v/>
      </c>
      <c r="E890" s="38" t="str">
        <f>IF($B890="","",SUM(VLOOKUP($B890,DADOS!$C$2:$I1014,6,0)*$C890))</f>
        <v/>
      </c>
      <c r="F890" s="39" t="str">
        <f>IF($E890="","",(VLOOKUP($B890,DADOS!$C$2:$I1014,7,0)))</f>
        <v/>
      </c>
      <c r="G890" s="40" t="str">
        <f t="shared" si="2"/>
        <v/>
      </c>
      <c r="H890" s="41"/>
      <c r="I890" s="42"/>
      <c r="J890" s="42"/>
      <c r="K890" s="42"/>
      <c r="L890" s="42"/>
      <c r="M890" s="42"/>
      <c r="N890" s="42"/>
      <c r="O890" s="42"/>
      <c r="P890" s="42"/>
      <c r="Q890" s="42"/>
      <c r="R890" s="42"/>
      <c r="S890" s="42"/>
      <c r="T890" s="42"/>
      <c r="U890" s="42"/>
      <c r="V890" s="42"/>
      <c r="W890" s="42"/>
      <c r="X890" s="42"/>
      <c r="Y890" s="42"/>
      <c r="Z890" s="42"/>
      <c r="AA890" s="42"/>
    </row>
    <row r="891">
      <c r="A891" s="36" t="str">
        <f>IF($B891="","",VLOOKUP($B891,DADOS!$C$2:$I1014,2,0))</f>
        <v/>
      </c>
      <c r="B891" s="37"/>
      <c r="C891" s="36"/>
      <c r="D891" s="38" t="str">
        <f>IF($B891="","",SUM(VLOOKUP($B891,DADOS!$C$2:$I1014,4,0)*$C891))</f>
        <v/>
      </c>
      <c r="E891" s="38" t="str">
        <f>IF($B891="","",SUM(VLOOKUP($B891,DADOS!$C$2:$I1014,6,0)*$C891))</f>
        <v/>
      </c>
      <c r="F891" s="39" t="str">
        <f>IF($E891="","",(VLOOKUP($B891,DADOS!$C$2:$I1014,7,0)))</f>
        <v/>
      </c>
      <c r="G891" s="40" t="str">
        <f t="shared" si="2"/>
        <v/>
      </c>
      <c r="H891" s="41"/>
      <c r="I891" s="42"/>
      <c r="J891" s="42"/>
      <c r="K891" s="42"/>
      <c r="L891" s="42"/>
      <c r="M891" s="42"/>
      <c r="N891" s="42"/>
      <c r="O891" s="42"/>
      <c r="P891" s="42"/>
      <c r="Q891" s="42"/>
      <c r="R891" s="42"/>
      <c r="S891" s="42"/>
      <c r="T891" s="42"/>
      <c r="U891" s="42"/>
      <c r="V891" s="42"/>
      <c r="W891" s="42"/>
      <c r="X891" s="42"/>
      <c r="Y891" s="42"/>
      <c r="Z891" s="42"/>
      <c r="AA891" s="42"/>
    </row>
    <row r="892">
      <c r="A892" s="36" t="str">
        <f>IF($B892="","",VLOOKUP($B892,DADOS!$C$2:$I1014,2,0))</f>
        <v/>
      </c>
      <c r="B892" s="37"/>
      <c r="C892" s="36"/>
      <c r="D892" s="38" t="str">
        <f>IF($B892="","",SUM(VLOOKUP($B892,DADOS!$C$2:$I1014,4,0)*$C892))</f>
        <v/>
      </c>
      <c r="E892" s="38" t="str">
        <f>IF($B892="","",SUM(VLOOKUP($B892,DADOS!$C$2:$I1014,6,0)*$C892))</f>
        <v/>
      </c>
      <c r="F892" s="39" t="str">
        <f>IF($E892="","",(VLOOKUP($B892,DADOS!$C$2:$I1014,7,0)))</f>
        <v/>
      </c>
      <c r="G892" s="40" t="str">
        <f t="shared" si="2"/>
        <v/>
      </c>
      <c r="H892" s="41"/>
      <c r="I892" s="42"/>
      <c r="J892" s="42"/>
      <c r="K892" s="42"/>
      <c r="L892" s="42"/>
      <c r="M892" s="42"/>
      <c r="N892" s="42"/>
      <c r="O892" s="42"/>
      <c r="P892" s="42"/>
      <c r="Q892" s="42"/>
      <c r="R892" s="42"/>
      <c r="S892" s="42"/>
      <c r="T892" s="42"/>
      <c r="U892" s="42"/>
      <c r="V892" s="42"/>
      <c r="W892" s="42"/>
      <c r="X892" s="42"/>
      <c r="Y892" s="42"/>
      <c r="Z892" s="42"/>
      <c r="AA892" s="42"/>
    </row>
    <row r="893">
      <c r="A893" s="36" t="str">
        <f>IF($B893="","",VLOOKUP($B893,DADOS!$C$2:$I1014,2,0))</f>
        <v/>
      </c>
      <c r="B893" s="37"/>
      <c r="C893" s="36"/>
      <c r="D893" s="38" t="str">
        <f>IF($B893="","",SUM(VLOOKUP($B893,DADOS!$C$2:$I1014,4,0)*$C893))</f>
        <v/>
      </c>
      <c r="E893" s="38" t="str">
        <f>IF($B893="","",SUM(VLOOKUP($B893,DADOS!$C$2:$I1014,6,0)*$C893))</f>
        <v/>
      </c>
      <c r="F893" s="39" t="str">
        <f>IF($E893="","",(VLOOKUP($B893,DADOS!$C$2:$I1014,7,0)))</f>
        <v/>
      </c>
      <c r="G893" s="40" t="str">
        <f t="shared" si="2"/>
        <v/>
      </c>
      <c r="H893" s="41"/>
      <c r="I893" s="42"/>
      <c r="J893" s="42"/>
      <c r="K893" s="42"/>
      <c r="L893" s="42"/>
      <c r="M893" s="42"/>
      <c r="N893" s="42"/>
      <c r="O893" s="42"/>
      <c r="P893" s="42"/>
      <c r="Q893" s="42"/>
      <c r="R893" s="42"/>
      <c r="S893" s="42"/>
      <c r="T893" s="42"/>
      <c r="U893" s="42"/>
      <c r="V893" s="42"/>
      <c r="W893" s="42"/>
      <c r="X893" s="42"/>
      <c r="Y893" s="42"/>
      <c r="Z893" s="42"/>
      <c r="AA893" s="42"/>
    </row>
    <row r="894">
      <c r="A894" s="36" t="str">
        <f>IF($B894="","",VLOOKUP($B894,DADOS!$C$2:$I1014,2,0))</f>
        <v/>
      </c>
      <c r="B894" s="37"/>
      <c r="C894" s="36"/>
      <c r="D894" s="38" t="str">
        <f>IF($B894="","",SUM(VLOOKUP($B894,DADOS!$C$2:$I1014,4,0)*$C894))</f>
        <v/>
      </c>
      <c r="E894" s="38" t="str">
        <f>IF($B894="","",SUM(VLOOKUP($B894,DADOS!$C$2:$I1014,6,0)*$C894))</f>
        <v/>
      </c>
      <c r="F894" s="39" t="str">
        <f>IF($E894="","",(VLOOKUP($B894,DADOS!$C$2:$I1014,7,0)))</f>
        <v/>
      </c>
      <c r="G894" s="40" t="str">
        <f t="shared" si="2"/>
        <v/>
      </c>
      <c r="H894" s="41"/>
      <c r="I894" s="42"/>
      <c r="J894" s="42"/>
      <c r="K894" s="42"/>
      <c r="L894" s="42"/>
      <c r="M894" s="42"/>
      <c r="N894" s="42"/>
      <c r="O894" s="42"/>
      <c r="P894" s="42"/>
      <c r="Q894" s="42"/>
      <c r="R894" s="42"/>
      <c r="S894" s="42"/>
      <c r="T894" s="42"/>
      <c r="U894" s="42"/>
      <c r="V894" s="42"/>
      <c r="W894" s="42"/>
      <c r="X894" s="42"/>
      <c r="Y894" s="42"/>
      <c r="Z894" s="42"/>
      <c r="AA894" s="42"/>
    </row>
    <row r="895">
      <c r="A895" s="36" t="str">
        <f>IF($B895="","",VLOOKUP($B895,DADOS!$C$2:$I1014,2,0))</f>
        <v/>
      </c>
      <c r="B895" s="37"/>
      <c r="C895" s="36"/>
      <c r="D895" s="38" t="str">
        <f>IF($B895="","",SUM(VLOOKUP($B895,DADOS!$C$2:$I1014,4,0)*$C895))</f>
        <v/>
      </c>
      <c r="E895" s="38" t="str">
        <f>IF($B895="","",SUM(VLOOKUP($B895,DADOS!$C$2:$I1014,6,0)*$C895))</f>
        <v/>
      </c>
      <c r="F895" s="39" t="str">
        <f>IF($E895="","",(VLOOKUP($B895,DADOS!$C$2:$I1014,7,0)))</f>
        <v/>
      </c>
      <c r="G895" s="40" t="str">
        <f t="shared" si="2"/>
        <v/>
      </c>
      <c r="H895" s="41"/>
      <c r="I895" s="42"/>
      <c r="J895" s="42"/>
      <c r="K895" s="42"/>
      <c r="L895" s="42"/>
      <c r="M895" s="42"/>
      <c r="N895" s="42"/>
      <c r="O895" s="42"/>
      <c r="P895" s="42"/>
      <c r="Q895" s="42"/>
      <c r="R895" s="42"/>
      <c r="S895" s="42"/>
      <c r="T895" s="42"/>
      <c r="U895" s="42"/>
      <c r="V895" s="42"/>
      <c r="W895" s="42"/>
      <c r="X895" s="42"/>
      <c r="Y895" s="42"/>
      <c r="Z895" s="42"/>
      <c r="AA895" s="42"/>
    </row>
    <row r="896">
      <c r="A896" s="36" t="str">
        <f>IF($B896="","",VLOOKUP($B896,DADOS!$C$2:$I1014,2,0))</f>
        <v/>
      </c>
      <c r="B896" s="37"/>
      <c r="C896" s="36"/>
      <c r="D896" s="38" t="str">
        <f>IF($B896="","",SUM(VLOOKUP($B896,DADOS!$C$2:$I1014,4,0)*$C896))</f>
        <v/>
      </c>
      <c r="E896" s="38" t="str">
        <f>IF($B896="","",SUM(VLOOKUP($B896,DADOS!$C$2:$I1014,6,0)*$C896))</f>
        <v/>
      </c>
      <c r="F896" s="39" t="str">
        <f>IF($E896="","",(VLOOKUP($B896,DADOS!$C$2:$I1014,7,0)))</f>
        <v/>
      </c>
      <c r="G896" s="40" t="str">
        <f t="shared" si="2"/>
        <v/>
      </c>
      <c r="H896" s="41"/>
      <c r="I896" s="42"/>
      <c r="J896" s="42"/>
      <c r="K896" s="42"/>
      <c r="L896" s="42"/>
      <c r="M896" s="42"/>
      <c r="N896" s="42"/>
      <c r="O896" s="42"/>
      <c r="P896" s="42"/>
      <c r="Q896" s="42"/>
      <c r="R896" s="42"/>
      <c r="S896" s="42"/>
      <c r="T896" s="42"/>
      <c r="U896" s="42"/>
      <c r="V896" s="42"/>
      <c r="W896" s="42"/>
      <c r="X896" s="42"/>
      <c r="Y896" s="42"/>
      <c r="Z896" s="42"/>
      <c r="AA896" s="42"/>
    </row>
    <row r="897">
      <c r="A897" s="36" t="str">
        <f>IF($B897="","",VLOOKUP($B897,DADOS!$C$2:$I1014,2,0))</f>
        <v/>
      </c>
      <c r="B897" s="37"/>
      <c r="C897" s="36"/>
      <c r="D897" s="38" t="str">
        <f>IF($B897="","",SUM(VLOOKUP($B897,DADOS!$C$2:$I1014,4,0)*$C897))</f>
        <v/>
      </c>
      <c r="E897" s="38" t="str">
        <f>IF($B897="","",SUM(VLOOKUP($B897,DADOS!$C$2:$I1014,6,0)*$C897))</f>
        <v/>
      </c>
      <c r="F897" s="39" t="str">
        <f>IF($E897="","",(VLOOKUP($B897,DADOS!$C$2:$I1014,7,0)))</f>
        <v/>
      </c>
      <c r="G897" s="40" t="str">
        <f t="shared" si="2"/>
        <v/>
      </c>
      <c r="H897" s="41"/>
      <c r="I897" s="42"/>
      <c r="J897" s="42"/>
      <c r="K897" s="42"/>
      <c r="L897" s="42"/>
      <c r="M897" s="42"/>
      <c r="N897" s="42"/>
      <c r="O897" s="42"/>
      <c r="P897" s="42"/>
      <c r="Q897" s="42"/>
      <c r="R897" s="42"/>
      <c r="S897" s="42"/>
      <c r="T897" s="42"/>
      <c r="U897" s="42"/>
      <c r="V897" s="42"/>
      <c r="W897" s="42"/>
      <c r="X897" s="42"/>
      <c r="Y897" s="42"/>
      <c r="Z897" s="42"/>
      <c r="AA897" s="42"/>
    </row>
    <row r="898">
      <c r="A898" s="36" t="str">
        <f>IF($B898="","",VLOOKUP($B898,DADOS!$C$2:$I1014,2,0))</f>
        <v/>
      </c>
      <c r="B898" s="37"/>
      <c r="C898" s="36"/>
      <c r="D898" s="38" t="str">
        <f>IF($B898="","",SUM(VLOOKUP($B898,DADOS!$C$2:$I1014,4,0)*$C898))</f>
        <v/>
      </c>
      <c r="E898" s="38" t="str">
        <f>IF($B898="","",SUM(VLOOKUP($B898,DADOS!$C$2:$I1014,6,0)*$C898))</f>
        <v/>
      </c>
      <c r="F898" s="39" t="str">
        <f>IF($E898="","",(VLOOKUP($B898,DADOS!$C$2:$I1014,7,0)))</f>
        <v/>
      </c>
      <c r="G898" s="40" t="str">
        <f t="shared" si="2"/>
        <v/>
      </c>
      <c r="H898" s="41"/>
      <c r="I898" s="42"/>
      <c r="J898" s="42"/>
      <c r="K898" s="42"/>
      <c r="L898" s="42"/>
      <c r="M898" s="42"/>
      <c r="N898" s="42"/>
      <c r="O898" s="42"/>
      <c r="P898" s="42"/>
      <c r="Q898" s="42"/>
      <c r="R898" s="42"/>
      <c r="S898" s="42"/>
      <c r="T898" s="42"/>
      <c r="U898" s="42"/>
      <c r="V898" s="42"/>
      <c r="W898" s="42"/>
      <c r="X898" s="42"/>
      <c r="Y898" s="42"/>
      <c r="Z898" s="42"/>
      <c r="AA898" s="42"/>
    </row>
    <row r="899">
      <c r="A899" s="36" t="str">
        <f>IF($B899="","",VLOOKUP($B899,DADOS!$C$2:$I1014,2,0))</f>
        <v/>
      </c>
      <c r="B899" s="37"/>
      <c r="C899" s="36"/>
      <c r="D899" s="38" t="str">
        <f>IF($B899="","",SUM(VLOOKUP($B899,DADOS!$C$2:$I1014,4,0)*$C899))</f>
        <v/>
      </c>
      <c r="E899" s="38" t="str">
        <f>IF($B899="","",SUM(VLOOKUP($B899,DADOS!$C$2:$I1014,6,0)*$C899))</f>
        <v/>
      </c>
      <c r="F899" s="39" t="str">
        <f>IF($E899="","",(VLOOKUP($B899,DADOS!$C$2:$I1014,7,0)))</f>
        <v/>
      </c>
      <c r="G899" s="40" t="str">
        <f t="shared" si="2"/>
        <v/>
      </c>
      <c r="H899" s="41"/>
      <c r="I899" s="42"/>
      <c r="J899" s="42"/>
      <c r="K899" s="42"/>
      <c r="L899" s="42"/>
      <c r="M899" s="42"/>
      <c r="N899" s="42"/>
      <c r="O899" s="42"/>
      <c r="P899" s="42"/>
      <c r="Q899" s="42"/>
      <c r="R899" s="42"/>
      <c r="S899" s="42"/>
      <c r="T899" s="42"/>
      <c r="U899" s="42"/>
      <c r="V899" s="42"/>
      <c r="W899" s="42"/>
      <c r="X899" s="42"/>
      <c r="Y899" s="42"/>
      <c r="Z899" s="42"/>
      <c r="AA899" s="42"/>
    </row>
    <row r="900">
      <c r="A900" s="36" t="str">
        <f>IF($B900="","",VLOOKUP($B900,DADOS!$C$2:$I1014,2,0))</f>
        <v/>
      </c>
      <c r="B900" s="37"/>
      <c r="C900" s="36"/>
      <c r="D900" s="38" t="str">
        <f>IF($B900="","",SUM(VLOOKUP($B900,DADOS!$C$2:$I1014,4,0)*$C900))</f>
        <v/>
      </c>
      <c r="E900" s="38" t="str">
        <f>IF($B900="","",SUM(VLOOKUP($B900,DADOS!$C$2:$I1014,6,0)*$C900))</f>
        <v/>
      </c>
      <c r="F900" s="39" t="str">
        <f>IF($E900="","",(VLOOKUP($B900,DADOS!$C$2:$I1014,7,0)))</f>
        <v/>
      </c>
      <c r="G900" s="40" t="str">
        <f t="shared" si="2"/>
        <v/>
      </c>
      <c r="H900" s="41"/>
      <c r="I900" s="42"/>
      <c r="J900" s="42"/>
      <c r="K900" s="42"/>
      <c r="L900" s="42"/>
      <c r="M900" s="42"/>
      <c r="N900" s="42"/>
      <c r="O900" s="42"/>
      <c r="P900" s="42"/>
      <c r="Q900" s="42"/>
      <c r="R900" s="42"/>
      <c r="S900" s="42"/>
      <c r="T900" s="42"/>
      <c r="U900" s="42"/>
      <c r="V900" s="42"/>
      <c r="W900" s="42"/>
      <c r="X900" s="42"/>
      <c r="Y900" s="42"/>
      <c r="Z900" s="42"/>
      <c r="AA900" s="42"/>
    </row>
    <row r="901">
      <c r="A901" s="36" t="str">
        <f>IF($B901="","",VLOOKUP($B901,DADOS!$C$2:$I1014,2,0))</f>
        <v/>
      </c>
      <c r="B901" s="37"/>
      <c r="C901" s="36"/>
      <c r="D901" s="38" t="str">
        <f>IF($B901="","",SUM(VLOOKUP($B901,DADOS!$C$2:$I1014,4,0)*$C901))</f>
        <v/>
      </c>
      <c r="E901" s="38" t="str">
        <f>IF($B901="","",SUM(VLOOKUP($B901,DADOS!$C$2:$I1014,6,0)*$C901))</f>
        <v/>
      </c>
      <c r="F901" s="39" t="str">
        <f>IF($E901="","",(VLOOKUP($B901,DADOS!$C$2:$I1014,7,0)))</f>
        <v/>
      </c>
      <c r="G901" s="40" t="str">
        <f t="shared" si="2"/>
        <v/>
      </c>
      <c r="H901" s="41"/>
      <c r="I901" s="42"/>
      <c r="J901" s="42"/>
      <c r="K901" s="42"/>
      <c r="L901" s="42"/>
      <c r="M901" s="42"/>
      <c r="N901" s="42"/>
      <c r="O901" s="42"/>
      <c r="P901" s="42"/>
      <c r="Q901" s="42"/>
      <c r="R901" s="42"/>
      <c r="S901" s="42"/>
      <c r="T901" s="42"/>
      <c r="U901" s="42"/>
      <c r="V901" s="42"/>
      <c r="W901" s="42"/>
      <c r="X901" s="42"/>
      <c r="Y901" s="42"/>
      <c r="Z901" s="42"/>
      <c r="AA901" s="42"/>
    </row>
    <row r="902">
      <c r="A902" s="36" t="str">
        <f>IF($B902="","",VLOOKUP($B902,DADOS!$C$2:$I1014,2,0))</f>
        <v/>
      </c>
      <c r="B902" s="37"/>
      <c r="C902" s="36"/>
      <c r="D902" s="38" t="str">
        <f>IF($B902="","",SUM(VLOOKUP($B902,DADOS!$C$2:$I1014,4,0)*$C902))</f>
        <v/>
      </c>
      <c r="E902" s="38" t="str">
        <f>IF($B902="","",SUM(VLOOKUP($B902,DADOS!$C$2:$I1014,6,0)*$C902))</f>
        <v/>
      </c>
      <c r="F902" s="39" t="str">
        <f>IF($E902="","",(VLOOKUP($B902,DADOS!$C$2:$I1014,7,0)))</f>
        <v/>
      </c>
      <c r="G902" s="40" t="str">
        <f t="shared" si="2"/>
        <v/>
      </c>
      <c r="H902" s="41"/>
      <c r="I902" s="42"/>
      <c r="J902" s="42"/>
      <c r="K902" s="42"/>
      <c r="L902" s="42"/>
      <c r="M902" s="42"/>
      <c r="N902" s="42"/>
      <c r="O902" s="42"/>
      <c r="P902" s="42"/>
      <c r="Q902" s="42"/>
      <c r="R902" s="42"/>
      <c r="S902" s="42"/>
      <c r="T902" s="42"/>
      <c r="U902" s="42"/>
      <c r="V902" s="42"/>
      <c r="W902" s="42"/>
      <c r="X902" s="42"/>
      <c r="Y902" s="42"/>
      <c r="Z902" s="42"/>
      <c r="AA902" s="42"/>
    </row>
    <row r="903">
      <c r="A903" s="36" t="str">
        <f>IF($B903="","",VLOOKUP($B903,DADOS!$C$2:$I1014,2,0))</f>
        <v/>
      </c>
      <c r="B903" s="37"/>
      <c r="C903" s="36"/>
      <c r="D903" s="38" t="str">
        <f>IF($B903="","",SUM(VLOOKUP($B903,DADOS!$C$2:$I1014,4,0)*$C903))</f>
        <v/>
      </c>
      <c r="E903" s="38" t="str">
        <f>IF($B903="","",SUM(VLOOKUP($B903,DADOS!$C$2:$I1014,6,0)*$C903))</f>
        <v/>
      </c>
      <c r="F903" s="39" t="str">
        <f>IF($E903="","",(VLOOKUP($B903,DADOS!$C$2:$I1014,7,0)))</f>
        <v/>
      </c>
      <c r="G903" s="40" t="str">
        <f t="shared" si="2"/>
        <v/>
      </c>
      <c r="H903" s="41"/>
      <c r="I903" s="42"/>
      <c r="J903" s="42"/>
      <c r="K903" s="42"/>
      <c r="L903" s="42"/>
      <c r="M903" s="42"/>
      <c r="N903" s="42"/>
      <c r="O903" s="42"/>
      <c r="P903" s="42"/>
      <c r="Q903" s="42"/>
      <c r="R903" s="42"/>
      <c r="S903" s="42"/>
      <c r="T903" s="42"/>
      <c r="U903" s="42"/>
      <c r="V903" s="42"/>
      <c r="W903" s="42"/>
      <c r="X903" s="42"/>
      <c r="Y903" s="42"/>
      <c r="Z903" s="42"/>
      <c r="AA903" s="42"/>
    </row>
    <row r="904">
      <c r="A904" s="36" t="str">
        <f>IF($B904="","",VLOOKUP($B904,DADOS!$C$2:$I1014,2,0))</f>
        <v/>
      </c>
      <c r="B904" s="37"/>
      <c r="C904" s="36"/>
      <c r="D904" s="38" t="str">
        <f>IF($B904="","",SUM(VLOOKUP($B904,DADOS!$C$2:$I1014,4,0)*$C904))</f>
        <v/>
      </c>
      <c r="E904" s="38" t="str">
        <f>IF($B904="","",SUM(VLOOKUP($B904,DADOS!$C$2:$I1014,6,0)*$C904))</f>
        <v/>
      </c>
      <c r="F904" s="39" t="str">
        <f>IF($E904="","",(VLOOKUP($B904,DADOS!$C$2:$I1014,7,0)))</f>
        <v/>
      </c>
      <c r="G904" s="40" t="str">
        <f t="shared" si="2"/>
        <v/>
      </c>
      <c r="H904" s="41"/>
      <c r="I904" s="42"/>
      <c r="J904" s="42"/>
      <c r="K904" s="42"/>
      <c r="L904" s="42"/>
      <c r="M904" s="42"/>
      <c r="N904" s="42"/>
      <c r="O904" s="42"/>
      <c r="P904" s="42"/>
      <c r="Q904" s="42"/>
      <c r="R904" s="42"/>
      <c r="S904" s="42"/>
      <c r="T904" s="42"/>
      <c r="U904" s="42"/>
      <c r="V904" s="42"/>
      <c r="W904" s="42"/>
      <c r="X904" s="42"/>
      <c r="Y904" s="42"/>
      <c r="Z904" s="42"/>
      <c r="AA904" s="42"/>
    </row>
    <row r="905">
      <c r="A905" s="36" t="str">
        <f>IF($B905="","",VLOOKUP($B905,DADOS!$C$2:$I1014,2,0))</f>
        <v/>
      </c>
      <c r="B905" s="37"/>
      <c r="C905" s="36"/>
      <c r="D905" s="38" t="str">
        <f>IF($B905="","",SUM(VLOOKUP($B905,DADOS!$C$2:$I1014,4,0)*$C905))</f>
        <v/>
      </c>
      <c r="E905" s="38" t="str">
        <f>IF($B905="","",SUM(VLOOKUP($B905,DADOS!$C$2:$I1014,6,0)*$C905))</f>
        <v/>
      </c>
      <c r="F905" s="39" t="str">
        <f>IF($E905="","",(VLOOKUP($B905,DADOS!$C$2:$I1014,7,0)))</f>
        <v/>
      </c>
      <c r="G905" s="40" t="str">
        <f t="shared" si="2"/>
        <v/>
      </c>
      <c r="H905" s="41"/>
      <c r="I905" s="42"/>
      <c r="J905" s="42"/>
      <c r="K905" s="42"/>
      <c r="L905" s="42"/>
      <c r="M905" s="42"/>
      <c r="N905" s="42"/>
      <c r="O905" s="42"/>
      <c r="P905" s="42"/>
      <c r="Q905" s="42"/>
      <c r="R905" s="42"/>
      <c r="S905" s="42"/>
      <c r="T905" s="42"/>
      <c r="U905" s="42"/>
      <c r="V905" s="42"/>
      <c r="W905" s="42"/>
      <c r="X905" s="42"/>
      <c r="Y905" s="42"/>
      <c r="Z905" s="42"/>
      <c r="AA905" s="42"/>
    </row>
    <row r="906">
      <c r="A906" s="36" t="str">
        <f>IF($B906="","",VLOOKUP($B906,DADOS!$C$2:$I1014,2,0))</f>
        <v/>
      </c>
      <c r="B906" s="37"/>
      <c r="C906" s="36"/>
      <c r="D906" s="38" t="str">
        <f>IF($B906="","",SUM(VLOOKUP($B906,DADOS!$C$2:$I1014,4,0)*$C906))</f>
        <v/>
      </c>
      <c r="E906" s="38" t="str">
        <f>IF($B906="","",SUM(VLOOKUP($B906,DADOS!$C$2:$I1014,6,0)*$C906))</f>
        <v/>
      </c>
      <c r="F906" s="39" t="str">
        <f>IF($E906="","",(VLOOKUP($B906,DADOS!$C$2:$I1014,7,0)))</f>
        <v/>
      </c>
      <c r="G906" s="40" t="str">
        <f t="shared" si="2"/>
        <v/>
      </c>
      <c r="H906" s="41"/>
      <c r="I906" s="42"/>
      <c r="J906" s="42"/>
      <c r="K906" s="42"/>
      <c r="L906" s="42"/>
      <c r="M906" s="42"/>
      <c r="N906" s="42"/>
      <c r="O906" s="42"/>
      <c r="P906" s="42"/>
      <c r="Q906" s="42"/>
      <c r="R906" s="42"/>
      <c r="S906" s="42"/>
      <c r="T906" s="42"/>
      <c r="U906" s="42"/>
      <c r="V906" s="42"/>
      <c r="W906" s="42"/>
      <c r="X906" s="42"/>
      <c r="Y906" s="42"/>
      <c r="Z906" s="42"/>
      <c r="AA906" s="42"/>
    </row>
    <row r="907">
      <c r="A907" s="36" t="str">
        <f>IF($B907="","",VLOOKUP($B907,DADOS!$C$2:$I1014,2,0))</f>
        <v/>
      </c>
      <c r="B907" s="37"/>
      <c r="C907" s="36"/>
      <c r="D907" s="38" t="str">
        <f>IF($B907="","",SUM(VLOOKUP($B907,DADOS!$C$2:$I1014,4,0)*$C907))</f>
        <v/>
      </c>
      <c r="E907" s="38" t="str">
        <f>IF($B907="","",SUM(VLOOKUP($B907,DADOS!$C$2:$I1014,6,0)*$C907))</f>
        <v/>
      </c>
      <c r="F907" s="39" t="str">
        <f>IF($E907="","",(VLOOKUP($B907,DADOS!$C$2:$I1014,7,0)))</f>
        <v/>
      </c>
      <c r="G907" s="40" t="str">
        <f t="shared" si="2"/>
        <v/>
      </c>
      <c r="H907" s="41"/>
      <c r="I907" s="42"/>
      <c r="J907" s="42"/>
      <c r="K907" s="42"/>
      <c r="L907" s="42"/>
      <c r="M907" s="42"/>
      <c r="N907" s="42"/>
      <c r="O907" s="42"/>
      <c r="P907" s="42"/>
      <c r="Q907" s="42"/>
      <c r="R907" s="42"/>
      <c r="S907" s="42"/>
      <c r="T907" s="42"/>
      <c r="U907" s="42"/>
      <c r="V907" s="42"/>
      <c r="W907" s="42"/>
      <c r="X907" s="42"/>
      <c r="Y907" s="42"/>
      <c r="Z907" s="42"/>
      <c r="AA907" s="42"/>
    </row>
    <row r="908">
      <c r="A908" s="36" t="str">
        <f>IF($B908="","",VLOOKUP($B908,DADOS!$C$2:$I1014,2,0))</f>
        <v/>
      </c>
      <c r="B908" s="37"/>
      <c r="C908" s="36"/>
      <c r="D908" s="38" t="str">
        <f>IF($B908="","",SUM(VLOOKUP($B908,DADOS!$C$2:$I1014,4,0)*$C908))</f>
        <v/>
      </c>
      <c r="E908" s="38" t="str">
        <f>IF($B908="","",SUM(VLOOKUP($B908,DADOS!$C$2:$I1014,6,0)*$C908))</f>
        <v/>
      </c>
      <c r="F908" s="39" t="str">
        <f>IF($E908="","",(VLOOKUP($B908,DADOS!$C$2:$I1014,7,0)))</f>
        <v/>
      </c>
      <c r="G908" s="40" t="str">
        <f t="shared" si="2"/>
        <v/>
      </c>
      <c r="H908" s="41"/>
      <c r="I908" s="42"/>
      <c r="J908" s="42"/>
      <c r="K908" s="42"/>
      <c r="L908" s="42"/>
      <c r="M908" s="42"/>
      <c r="N908" s="42"/>
      <c r="O908" s="42"/>
      <c r="P908" s="42"/>
      <c r="Q908" s="42"/>
      <c r="R908" s="42"/>
      <c r="S908" s="42"/>
      <c r="T908" s="42"/>
      <c r="U908" s="42"/>
      <c r="V908" s="42"/>
      <c r="W908" s="42"/>
      <c r="X908" s="42"/>
      <c r="Y908" s="42"/>
      <c r="Z908" s="42"/>
      <c r="AA908" s="42"/>
    </row>
    <row r="909">
      <c r="A909" s="36" t="str">
        <f>IF($B909="","",VLOOKUP($B909,DADOS!$C$2:$I1014,2,0))</f>
        <v/>
      </c>
      <c r="B909" s="37"/>
      <c r="C909" s="36"/>
      <c r="D909" s="38" t="str">
        <f>IF($B909="","",SUM(VLOOKUP($B909,DADOS!$C$2:$I1014,4,0)*$C909))</f>
        <v/>
      </c>
      <c r="E909" s="38" t="str">
        <f>IF($B909="","",SUM(VLOOKUP($B909,DADOS!$C$2:$I1014,6,0)*$C909))</f>
        <v/>
      </c>
      <c r="F909" s="39" t="str">
        <f>IF($E909="","",(VLOOKUP($B909,DADOS!$C$2:$I1014,7,0)))</f>
        <v/>
      </c>
      <c r="G909" s="40" t="str">
        <f t="shared" si="2"/>
        <v/>
      </c>
      <c r="H909" s="41"/>
      <c r="I909" s="42"/>
      <c r="J909" s="42"/>
      <c r="K909" s="42"/>
      <c r="L909" s="42"/>
      <c r="M909" s="42"/>
      <c r="N909" s="42"/>
      <c r="O909" s="42"/>
      <c r="P909" s="42"/>
      <c r="Q909" s="42"/>
      <c r="R909" s="42"/>
      <c r="S909" s="42"/>
      <c r="T909" s="42"/>
      <c r="U909" s="42"/>
      <c r="V909" s="42"/>
      <c r="W909" s="42"/>
      <c r="X909" s="42"/>
      <c r="Y909" s="42"/>
      <c r="Z909" s="42"/>
      <c r="AA909" s="42"/>
    </row>
    <row r="910">
      <c r="A910" s="36" t="str">
        <f>IF($B910="","",VLOOKUP($B910,DADOS!$C$2:$I1014,2,0))</f>
        <v/>
      </c>
      <c r="B910" s="37"/>
      <c r="C910" s="36"/>
      <c r="D910" s="38" t="str">
        <f>IF($B910="","",SUM(VLOOKUP($B910,DADOS!$C$2:$I1014,4,0)*$C910))</f>
        <v/>
      </c>
      <c r="E910" s="38" t="str">
        <f>IF($B910="","",SUM(VLOOKUP($B910,DADOS!$C$2:$I1014,6,0)*$C910))</f>
        <v/>
      </c>
      <c r="F910" s="39" t="str">
        <f>IF($E910="","",(VLOOKUP($B910,DADOS!$C$2:$I1014,7,0)))</f>
        <v/>
      </c>
      <c r="G910" s="40" t="str">
        <f t="shared" si="2"/>
        <v/>
      </c>
      <c r="H910" s="41"/>
      <c r="I910" s="42"/>
      <c r="J910" s="42"/>
      <c r="K910" s="42"/>
      <c r="L910" s="42"/>
      <c r="M910" s="42"/>
      <c r="N910" s="42"/>
      <c r="O910" s="42"/>
      <c r="P910" s="42"/>
      <c r="Q910" s="42"/>
      <c r="R910" s="42"/>
      <c r="S910" s="42"/>
      <c r="T910" s="42"/>
      <c r="U910" s="42"/>
      <c r="V910" s="42"/>
      <c r="W910" s="42"/>
      <c r="X910" s="42"/>
      <c r="Y910" s="42"/>
      <c r="Z910" s="42"/>
      <c r="AA910" s="42"/>
    </row>
    <row r="911">
      <c r="A911" s="36" t="str">
        <f>IF($B911="","",VLOOKUP($B911,DADOS!$C$2:$I1014,2,0))</f>
        <v/>
      </c>
      <c r="B911" s="37"/>
      <c r="C911" s="36"/>
      <c r="D911" s="38" t="str">
        <f>IF($B911="","",SUM(VLOOKUP($B911,DADOS!$C$2:$I1014,4,0)*$C911))</f>
        <v/>
      </c>
      <c r="E911" s="38" t="str">
        <f>IF($B911="","",SUM(VLOOKUP($B911,DADOS!$C$2:$I1014,6,0)*$C911))</f>
        <v/>
      </c>
      <c r="F911" s="39" t="str">
        <f>IF($E911="","",(VLOOKUP($B911,DADOS!$C$2:$I1014,7,0)))</f>
        <v/>
      </c>
      <c r="G911" s="40" t="str">
        <f t="shared" si="2"/>
        <v/>
      </c>
      <c r="H911" s="41"/>
      <c r="I911" s="42"/>
      <c r="J911" s="42"/>
      <c r="K911" s="42"/>
      <c r="L911" s="42"/>
      <c r="M911" s="42"/>
      <c r="N911" s="42"/>
      <c r="O911" s="42"/>
      <c r="P911" s="42"/>
      <c r="Q911" s="42"/>
      <c r="R911" s="42"/>
      <c r="S911" s="42"/>
      <c r="T911" s="42"/>
      <c r="U911" s="42"/>
      <c r="V911" s="42"/>
      <c r="W911" s="42"/>
      <c r="X911" s="42"/>
      <c r="Y911" s="42"/>
      <c r="Z911" s="42"/>
      <c r="AA911" s="42"/>
    </row>
    <row r="912">
      <c r="A912" s="36" t="str">
        <f>IF($B912="","",VLOOKUP($B912,DADOS!$C$2:$I1014,2,0))</f>
        <v/>
      </c>
      <c r="B912" s="37"/>
      <c r="C912" s="36"/>
      <c r="D912" s="38" t="str">
        <f>IF($B912="","",SUM(VLOOKUP($B912,DADOS!$C$2:$I1014,4,0)*$C912))</f>
        <v/>
      </c>
      <c r="E912" s="38" t="str">
        <f>IF($B912="","",SUM(VLOOKUP($B912,DADOS!$C$2:$I1014,6,0)*$C912))</f>
        <v/>
      </c>
      <c r="F912" s="39" t="str">
        <f>IF($E912="","",(VLOOKUP($B912,DADOS!$C$2:$I1014,7,0)))</f>
        <v/>
      </c>
      <c r="G912" s="40" t="str">
        <f t="shared" si="2"/>
        <v/>
      </c>
      <c r="H912" s="41"/>
      <c r="I912" s="42"/>
      <c r="J912" s="42"/>
      <c r="K912" s="42"/>
      <c r="L912" s="42"/>
      <c r="M912" s="42"/>
      <c r="N912" s="42"/>
      <c r="O912" s="42"/>
      <c r="P912" s="42"/>
      <c r="Q912" s="42"/>
      <c r="R912" s="42"/>
      <c r="S912" s="42"/>
      <c r="T912" s="42"/>
      <c r="U912" s="42"/>
      <c r="V912" s="42"/>
      <c r="W912" s="42"/>
      <c r="X912" s="42"/>
      <c r="Y912" s="42"/>
      <c r="Z912" s="42"/>
      <c r="AA912" s="42"/>
    </row>
    <row r="913">
      <c r="A913" s="36" t="str">
        <f>IF($B913="","",VLOOKUP($B913,DADOS!$C$2:$I1014,2,0))</f>
        <v/>
      </c>
      <c r="B913" s="37"/>
      <c r="C913" s="36"/>
      <c r="D913" s="38" t="str">
        <f>IF($B913="","",SUM(VLOOKUP($B913,DADOS!$C$2:$I1014,4,0)*$C913))</f>
        <v/>
      </c>
      <c r="E913" s="38" t="str">
        <f>IF($B913="","",SUM(VLOOKUP($B913,DADOS!$C$2:$I1014,6,0)*$C913))</f>
        <v/>
      </c>
      <c r="F913" s="39" t="str">
        <f>IF($E913="","",(VLOOKUP($B913,DADOS!$C$2:$I1014,7,0)))</f>
        <v/>
      </c>
      <c r="G913" s="40" t="str">
        <f t="shared" si="2"/>
        <v/>
      </c>
      <c r="H913" s="41"/>
      <c r="I913" s="42"/>
      <c r="J913" s="42"/>
      <c r="K913" s="42"/>
      <c r="L913" s="42"/>
      <c r="M913" s="42"/>
      <c r="N913" s="42"/>
      <c r="O913" s="42"/>
      <c r="P913" s="42"/>
      <c r="Q913" s="42"/>
      <c r="R913" s="42"/>
      <c r="S913" s="42"/>
      <c r="T913" s="42"/>
      <c r="U913" s="42"/>
      <c r="V913" s="42"/>
      <c r="W913" s="42"/>
      <c r="X913" s="42"/>
      <c r="Y913" s="42"/>
      <c r="Z913" s="42"/>
      <c r="AA913" s="42"/>
    </row>
    <row r="914">
      <c r="A914" s="36" t="str">
        <f>IF($B914="","",VLOOKUP($B914,DADOS!$C$2:$I1014,2,0))</f>
        <v/>
      </c>
      <c r="B914" s="37"/>
      <c r="C914" s="36"/>
      <c r="D914" s="38" t="str">
        <f>IF($B914="","",SUM(VLOOKUP($B914,DADOS!$C$2:$I1014,4,0)*$C914))</f>
        <v/>
      </c>
      <c r="E914" s="38" t="str">
        <f>IF($B914="","",SUM(VLOOKUP($B914,DADOS!$C$2:$I1014,6,0)*$C914))</f>
        <v/>
      </c>
      <c r="F914" s="39" t="str">
        <f>IF($E914="","",(VLOOKUP($B914,DADOS!$C$2:$I1014,7,0)))</f>
        <v/>
      </c>
      <c r="G914" s="40" t="str">
        <f t="shared" si="2"/>
        <v/>
      </c>
      <c r="H914" s="41"/>
      <c r="I914" s="42"/>
      <c r="J914" s="42"/>
      <c r="K914" s="42"/>
      <c r="L914" s="42"/>
      <c r="M914" s="42"/>
      <c r="N914" s="42"/>
      <c r="O914" s="42"/>
      <c r="P914" s="42"/>
      <c r="Q914" s="42"/>
      <c r="R914" s="42"/>
      <c r="S914" s="42"/>
      <c r="T914" s="42"/>
      <c r="U914" s="42"/>
      <c r="V914" s="42"/>
      <c r="W914" s="42"/>
      <c r="X914" s="42"/>
      <c r="Y914" s="42"/>
      <c r="Z914" s="42"/>
      <c r="AA914" s="42"/>
    </row>
    <row r="915">
      <c r="A915" s="36" t="str">
        <f>IF($B915="","",VLOOKUP($B915,DADOS!$C$2:$I1014,2,0))</f>
        <v/>
      </c>
      <c r="B915" s="37"/>
      <c r="C915" s="36"/>
      <c r="D915" s="38" t="str">
        <f>IF($B915="","",SUM(VLOOKUP($B915,DADOS!$C$2:$I1014,4,0)*$C915))</f>
        <v/>
      </c>
      <c r="E915" s="38" t="str">
        <f>IF($B915="","",SUM(VLOOKUP($B915,DADOS!$C$2:$I1014,6,0)*$C915))</f>
        <v/>
      </c>
      <c r="F915" s="39" t="str">
        <f>IF($E915="","",(VLOOKUP($B915,DADOS!$C$2:$I1014,7,0)))</f>
        <v/>
      </c>
      <c r="G915" s="40" t="str">
        <f t="shared" si="2"/>
        <v/>
      </c>
      <c r="H915" s="41"/>
      <c r="I915" s="42"/>
      <c r="J915" s="42"/>
      <c r="K915" s="42"/>
      <c r="L915" s="42"/>
      <c r="M915" s="42"/>
      <c r="N915" s="42"/>
      <c r="O915" s="42"/>
      <c r="P915" s="42"/>
      <c r="Q915" s="42"/>
      <c r="R915" s="42"/>
      <c r="S915" s="42"/>
      <c r="T915" s="42"/>
      <c r="U915" s="42"/>
      <c r="V915" s="42"/>
      <c r="W915" s="42"/>
      <c r="X915" s="42"/>
      <c r="Y915" s="42"/>
      <c r="Z915" s="42"/>
      <c r="AA915" s="42"/>
    </row>
    <row r="916">
      <c r="A916" s="36" t="str">
        <f>IF($B916="","",VLOOKUP($B916,DADOS!$C$2:$I1014,2,0))</f>
        <v/>
      </c>
      <c r="B916" s="37"/>
      <c r="C916" s="36"/>
      <c r="D916" s="38" t="str">
        <f>IF($B916="","",SUM(VLOOKUP($B916,DADOS!$C$2:$I1014,4,0)*$C916))</f>
        <v/>
      </c>
      <c r="E916" s="38" t="str">
        <f>IF($B916="","",SUM(VLOOKUP($B916,DADOS!$C$2:$I1014,6,0)*$C916))</f>
        <v/>
      </c>
      <c r="F916" s="39" t="str">
        <f>IF($E916="","",(VLOOKUP($B916,DADOS!$C$2:$I1014,7,0)))</f>
        <v/>
      </c>
      <c r="G916" s="40" t="str">
        <f t="shared" si="2"/>
        <v/>
      </c>
      <c r="H916" s="41"/>
      <c r="I916" s="42"/>
      <c r="J916" s="42"/>
      <c r="K916" s="42"/>
      <c r="L916" s="42"/>
      <c r="M916" s="42"/>
      <c r="N916" s="42"/>
      <c r="O916" s="42"/>
      <c r="P916" s="42"/>
      <c r="Q916" s="42"/>
      <c r="R916" s="42"/>
      <c r="S916" s="42"/>
      <c r="T916" s="42"/>
      <c r="U916" s="42"/>
      <c r="V916" s="42"/>
      <c r="W916" s="42"/>
      <c r="X916" s="42"/>
      <c r="Y916" s="42"/>
      <c r="Z916" s="42"/>
      <c r="AA916" s="42"/>
    </row>
    <row r="917">
      <c r="A917" s="36" t="str">
        <f>IF($B917="","",VLOOKUP($B917,DADOS!$C$2:$I1014,2,0))</f>
        <v/>
      </c>
      <c r="B917" s="37"/>
      <c r="C917" s="36"/>
      <c r="D917" s="38" t="str">
        <f>IF($B917="","",SUM(VLOOKUP($B917,DADOS!$C$2:$I1014,4,0)*$C917))</f>
        <v/>
      </c>
      <c r="E917" s="38" t="str">
        <f>IF($B917="","",SUM(VLOOKUP($B917,DADOS!$C$2:$I1014,6,0)*$C917))</f>
        <v/>
      </c>
      <c r="F917" s="39" t="str">
        <f>IF($E917="","",(VLOOKUP($B917,DADOS!$C$2:$I1014,7,0)))</f>
        <v/>
      </c>
      <c r="G917" s="40" t="str">
        <f t="shared" si="2"/>
        <v/>
      </c>
      <c r="H917" s="41"/>
      <c r="I917" s="42"/>
      <c r="J917" s="42"/>
      <c r="K917" s="42"/>
      <c r="L917" s="42"/>
      <c r="M917" s="42"/>
      <c r="N917" s="42"/>
      <c r="O917" s="42"/>
      <c r="P917" s="42"/>
      <c r="Q917" s="42"/>
      <c r="R917" s="42"/>
      <c r="S917" s="42"/>
      <c r="T917" s="42"/>
      <c r="U917" s="42"/>
      <c r="V917" s="42"/>
      <c r="W917" s="42"/>
      <c r="X917" s="42"/>
      <c r="Y917" s="42"/>
      <c r="Z917" s="42"/>
      <c r="AA917" s="42"/>
    </row>
    <row r="918">
      <c r="A918" s="36" t="str">
        <f>IF($B918="","",VLOOKUP($B918,DADOS!$C$2:$I1014,2,0))</f>
        <v/>
      </c>
      <c r="B918" s="37"/>
      <c r="C918" s="36"/>
      <c r="D918" s="38" t="str">
        <f>IF($B918="","",SUM(VLOOKUP($B918,DADOS!$C$2:$I1014,4,0)*$C918))</f>
        <v/>
      </c>
      <c r="E918" s="38" t="str">
        <f>IF($B918="","",SUM(VLOOKUP($B918,DADOS!$C$2:$I1014,6,0)*$C918))</f>
        <v/>
      </c>
      <c r="F918" s="39" t="str">
        <f>IF($E918="","",(VLOOKUP($B918,DADOS!$C$2:$I1014,7,0)))</f>
        <v/>
      </c>
      <c r="G918" s="40" t="str">
        <f t="shared" si="2"/>
        <v/>
      </c>
      <c r="H918" s="41"/>
      <c r="I918" s="42"/>
      <c r="J918" s="42"/>
      <c r="K918" s="42"/>
      <c r="L918" s="42"/>
      <c r="M918" s="42"/>
      <c r="N918" s="42"/>
      <c r="O918" s="42"/>
      <c r="P918" s="42"/>
      <c r="Q918" s="42"/>
      <c r="R918" s="42"/>
      <c r="S918" s="42"/>
      <c r="T918" s="42"/>
      <c r="U918" s="42"/>
      <c r="V918" s="42"/>
      <c r="W918" s="42"/>
      <c r="X918" s="42"/>
      <c r="Y918" s="42"/>
      <c r="Z918" s="42"/>
      <c r="AA918" s="42"/>
    </row>
    <row r="919">
      <c r="A919" s="36" t="str">
        <f>IF($B919="","",VLOOKUP($B919,DADOS!$C$2:$I1014,2,0))</f>
        <v/>
      </c>
      <c r="B919" s="37"/>
      <c r="C919" s="36"/>
      <c r="D919" s="38" t="str">
        <f>IF($B919="","",SUM(VLOOKUP($B919,DADOS!$C$2:$I1014,4,0)*$C919))</f>
        <v/>
      </c>
      <c r="E919" s="38" t="str">
        <f>IF($B919="","",SUM(VLOOKUP($B919,DADOS!$C$2:$I1014,6,0)*$C919))</f>
        <v/>
      </c>
      <c r="F919" s="39" t="str">
        <f>IF($E919="","",(VLOOKUP($B919,DADOS!$C$2:$I1014,7,0)))</f>
        <v/>
      </c>
      <c r="G919" s="40" t="str">
        <f t="shared" si="2"/>
        <v/>
      </c>
      <c r="H919" s="41"/>
      <c r="I919" s="42"/>
      <c r="J919" s="42"/>
      <c r="K919" s="42"/>
      <c r="L919" s="42"/>
      <c r="M919" s="42"/>
      <c r="N919" s="42"/>
      <c r="O919" s="42"/>
      <c r="P919" s="42"/>
      <c r="Q919" s="42"/>
      <c r="R919" s="42"/>
      <c r="S919" s="42"/>
      <c r="T919" s="42"/>
      <c r="U919" s="42"/>
      <c r="V919" s="42"/>
      <c r="W919" s="42"/>
      <c r="X919" s="42"/>
      <c r="Y919" s="42"/>
      <c r="Z919" s="42"/>
      <c r="AA919" s="42"/>
    </row>
    <row r="920">
      <c r="A920" s="36" t="str">
        <f>IF($B920="","",VLOOKUP($B920,DADOS!$C$2:$I1014,2,0))</f>
        <v/>
      </c>
      <c r="B920" s="37"/>
      <c r="C920" s="36"/>
      <c r="D920" s="38" t="str">
        <f>IF($B920="","",SUM(VLOOKUP($B920,DADOS!$C$2:$I1014,4,0)*$C920))</f>
        <v/>
      </c>
      <c r="E920" s="38" t="str">
        <f>IF($B920="","",SUM(VLOOKUP($B920,DADOS!$C$2:$I1014,6,0)*$C920))</f>
        <v/>
      </c>
      <c r="F920" s="39" t="str">
        <f>IF($E920="","",(VLOOKUP($B920,DADOS!$C$2:$I1014,7,0)))</f>
        <v/>
      </c>
      <c r="G920" s="40" t="str">
        <f t="shared" si="2"/>
        <v/>
      </c>
      <c r="H920" s="41"/>
      <c r="I920" s="42"/>
      <c r="J920" s="42"/>
      <c r="K920" s="42"/>
      <c r="L920" s="42"/>
      <c r="M920" s="42"/>
      <c r="N920" s="42"/>
      <c r="O920" s="42"/>
      <c r="P920" s="42"/>
      <c r="Q920" s="42"/>
      <c r="R920" s="42"/>
      <c r="S920" s="42"/>
      <c r="T920" s="42"/>
      <c r="U920" s="42"/>
      <c r="V920" s="42"/>
      <c r="W920" s="42"/>
      <c r="X920" s="42"/>
      <c r="Y920" s="42"/>
      <c r="Z920" s="42"/>
      <c r="AA920" s="42"/>
    </row>
    <row r="921">
      <c r="A921" s="36" t="str">
        <f>IF($B921="","",VLOOKUP($B921,DADOS!$C$2:$I1014,2,0))</f>
        <v/>
      </c>
      <c r="B921" s="37"/>
      <c r="C921" s="36"/>
      <c r="D921" s="38" t="str">
        <f>IF($B921="","",SUM(VLOOKUP($B921,DADOS!$C$2:$I1014,4,0)*$C921))</f>
        <v/>
      </c>
      <c r="E921" s="38" t="str">
        <f>IF($B921="","",SUM(VLOOKUP($B921,DADOS!$C$2:$I1014,6,0)*$C921))</f>
        <v/>
      </c>
      <c r="F921" s="39" t="str">
        <f>IF($E921="","",(VLOOKUP($B921,DADOS!$C$2:$I1014,7,0)))</f>
        <v/>
      </c>
      <c r="G921" s="40" t="str">
        <f t="shared" si="2"/>
        <v/>
      </c>
      <c r="H921" s="41"/>
      <c r="I921" s="42"/>
      <c r="J921" s="42"/>
      <c r="K921" s="42"/>
      <c r="L921" s="42"/>
      <c r="M921" s="42"/>
      <c r="N921" s="42"/>
      <c r="O921" s="42"/>
      <c r="P921" s="42"/>
      <c r="Q921" s="42"/>
      <c r="R921" s="42"/>
      <c r="S921" s="42"/>
      <c r="T921" s="42"/>
      <c r="U921" s="42"/>
      <c r="V921" s="42"/>
      <c r="W921" s="42"/>
      <c r="X921" s="42"/>
      <c r="Y921" s="42"/>
      <c r="Z921" s="42"/>
      <c r="AA921" s="42"/>
    </row>
    <row r="922">
      <c r="A922" s="36" t="str">
        <f>IF($B922="","",VLOOKUP($B922,DADOS!$C$2:$I1014,2,0))</f>
        <v/>
      </c>
      <c r="B922" s="37"/>
      <c r="C922" s="36"/>
      <c r="D922" s="38" t="str">
        <f>IF($B922="","",SUM(VLOOKUP($B922,DADOS!$C$2:$I1014,4,0)*$C922))</f>
        <v/>
      </c>
      <c r="E922" s="38" t="str">
        <f>IF($B922="","",SUM(VLOOKUP($B922,DADOS!$C$2:$I1014,6,0)*$C922))</f>
        <v/>
      </c>
      <c r="F922" s="39" t="str">
        <f>IF($E922="","",(VLOOKUP($B922,DADOS!$C$2:$I1014,7,0)))</f>
        <v/>
      </c>
      <c r="G922" s="40" t="str">
        <f t="shared" si="2"/>
        <v/>
      </c>
      <c r="H922" s="41"/>
      <c r="I922" s="42"/>
      <c r="J922" s="42"/>
      <c r="K922" s="42"/>
      <c r="L922" s="42"/>
      <c r="M922" s="42"/>
      <c r="N922" s="42"/>
      <c r="O922" s="42"/>
      <c r="P922" s="42"/>
      <c r="Q922" s="42"/>
      <c r="R922" s="42"/>
      <c r="S922" s="42"/>
      <c r="T922" s="42"/>
      <c r="U922" s="42"/>
      <c r="V922" s="42"/>
      <c r="W922" s="42"/>
      <c r="X922" s="42"/>
      <c r="Y922" s="42"/>
      <c r="Z922" s="42"/>
      <c r="AA922" s="42"/>
    </row>
    <row r="923">
      <c r="A923" s="36" t="str">
        <f>IF($B923="","",VLOOKUP($B923,DADOS!$C$2:$I1014,2,0))</f>
        <v/>
      </c>
      <c r="B923" s="37"/>
      <c r="C923" s="36"/>
      <c r="D923" s="38" t="str">
        <f>IF($B923="","",SUM(VLOOKUP($B923,DADOS!$C$2:$I1014,4,0)*$C923))</f>
        <v/>
      </c>
      <c r="E923" s="38" t="str">
        <f>IF($B923="","",SUM(VLOOKUP($B923,DADOS!$C$2:$I1014,6,0)*$C923))</f>
        <v/>
      </c>
      <c r="F923" s="39" t="str">
        <f>IF($E923="","",(VLOOKUP($B923,DADOS!$C$2:$I1014,7,0)))</f>
        <v/>
      </c>
      <c r="G923" s="40" t="str">
        <f t="shared" si="2"/>
        <v/>
      </c>
      <c r="H923" s="41"/>
      <c r="I923" s="42"/>
      <c r="J923" s="42"/>
      <c r="K923" s="42"/>
      <c r="L923" s="42"/>
      <c r="M923" s="42"/>
      <c r="N923" s="42"/>
      <c r="O923" s="42"/>
      <c r="P923" s="42"/>
      <c r="Q923" s="42"/>
      <c r="R923" s="42"/>
      <c r="S923" s="42"/>
      <c r="T923" s="42"/>
      <c r="U923" s="42"/>
      <c r="V923" s="42"/>
      <c r="W923" s="42"/>
      <c r="X923" s="42"/>
      <c r="Y923" s="42"/>
      <c r="Z923" s="42"/>
      <c r="AA923" s="42"/>
    </row>
    <row r="924">
      <c r="A924" s="36" t="str">
        <f>IF($B924="","",VLOOKUP($B924,DADOS!$C$2:$I1014,2,0))</f>
        <v/>
      </c>
      <c r="B924" s="37"/>
      <c r="C924" s="36"/>
      <c r="D924" s="38" t="str">
        <f>IF($B924="","",SUM(VLOOKUP($B924,DADOS!$C$2:$I1014,4,0)*$C924))</f>
        <v/>
      </c>
      <c r="E924" s="38" t="str">
        <f>IF($B924="","",SUM(VLOOKUP($B924,DADOS!$C$2:$I1014,6,0)*$C924))</f>
        <v/>
      </c>
      <c r="F924" s="39" t="str">
        <f>IF($E924="","",(VLOOKUP($B924,DADOS!$C$2:$I1014,7,0)))</f>
        <v/>
      </c>
      <c r="G924" s="40" t="str">
        <f t="shared" si="2"/>
        <v/>
      </c>
      <c r="H924" s="41"/>
      <c r="I924" s="42"/>
      <c r="J924" s="42"/>
      <c r="K924" s="42"/>
      <c r="L924" s="42"/>
      <c r="M924" s="42"/>
      <c r="N924" s="42"/>
      <c r="O924" s="42"/>
      <c r="P924" s="42"/>
      <c r="Q924" s="42"/>
      <c r="R924" s="42"/>
      <c r="S924" s="42"/>
      <c r="T924" s="42"/>
      <c r="U924" s="42"/>
      <c r="V924" s="42"/>
      <c r="W924" s="42"/>
      <c r="X924" s="42"/>
      <c r="Y924" s="42"/>
      <c r="Z924" s="42"/>
      <c r="AA924" s="42"/>
    </row>
    <row r="925">
      <c r="A925" s="36" t="str">
        <f>IF($B925="","",VLOOKUP($B925,DADOS!$C$2:$I1014,2,0))</f>
        <v/>
      </c>
      <c r="B925" s="37"/>
      <c r="C925" s="36"/>
      <c r="D925" s="38" t="str">
        <f>IF($B925="","",SUM(VLOOKUP($B925,DADOS!$C$2:$I1014,4,0)*$C925))</f>
        <v/>
      </c>
      <c r="E925" s="38" t="str">
        <f>IF($B925="","",SUM(VLOOKUP($B925,DADOS!$C$2:$I1014,6,0)*$C925))</f>
        <v/>
      </c>
      <c r="F925" s="39" t="str">
        <f>IF($E925="","",(VLOOKUP($B925,DADOS!$C$2:$I1014,7,0)))</f>
        <v/>
      </c>
      <c r="G925" s="40" t="str">
        <f t="shared" si="2"/>
        <v/>
      </c>
      <c r="H925" s="41"/>
      <c r="I925" s="42"/>
      <c r="J925" s="42"/>
      <c r="K925" s="42"/>
      <c r="L925" s="42"/>
      <c r="M925" s="42"/>
      <c r="N925" s="42"/>
      <c r="O925" s="42"/>
      <c r="P925" s="42"/>
      <c r="Q925" s="42"/>
      <c r="R925" s="42"/>
      <c r="S925" s="42"/>
      <c r="T925" s="42"/>
      <c r="U925" s="42"/>
      <c r="V925" s="42"/>
      <c r="W925" s="42"/>
      <c r="X925" s="42"/>
      <c r="Y925" s="42"/>
      <c r="Z925" s="42"/>
      <c r="AA925" s="42"/>
    </row>
    <row r="926">
      <c r="A926" s="36" t="str">
        <f>IF($B926="","",VLOOKUP($B926,DADOS!$C$2:$I1014,2,0))</f>
        <v/>
      </c>
      <c r="B926" s="37"/>
      <c r="C926" s="36"/>
      <c r="D926" s="38" t="str">
        <f>IF($B926="","",SUM(VLOOKUP($B926,DADOS!$C$2:$I1014,4,0)*$C926))</f>
        <v/>
      </c>
      <c r="E926" s="38" t="str">
        <f>IF($B926="","",SUM(VLOOKUP($B926,DADOS!$C$2:$I1014,6,0)*$C926))</f>
        <v/>
      </c>
      <c r="F926" s="39" t="str">
        <f>IF($E926="","",(VLOOKUP($B926,DADOS!$C$2:$I1014,7,0)))</f>
        <v/>
      </c>
      <c r="G926" s="40" t="str">
        <f t="shared" si="2"/>
        <v/>
      </c>
      <c r="H926" s="41"/>
      <c r="I926" s="42"/>
      <c r="J926" s="42"/>
      <c r="K926" s="42"/>
      <c r="L926" s="42"/>
      <c r="M926" s="42"/>
      <c r="N926" s="42"/>
      <c r="O926" s="42"/>
      <c r="P926" s="42"/>
      <c r="Q926" s="42"/>
      <c r="R926" s="42"/>
      <c r="S926" s="42"/>
      <c r="T926" s="42"/>
      <c r="U926" s="42"/>
      <c r="V926" s="42"/>
      <c r="W926" s="42"/>
      <c r="X926" s="42"/>
      <c r="Y926" s="42"/>
      <c r="Z926" s="42"/>
      <c r="AA926" s="42"/>
    </row>
    <row r="927">
      <c r="A927" s="36" t="str">
        <f>IF($B927="","",VLOOKUP($B927,DADOS!$C$2:$I1014,2,0))</f>
        <v/>
      </c>
      <c r="B927" s="37"/>
      <c r="C927" s="36"/>
      <c r="D927" s="38" t="str">
        <f>IF($B927="","",SUM(VLOOKUP($B927,DADOS!$C$2:$I1014,4,0)*$C927))</f>
        <v/>
      </c>
      <c r="E927" s="38" t="str">
        <f>IF($B927="","",SUM(VLOOKUP($B927,DADOS!$C$2:$I1014,6,0)*$C927))</f>
        <v/>
      </c>
      <c r="F927" s="39" t="str">
        <f>IF($E927="","",(VLOOKUP($B927,DADOS!$C$2:$I1014,7,0)))</f>
        <v/>
      </c>
      <c r="G927" s="40" t="str">
        <f t="shared" si="2"/>
        <v/>
      </c>
      <c r="H927" s="41"/>
      <c r="I927" s="42"/>
      <c r="J927" s="42"/>
      <c r="K927" s="42"/>
      <c r="L927" s="42"/>
      <c r="M927" s="42"/>
      <c r="N927" s="42"/>
      <c r="O927" s="42"/>
      <c r="P927" s="42"/>
      <c r="Q927" s="42"/>
      <c r="R927" s="42"/>
      <c r="S927" s="42"/>
      <c r="T927" s="42"/>
      <c r="U927" s="42"/>
      <c r="V927" s="42"/>
      <c r="W927" s="42"/>
      <c r="X927" s="42"/>
      <c r="Y927" s="42"/>
      <c r="Z927" s="42"/>
      <c r="AA927" s="42"/>
    </row>
    <row r="928">
      <c r="A928" s="36" t="str">
        <f>IF($B928="","",VLOOKUP($B928,DADOS!$C$2:$I1014,2,0))</f>
        <v/>
      </c>
      <c r="B928" s="37"/>
      <c r="C928" s="36"/>
      <c r="D928" s="38" t="str">
        <f>IF($B928="","",SUM(VLOOKUP($B928,DADOS!$C$2:$I1014,4,0)*$C928))</f>
        <v/>
      </c>
      <c r="E928" s="38" t="str">
        <f>IF($B928="","",SUM(VLOOKUP($B928,DADOS!$C$2:$I1014,6,0)*$C928))</f>
        <v/>
      </c>
      <c r="F928" s="39" t="str">
        <f>IF($E928="","",(VLOOKUP($B928,DADOS!$C$2:$I1014,7,0)))</f>
        <v/>
      </c>
      <c r="G928" s="40" t="str">
        <f t="shared" si="2"/>
        <v/>
      </c>
      <c r="H928" s="41"/>
      <c r="I928" s="42"/>
      <c r="J928" s="42"/>
      <c r="K928" s="42"/>
      <c r="L928" s="42"/>
      <c r="M928" s="42"/>
      <c r="N928" s="42"/>
      <c r="O928" s="42"/>
      <c r="P928" s="42"/>
      <c r="Q928" s="42"/>
      <c r="R928" s="42"/>
      <c r="S928" s="42"/>
      <c r="T928" s="42"/>
      <c r="U928" s="42"/>
      <c r="V928" s="42"/>
      <c r="W928" s="42"/>
      <c r="X928" s="42"/>
      <c r="Y928" s="42"/>
      <c r="Z928" s="42"/>
      <c r="AA928" s="42"/>
    </row>
    <row r="929">
      <c r="A929" s="36" t="str">
        <f>IF($B929="","",VLOOKUP($B929,DADOS!$C$2:$I1014,2,0))</f>
        <v/>
      </c>
      <c r="B929" s="37"/>
      <c r="C929" s="36"/>
      <c r="D929" s="38" t="str">
        <f>IF($B929="","",SUM(VLOOKUP($B929,DADOS!$C$2:$I1014,4,0)*$C929))</f>
        <v/>
      </c>
      <c r="E929" s="38" t="str">
        <f>IF($B929="","",SUM(VLOOKUP($B929,DADOS!$C$2:$I1014,6,0)*$C929))</f>
        <v/>
      </c>
      <c r="F929" s="39" t="str">
        <f>IF($E929="","",(VLOOKUP($B929,DADOS!$C$2:$I1014,7,0)))</f>
        <v/>
      </c>
      <c r="G929" s="40" t="str">
        <f t="shared" si="2"/>
        <v/>
      </c>
      <c r="H929" s="41"/>
      <c r="I929" s="42"/>
      <c r="J929" s="42"/>
      <c r="K929" s="42"/>
      <c r="L929" s="42"/>
      <c r="M929" s="42"/>
      <c r="N929" s="42"/>
      <c r="O929" s="42"/>
      <c r="P929" s="42"/>
      <c r="Q929" s="42"/>
      <c r="R929" s="42"/>
      <c r="S929" s="42"/>
      <c r="T929" s="42"/>
      <c r="U929" s="42"/>
      <c r="V929" s="42"/>
      <c r="W929" s="42"/>
      <c r="X929" s="42"/>
      <c r="Y929" s="42"/>
      <c r="Z929" s="42"/>
      <c r="AA929" s="42"/>
    </row>
    <row r="930">
      <c r="A930" s="36" t="str">
        <f>IF($B930="","",VLOOKUP($B930,DADOS!$C$2:$I1014,2,0))</f>
        <v/>
      </c>
      <c r="B930" s="37"/>
      <c r="C930" s="36"/>
      <c r="D930" s="38" t="str">
        <f>IF($B930="","",SUM(VLOOKUP($B930,DADOS!$C$2:$I1014,4,0)*$C930))</f>
        <v/>
      </c>
      <c r="E930" s="38" t="str">
        <f>IF($B930="","",SUM(VLOOKUP($B930,DADOS!$C$2:$I1014,6,0)*$C930))</f>
        <v/>
      </c>
      <c r="F930" s="39" t="str">
        <f>IF($E930="","",(VLOOKUP($B930,DADOS!$C$2:$I1014,7,0)))</f>
        <v/>
      </c>
      <c r="G930" s="40" t="str">
        <f t="shared" si="2"/>
        <v/>
      </c>
      <c r="H930" s="41"/>
      <c r="I930" s="42"/>
      <c r="J930" s="42"/>
      <c r="K930" s="42"/>
      <c r="L930" s="42"/>
      <c r="M930" s="42"/>
      <c r="N930" s="42"/>
      <c r="O930" s="42"/>
      <c r="P930" s="42"/>
      <c r="Q930" s="42"/>
      <c r="R930" s="42"/>
      <c r="S930" s="42"/>
      <c r="T930" s="42"/>
      <c r="U930" s="42"/>
      <c r="V930" s="42"/>
      <c r="W930" s="42"/>
      <c r="X930" s="42"/>
      <c r="Y930" s="42"/>
      <c r="Z930" s="42"/>
      <c r="AA930" s="42"/>
    </row>
    <row r="931">
      <c r="A931" s="36" t="str">
        <f>IF($B931="","",VLOOKUP($B931,DADOS!$C$2:$I1014,2,0))</f>
        <v/>
      </c>
      <c r="B931" s="37"/>
      <c r="C931" s="36"/>
      <c r="D931" s="38" t="str">
        <f>IF($B931="","",SUM(VLOOKUP($B931,DADOS!$C$2:$I1014,4,0)*$C931))</f>
        <v/>
      </c>
      <c r="E931" s="38" t="str">
        <f>IF($B931="","",SUM(VLOOKUP($B931,DADOS!$C$2:$I1014,6,0)*$C931))</f>
        <v/>
      </c>
      <c r="F931" s="39" t="str">
        <f>IF($E931="","",(VLOOKUP($B931,DADOS!$C$2:$I1014,7,0)))</f>
        <v/>
      </c>
      <c r="G931" s="40" t="str">
        <f t="shared" si="2"/>
        <v/>
      </c>
      <c r="H931" s="41"/>
      <c r="I931" s="42"/>
      <c r="J931" s="42"/>
      <c r="K931" s="42"/>
      <c r="L931" s="42"/>
      <c r="M931" s="42"/>
      <c r="N931" s="42"/>
      <c r="O931" s="42"/>
      <c r="P931" s="42"/>
      <c r="Q931" s="42"/>
      <c r="R931" s="42"/>
      <c r="S931" s="42"/>
      <c r="T931" s="42"/>
      <c r="U931" s="42"/>
      <c r="V931" s="42"/>
      <c r="W931" s="42"/>
      <c r="X931" s="42"/>
      <c r="Y931" s="42"/>
      <c r="Z931" s="42"/>
      <c r="AA931" s="42"/>
    </row>
    <row r="932">
      <c r="A932" s="36" t="str">
        <f>IF($B932="","",VLOOKUP($B932,DADOS!$C$2:$I1014,2,0))</f>
        <v/>
      </c>
      <c r="B932" s="37"/>
      <c r="C932" s="36"/>
      <c r="D932" s="38" t="str">
        <f>IF($B932="","",SUM(VLOOKUP($B932,DADOS!$C$2:$I1014,4,0)*$C932))</f>
        <v/>
      </c>
      <c r="E932" s="38" t="str">
        <f>IF($B932="","",SUM(VLOOKUP($B932,DADOS!$C$2:$I1014,6,0)*$C932))</f>
        <v/>
      </c>
      <c r="F932" s="39" t="str">
        <f>IF($E932="","",(VLOOKUP($B932,DADOS!$C$2:$I1014,7,0)))</f>
        <v/>
      </c>
      <c r="G932" s="40" t="str">
        <f t="shared" si="2"/>
        <v/>
      </c>
      <c r="H932" s="41"/>
      <c r="I932" s="42"/>
      <c r="J932" s="42"/>
      <c r="K932" s="42"/>
      <c r="L932" s="42"/>
      <c r="M932" s="42"/>
      <c r="N932" s="42"/>
      <c r="O932" s="42"/>
      <c r="P932" s="42"/>
      <c r="Q932" s="42"/>
      <c r="R932" s="42"/>
      <c r="S932" s="42"/>
      <c r="T932" s="42"/>
      <c r="U932" s="42"/>
      <c r="V932" s="42"/>
      <c r="W932" s="42"/>
      <c r="X932" s="42"/>
      <c r="Y932" s="42"/>
      <c r="Z932" s="42"/>
      <c r="AA932" s="42"/>
    </row>
    <row r="933">
      <c r="A933" s="36" t="str">
        <f>IF($B933="","",VLOOKUP($B933,DADOS!$C$2:$I1014,2,0))</f>
        <v/>
      </c>
      <c r="B933" s="37"/>
      <c r="C933" s="36"/>
      <c r="D933" s="38" t="str">
        <f>IF($B933="","",SUM(VLOOKUP($B933,DADOS!$C$2:$I1014,4,0)*$C933))</f>
        <v/>
      </c>
      <c r="E933" s="38" t="str">
        <f>IF($B933="","",SUM(VLOOKUP($B933,DADOS!$C$2:$I1014,6,0)*$C933))</f>
        <v/>
      </c>
      <c r="F933" s="39" t="str">
        <f>IF($E933="","",(VLOOKUP($B933,DADOS!$C$2:$I1014,7,0)))</f>
        <v/>
      </c>
      <c r="G933" s="40" t="str">
        <f t="shared" si="2"/>
        <v/>
      </c>
      <c r="H933" s="41"/>
      <c r="I933" s="42"/>
      <c r="J933" s="42"/>
      <c r="K933" s="42"/>
      <c r="L933" s="42"/>
      <c r="M933" s="42"/>
      <c r="N933" s="42"/>
      <c r="O933" s="42"/>
      <c r="P933" s="42"/>
      <c r="Q933" s="42"/>
      <c r="R933" s="42"/>
      <c r="S933" s="42"/>
      <c r="T933" s="42"/>
      <c r="U933" s="42"/>
      <c r="V933" s="42"/>
      <c r="W933" s="42"/>
      <c r="X933" s="42"/>
      <c r="Y933" s="42"/>
      <c r="Z933" s="42"/>
      <c r="AA933" s="42"/>
    </row>
    <row r="934">
      <c r="A934" s="36" t="str">
        <f>IF($B934="","",VLOOKUP($B934,DADOS!$C$2:$I1014,2,0))</f>
        <v/>
      </c>
      <c r="B934" s="37"/>
      <c r="C934" s="36"/>
      <c r="D934" s="38" t="str">
        <f>IF($B934="","",SUM(VLOOKUP($B934,DADOS!$C$2:$I1014,4,0)*$C934))</f>
        <v/>
      </c>
      <c r="E934" s="38" t="str">
        <f>IF($B934="","",SUM(VLOOKUP($B934,DADOS!$C$2:$I1014,6,0)*$C934))</f>
        <v/>
      </c>
      <c r="F934" s="39" t="str">
        <f>IF($E934="","",(VLOOKUP($B934,DADOS!$C$2:$I1014,7,0)))</f>
        <v/>
      </c>
      <c r="G934" s="40" t="str">
        <f t="shared" si="2"/>
        <v/>
      </c>
      <c r="H934" s="41"/>
      <c r="I934" s="42"/>
      <c r="J934" s="42"/>
      <c r="K934" s="42"/>
      <c r="L934" s="42"/>
      <c r="M934" s="42"/>
      <c r="N934" s="42"/>
      <c r="O934" s="42"/>
      <c r="P934" s="42"/>
      <c r="Q934" s="42"/>
      <c r="R934" s="42"/>
      <c r="S934" s="42"/>
      <c r="T934" s="42"/>
      <c r="U934" s="42"/>
      <c r="V934" s="42"/>
      <c r="W934" s="42"/>
      <c r="X934" s="42"/>
      <c r="Y934" s="42"/>
      <c r="Z934" s="42"/>
      <c r="AA934" s="42"/>
    </row>
    <row r="935">
      <c r="A935" s="36" t="str">
        <f>IF($B935="","",VLOOKUP($B935,DADOS!$C$2:$I1014,2,0))</f>
        <v/>
      </c>
      <c r="B935" s="37"/>
      <c r="C935" s="36"/>
      <c r="D935" s="38" t="str">
        <f>IF($B935="","",SUM(VLOOKUP($B935,DADOS!$C$2:$I1014,4,0)*$C935))</f>
        <v/>
      </c>
      <c r="E935" s="38" t="str">
        <f>IF($B935="","",SUM(VLOOKUP($B935,DADOS!$C$2:$I1014,6,0)*$C935))</f>
        <v/>
      </c>
      <c r="F935" s="39" t="str">
        <f>IF($E935="","",(VLOOKUP($B935,DADOS!$C$2:$I1014,7,0)))</f>
        <v/>
      </c>
      <c r="G935" s="40" t="str">
        <f t="shared" si="2"/>
        <v/>
      </c>
      <c r="H935" s="41"/>
      <c r="I935" s="42"/>
      <c r="J935" s="42"/>
      <c r="K935" s="42"/>
      <c r="L935" s="42"/>
      <c r="M935" s="42"/>
      <c r="N935" s="42"/>
      <c r="O935" s="42"/>
      <c r="P935" s="42"/>
      <c r="Q935" s="42"/>
      <c r="R935" s="42"/>
      <c r="S935" s="42"/>
      <c r="T935" s="42"/>
      <c r="U935" s="42"/>
      <c r="V935" s="42"/>
      <c r="W935" s="42"/>
      <c r="X935" s="42"/>
      <c r="Y935" s="42"/>
      <c r="Z935" s="42"/>
      <c r="AA935" s="42"/>
    </row>
    <row r="936">
      <c r="A936" s="36" t="str">
        <f>IF($B936="","",VLOOKUP($B936,DADOS!$C$2:$I1014,2,0))</f>
        <v/>
      </c>
      <c r="B936" s="37"/>
      <c r="C936" s="36"/>
      <c r="D936" s="38" t="str">
        <f>IF($B936="","",SUM(VLOOKUP($B936,DADOS!$C$2:$I1014,4,0)*$C936))</f>
        <v/>
      </c>
      <c r="E936" s="38" t="str">
        <f>IF($B936="","",SUM(VLOOKUP($B936,DADOS!$C$2:$I1014,6,0)*$C936))</f>
        <v/>
      </c>
      <c r="F936" s="39" t="str">
        <f>IF($E936="","",(VLOOKUP($B936,DADOS!$C$2:$I1014,7,0)))</f>
        <v/>
      </c>
      <c r="G936" s="40" t="str">
        <f t="shared" si="2"/>
        <v/>
      </c>
      <c r="H936" s="41"/>
      <c r="I936" s="42"/>
      <c r="J936" s="42"/>
      <c r="K936" s="42"/>
      <c r="L936" s="42"/>
      <c r="M936" s="42"/>
      <c r="N936" s="42"/>
      <c r="O936" s="42"/>
      <c r="P936" s="42"/>
      <c r="Q936" s="42"/>
      <c r="R936" s="42"/>
      <c r="S936" s="42"/>
      <c r="T936" s="42"/>
      <c r="U936" s="42"/>
      <c r="V936" s="42"/>
      <c r="W936" s="42"/>
      <c r="X936" s="42"/>
      <c r="Y936" s="42"/>
      <c r="Z936" s="42"/>
      <c r="AA936" s="42"/>
    </row>
    <row r="937">
      <c r="A937" s="36" t="str">
        <f>IF($B937="","",VLOOKUP($B937,DADOS!$C$2:$I1014,2,0))</f>
        <v/>
      </c>
      <c r="B937" s="37"/>
      <c r="C937" s="36"/>
      <c r="D937" s="38" t="str">
        <f>IF($B937="","",SUM(VLOOKUP($B937,DADOS!$C$2:$I1014,4,0)*$C937))</f>
        <v/>
      </c>
      <c r="E937" s="38" t="str">
        <f>IF($B937="","",SUM(VLOOKUP($B937,DADOS!$C$2:$I1014,6,0)*$C937))</f>
        <v/>
      </c>
      <c r="F937" s="39" t="str">
        <f>IF($E937="","",(VLOOKUP($B937,DADOS!$C$2:$I1014,7,0)))</f>
        <v/>
      </c>
      <c r="G937" s="40" t="str">
        <f t="shared" si="2"/>
        <v/>
      </c>
      <c r="H937" s="41"/>
      <c r="I937" s="42"/>
      <c r="J937" s="42"/>
      <c r="K937" s="42"/>
      <c r="L937" s="42"/>
      <c r="M937" s="42"/>
      <c r="N937" s="42"/>
      <c r="O937" s="42"/>
      <c r="P937" s="42"/>
      <c r="Q937" s="42"/>
      <c r="R937" s="42"/>
      <c r="S937" s="42"/>
      <c r="T937" s="42"/>
      <c r="U937" s="42"/>
      <c r="V937" s="42"/>
      <c r="W937" s="42"/>
      <c r="X937" s="42"/>
      <c r="Y937" s="42"/>
      <c r="Z937" s="42"/>
      <c r="AA937" s="42"/>
    </row>
    <row r="938">
      <c r="A938" s="36" t="str">
        <f>IF($B938="","",VLOOKUP($B938,DADOS!$C$2:$I1014,2,0))</f>
        <v/>
      </c>
      <c r="B938" s="37"/>
      <c r="C938" s="36"/>
      <c r="D938" s="38" t="str">
        <f>IF($B938="","",SUM(VLOOKUP($B938,DADOS!$C$2:$I1014,4,0)*$C938))</f>
        <v/>
      </c>
      <c r="E938" s="38" t="str">
        <f>IF($B938="","",SUM(VLOOKUP($B938,DADOS!$C$2:$I1014,6,0)*$C938))</f>
        <v/>
      </c>
      <c r="F938" s="39" t="str">
        <f>IF($E938="","",(VLOOKUP($B938,DADOS!$C$2:$I1014,7,0)))</f>
        <v/>
      </c>
      <c r="G938" s="40" t="str">
        <f t="shared" si="2"/>
        <v/>
      </c>
      <c r="H938" s="41"/>
      <c r="I938" s="42"/>
      <c r="J938" s="42"/>
      <c r="K938" s="42"/>
      <c r="L938" s="42"/>
      <c r="M938" s="42"/>
      <c r="N938" s="42"/>
      <c r="O938" s="42"/>
      <c r="P938" s="42"/>
      <c r="Q938" s="42"/>
      <c r="R938" s="42"/>
      <c r="S938" s="42"/>
      <c r="T938" s="42"/>
      <c r="U938" s="42"/>
      <c r="V938" s="42"/>
      <c r="W938" s="42"/>
      <c r="X938" s="42"/>
      <c r="Y938" s="42"/>
      <c r="Z938" s="42"/>
      <c r="AA938" s="42"/>
    </row>
    <row r="939">
      <c r="A939" s="36" t="str">
        <f>IF($B939="","",VLOOKUP($B939,DADOS!$C$2:$I1014,2,0))</f>
        <v/>
      </c>
      <c r="B939" s="37"/>
      <c r="C939" s="36"/>
      <c r="D939" s="38" t="str">
        <f>IF($B939="","",SUM(VLOOKUP($B939,DADOS!$C$2:$I1014,4,0)*$C939))</f>
        <v/>
      </c>
      <c r="E939" s="38" t="str">
        <f>IF($B939="","",SUM(VLOOKUP($B939,DADOS!$C$2:$I1014,6,0)*$C939))</f>
        <v/>
      </c>
      <c r="F939" s="39" t="str">
        <f>IF($E939="","",(VLOOKUP($B939,DADOS!$C$2:$I1014,7,0)))</f>
        <v/>
      </c>
      <c r="G939" s="40" t="str">
        <f t="shared" si="2"/>
        <v/>
      </c>
      <c r="H939" s="41"/>
      <c r="I939" s="42"/>
      <c r="J939" s="42"/>
      <c r="K939" s="42"/>
      <c r="L939" s="42"/>
      <c r="M939" s="42"/>
      <c r="N939" s="42"/>
      <c r="O939" s="42"/>
      <c r="P939" s="42"/>
      <c r="Q939" s="42"/>
      <c r="R939" s="42"/>
      <c r="S939" s="42"/>
      <c r="T939" s="42"/>
      <c r="U939" s="42"/>
      <c r="V939" s="42"/>
      <c r="W939" s="42"/>
      <c r="X939" s="42"/>
      <c r="Y939" s="42"/>
      <c r="Z939" s="42"/>
      <c r="AA939" s="42"/>
    </row>
    <row r="940">
      <c r="A940" s="36" t="str">
        <f>IF($B940="","",VLOOKUP($B940,DADOS!$C$2:$I1014,2,0))</f>
        <v/>
      </c>
      <c r="B940" s="37"/>
      <c r="C940" s="36"/>
      <c r="D940" s="38" t="str">
        <f>IF($B940="","",SUM(VLOOKUP($B940,DADOS!$C$2:$I1014,4,0)*$C940))</f>
        <v/>
      </c>
      <c r="E940" s="38" t="str">
        <f>IF($B940="","",SUM(VLOOKUP($B940,DADOS!$C$2:$I1014,6,0)*$C940))</f>
        <v/>
      </c>
      <c r="F940" s="39" t="str">
        <f>IF($E940="","",(VLOOKUP($B940,DADOS!$C$2:$I1014,7,0)))</f>
        <v/>
      </c>
      <c r="G940" s="40" t="str">
        <f t="shared" si="2"/>
        <v/>
      </c>
      <c r="H940" s="41"/>
      <c r="I940" s="42"/>
      <c r="J940" s="42"/>
      <c r="K940" s="42"/>
      <c r="L940" s="42"/>
      <c r="M940" s="42"/>
      <c r="N940" s="42"/>
      <c r="O940" s="42"/>
      <c r="P940" s="42"/>
      <c r="Q940" s="42"/>
      <c r="R940" s="42"/>
      <c r="S940" s="42"/>
      <c r="T940" s="42"/>
      <c r="U940" s="42"/>
      <c r="V940" s="42"/>
      <c r="W940" s="42"/>
      <c r="X940" s="42"/>
      <c r="Y940" s="42"/>
      <c r="Z940" s="42"/>
      <c r="AA940" s="42"/>
    </row>
    <row r="941">
      <c r="A941" s="36" t="str">
        <f>IF($B941="","",VLOOKUP($B941,DADOS!$C$2:$I1014,2,0))</f>
        <v/>
      </c>
      <c r="B941" s="37"/>
      <c r="C941" s="36"/>
      <c r="D941" s="38" t="str">
        <f>IF($B941="","",SUM(VLOOKUP($B941,DADOS!$C$2:$I1014,4,0)*$C941))</f>
        <v/>
      </c>
      <c r="E941" s="38" t="str">
        <f>IF($B941="","",SUM(VLOOKUP($B941,DADOS!$C$2:$I1014,6,0)*$C941))</f>
        <v/>
      </c>
      <c r="F941" s="39" t="str">
        <f>IF($E941="","",(VLOOKUP($B941,DADOS!$C$2:$I1014,7,0)))</f>
        <v/>
      </c>
      <c r="G941" s="40" t="str">
        <f t="shared" si="2"/>
        <v/>
      </c>
      <c r="H941" s="41"/>
      <c r="I941" s="42"/>
      <c r="J941" s="42"/>
      <c r="K941" s="42"/>
      <c r="L941" s="42"/>
      <c r="M941" s="42"/>
      <c r="N941" s="42"/>
      <c r="O941" s="42"/>
      <c r="P941" s="42"/>
      <c r="Q941" s="42"/>
      <c r="R941" s="42"/>
      <c r="S941" s="42"/>
      <c r="T941" s="42"/>
      <c r="U941" s="42"/>
      <c r="V941" s="42"/>
      <c r="W941" s="42"/>
      <c r="X941" s="42"/>
      <c r="Y941" s="42"/>
      <c r="Z941" s="42"/>
      <c r="AA941" s="42"/>
    </row>
    <row r="942">
      <c r="A942" s="36" t="str">
        <f>IF($B942="","",VLOOKUP($B942,DADOS!$C$2:$I1014,2,0))</f>
        <v/>
      </c>
      <c r="B942" s="37"/>
      <c r="C942" s="36"/>
      <c r="D942" s="38" t="str">
        <f>IF($B942="","",SUM(VLOOKUP($B942,DADOS!$C$2:$I1014,4,0)*$C942))</f>
        <v/>
      </c>
      <c r="E942" s="38" t="str">
        <f>IF($B942="","",SUM(VLOOKUP($B942,DADOS!$C$2:$I1014,6,0)*$C942))</f>
        <v/>
      </c>
      <c r="F942" s="39" t="str">
        <f>IF($E942="","",(VLOOKUP($B942,DADOS!$C$2:$I1014,7,0)))</f>
        <v/>
      </c>
      <c r="G942" s="40" t="str">
        <f t="shared" si="2"/>
        <v/>
      </c>
      <c r="H942" s="41"/>
      <c r="I942" s="42"/>
      <c r="J942" s="42"/>
      <c r="K942" s="42"/>
      <c r="L942" s="42"/>
      <c r="M942" s="42"/>
      <c r="N942" s="42"/>
      <c r="O942" s="42"/>
      <c r="P942" s="42"/>
      <c r="Q942" s="42"/>
      <c r="R942" s="42"/>
      <c r="S942" s="42"/>
      <c r="T942" s="42"/>
      <c r="U942" s="42"/>
      <c r="V942" s="42"/>
      <c r="W942" s="42"/>
      <c r="X942" s="42"/>
      <c r="Y942" s="42"/>
      <c r="Z942" s="42"/>
      <c r="AA942" s="42"/>
    </row>
    <row r="943">
      <c r="A943" s="36" t="str">
        <f>IF($B943="","",VLOOKUP($B943,DADOS!$C$2:$I1014,2,0))</f>
        <v/>
      </c>
      <c r="B943" s="37"/>
      <c r="C943" s="36"/>
      <c r="D943" s="38" t="str">
        <f>IF($B943="","",SUM(VLOOKUP($B943,DADOS!$C$2:$I1014,4,0)*$C943))</f>
        <v/>
      </c>
      <c r="E943" s="38" t="str">
        <f>IF($B943="","",SUM(VLOOKUP($B943,DADOS!$C$2:$I1014,6,0)*$C943))</f>
        <v/>
      </c>
      <c r="F943" s="39" t="str">
        <f>IF($E943="","",(VLOOKUP($B943,DADOS!$C$2:$I1014,7,0)))</f>
        <v/>
      </c>
      <c r="G943" s="40" t="str">
        <f t="shared" si="2"/>
        <v/>
      </c>
      <c r="H943" s="41"/>
      <c r="I943" s="42"/>
      <c r="J943" s="42"/>
      <c r="K943" s="42"/>
      <c r="L943" s="42"/>
      <c r="M943" s="42"/>
      <c r="N943" s="42"/>
      <c r="O943" s="42"/>
      <c r="P943" s="42"/>
      <c r="Q943" s="42"/>
      <c r="R943" s="42"/>
      <c r="S943" s="42"/>
      <c r="T943" s="42"/>
      <c r="U943" s="42"/>
      <c r="V943" s="42"/>
      <c r="W943" s="42"/>
      <c r="X943" s="42"/>
      <c r="Y943" s="42"/>
      <c r="Z943" s="42"/>
      <c r="AA943" s="42"/>
    </row>
    <row r="944">
      <c r="A944" s="36" t="str">
        <f>IF($B944="","",VLOOKUP($B944,DADOS!$C$2:$I1014,2,0))</f>
        <v/>
      </c>
      <c r="B944" s="37"/>
      <c r="C944" s="36"/>
      <c r="D944" s="38" t="str">
        <f>IF($B944="","",SUM(VLOOKUP($B944,DADOS!$C$2:$I1014,4,0)*$C944))</f>
        <v/>
      </c>
      <c r="E944" s="38" t="str">
        <f>IF($B944="","",SUM(VLOOKUP($B944,DADOS!$C$2:$I1014,6,0)*$C944))</f>
        <v/>
      </c>
      <c r="F944" s="39" t="str">
        <f>IF($E944="","",(VLOOKUP($B944,DADOS!$C$2:$I1014,7,0)))</f>
        <v/>
      </c>
      <c r="G944" s="40" t="str">
        <f t="shared" si="2"/>
        <v/>
      </c>
      <c r="H944" s="41"/>
      <c r="I944" s="42"/>
      <c r="J944" s="42"/>
      <c r="K944" s="42"/>
      <c r="L944" s="42"/>
      <c r="M944" s="42"/>
      <c r="N944" s="42"/>
      <c r="O944" s="42"/>
      <c r="P944" s="42"/>
      <c r="Q944" s="42"/>
      <c r="R944" s="42"/>
      <c r="S944" s="42"/>
      <c r="T944" s="42"/>
      <c r="U944" s="42"/>
      <c r="V944" s="42"/>
      <c r="W944" s="42"/>
      <c r="X944" s="42"/>
      <c r="Y944" s="42"/>
      <c r="Z944" s="42"/>
      <c r="AA944" s="42"/>
    </row>
    <row r="945">
      <c r="A945" s="36" t="str">
        <f>IF($B945="","",VLOOKUP($B945,DADOS!$C$2:$I1014,2,0))</f>
        <v/>
      </c>
      <c r="B945" s="37"/>
      <c r="C945" s="36"/>
      <c r="D945" s="38" t="str">
        <f>IF($B945="","",SUM(VLOOKUP($B945,DADOS!$C$2:$I1014,4,0)*$C945))</f>
        <v/>
      </c>
      <c r="E945" s="38" t="str">
        <f>IF($B945="","",SUM(VLOOKUP($B945,DADOS!$C$2:$I1014,6,0)*$C945))</f>
        <v/>
      </c>
      <c r="F945" s="39" t="str">
        <f>IF($E945="","",(VLOOKUP($B945,DADOS!$C$2:$I1014,7,0)))</f>
        <v/>
      </c>
      <c r="G945" s="40" t="str">
        <f t="shared" si="2"/>
        <v/>
      </c>
      <c r="H945" s="41"/>
      <c r="I945" s="42"/>
      <c r="J945" s="42"/>
      <c r="K945" s="42"/>
      <c r="L945" s="42"/>
      <c r="M945" s="42"/>
      <c r="N945" s="42"/>
      <c r="O945" s="42"/>
      <c r="P945" s="42"/>
      <c r="Q945" s="42"/>
      <c r="R945" s="42"/>
      <c r="S945" s="42"/>
      <c r="T945" s="42"/>
      <c r="U945" s="42"/>
      <c r="V945" s="42"/>
      <c r="W945" s="42"/>
      <c r="X945" s="42"/>
      <c r="Y945" s="42"/>
      <c r="Z945" s="42"/>
      <c r="AA945" s="42"/>
    </row>
    <row r="946">
      <c r="A946" s="36" t="str">
        <f>IF($B946="","",VLOOKUP($B946,DADOS!$C$2:$I1014,2,0))</f>
        <v/>
      </c>
      <c r="B946" s="37"/>
      <c r="C946" s="36"/>
      <c r="D946" s="38" t="str">
        <f>IF($B946="","",SUM(VLOOKUP($B946,DADOS!$C$2:$I1014,4,0)*$C946))</f>
        <v/>
      </c>
      <c r="E946" s="38" t="str">
        <f>IF($B946="","",SUM(VLOOKUP($B946,DADOS!$C$2:$I1014,6,0)*$C946))</f>
        <v/>
      </c>
      <c r="F946" s="39" t="str">
        <f>IF($E946="","",(VLOOKUP($B946,DADOS!$C$2:$I1014,7,0)))</f>
        <v/>
      </c>
      <c r="G946" s="40" t="str">
        <f t="shared" si="2"/>
        <v/>
      </c>
      <c r="H946" s="41"/>
      <c r="I946" s="42"/>
      <c r="J946" s="42"/>
      <c r="K946" s="42"/>
      <c r="L946" s="42"/>
      <c r="M946" s="42"/>
      <c r="N946" s="42"/>
      <c r="O946" s="42"/>
      <c r="P946" s="42"/>
      <c r="Q946" s="42"/>
      <c r="R946" s="42"/>
      <c r="S946" s="42"/>
      <c r="T946" s="42"/>
      <c r="U946" s="42"/>
      <c r="V946" s="42"/>
      <c r="W946" s="42"/>
      <c r="X946" s="42"/>
      <c r="Y946" s="42"/>
      <c r="Z946" s="42"/>
      <c r="AA946" s="42"/>
    </row>
    <row r="947">
      <c r="A947" s="36" t="str">
        <f>IF($B947="","",VLOOKUP($B947,DADOS!$C$2:$I1014,2,0))</f>
        <v/>
      </c>
      <c r="B947" s="37"/>
      <c r="C947" s="36"/>
      <c r="D947" s="38" t="str">
        <f>IF($B947="","",SUM(VLOOKUP($B947,DADOS!$C$2:$I1014,4,0)*$C947))</f>
        <v/>
      </c>
      <c r="E947" s="38" t="str">
        <f>IF($B947="","",SUM(VLOOKUP($B947,DADOS!$C$2:$I1014,6,0)*$C947))</f>
        <v/>
      </c>
      <c r="F947" s="39" t="str">
        <f>IF($E947="","",(VLOOKUP($B947,DADOS!$C$2:$I1014,7,0)))</f>
        <v/>
      </c>
      <c r="G947" s="40" t="str">
        <f t="shared" si="2"/>
        <v/>
      </c>
      <c r="H947" s="41"/>
      <c r="I947" s="42"/>
      <c r="J947" s="42"/>
      <c r="K947" s="42"/>
      <c r="L947" s="42"/>
      <c r="M947" s="42"/>
      <c r="N947" s="42"/>
      <c r="O947" s="42"/>
      <c r="P947" s="42"/>
      <c r="Q947" s="42"/>
      <c r="R947" s="42"/>
      <c r="S947" s="42"/>
      <c r="T947" s="42"/>
      <c r="U947" s="42"/>
      <c r="V947" s="42"/>
      <c r="W947" s="42"/>
      <c r="X947" s="42"/>
      <c r="Y947" s="42"/>
      <c r="Z947" s="42"/>
      <c r="AA947" s="42"/>
    </row>
    <row r="948">
      <c r="A948" s="36" t="str">
        <f>IF($B948="","",VLOOKUP($B948,DADOS!$C$2:$I1014,2,0))</f>
        <v/>
      </c>
      <c r="B948" s="37"/>
      <c r="C948" s="36"/>
      <c r="D948" s="38" t="str">
        <f>IF($B948="","",SUM(VLOOKUP($B948,DADOS!$C$2:$I1014,4,0)*$C948))</f>
        <v/>
      </c>
      <c r="E948" s="38" t="str">
        <f>IF($B948="","",SUM(VLOOKUP($B948,DADOS!$C$2:$I1014,6,0)*$C948))</f>
        <v/>
      </c>
      <c r="F948" s="39" t="str">
        <f>IF($E948="","",(VLOOKUP($B948,DADOS!$C$2:$I1014,7,0)))</f>
        <v/>
      </c>
      <c r="G948" s="40" t="str">
        <f t="shared" si="2"/>
        <v/>
      </c>
      <c r="H948" s="41"/>
      <c r="I948" s="42"/>
      <c r="J948" s="42"/>
      <c r="K948" s="42"/>
      <c r="L948" s="42"/>
      <c r="M948" s="42"/>
      <c r="N948" s="42"/>
      <c r="O948" s="42"/>
      <c r="P948" s="42"/>
      <c r="Q948" s="42"/>
      <c r="R948" s="42"/>
      <c r="S948" s="42"/>
      <c r="T948" s="42"/>
      <c r="U948" s="42"/>
      <c r="V948" s="42"/>
      <c r="W948" s="42"/>
      <c r="X948" s="42"/>
      <c r="Y948" s="42"/>
      <c r="Z948" s="42"/>
      <c r="AA948" s="42"/>
    </row>
    <row r="949">
      <c r="A949" s="36" t="str">
        <f>IF($B949="","",VLOOKUP($B949,DADOS!$C$2:$I1014,2,0))</f>
        <v/>
      </c>
      <c r="B949" s="37"/>
      <c r="C949" s="36"/>
      <c r="D949" s="38" t="str">
        <f>IF($B949="","",SUM(VLOOKUP($B949,DADOS!$C$2:$I1014,4,0)*$C949))</f>
        <v/>
      </c>
      <c r="E949" s="38" t="str">
        <f>IF($B949="","",SUM(VLOOKUP($B949,DADOS!$C$2:$I1014,6,0)*$C949))</f>
        <v/>
      </c>
      <c r="F949" s="39" t="str">
        <f>IF($E949="","",(VLOOKUP($B949,DADOS!$C$2:$I1014,7,0)))</f>
        <v/>
      </c>
      <c r="G949" s="40" t="str">
        <f t="shared" si="2"/>
        <v/>
      </c>
      <c r="H949" s="41"/>
      <c r="I949" s="42"/>
      <c r="J949" s="42"/>
      <c r="K949" s="42"/>
      <c r="L949" s="42"/>
      <c r="M949" s="42"/>
      <c r="N949" s="42"/>
      <c r="O949" s="42"/>
      <c r="P949" s="42"/>
      <c r="Q949" s="42"/>
      <c r="R949" s="42"/>
      <c r="S949" s="42"/>
      <c r="T949" s="42"/>
      <c r="U949" s="42"/>
      <c r="V949" s="42"/>
      <c r="W949" s="42"/>
      <c r="X949" s="42"/>
      <c r="Y949" s="42"/>
      <c r="Z949" s="42"/>
      <c r="AA949" s="42"/>
    </row>
    <row r="950">
      <c r="A950" s="36" t="str">
        <f>IF($B950="","",VLOOKUP($B950,DADOS!$C$2:$I1014,2,0))</f>
        <v/>
      </c>
      <c r="B950" s="37"/>
      <c r="C950" s="36"/>
      <c r="D950" s="38" t="str">
        <f>IF($B950="","",SUM(VLOOKUP($B950,DADOS!$C$2:$I1014,4,0)*$C950))</f>
        <v/>
      </c>
      <c r="E950" s="38" t="str">
        <f>IF($B950="","",SUM(VLOOKUP($B950,DADOS!$C$2:$I1014,6,0)*$C950))</f>
        <v/>
      </c>
      <c r="F950" s="39" t="str">
        <f>IF($E950="","",(VLOOKUP($B950,DADOS!$C$2:$I1014,7,0)))</f>
        <v/>
      </c>
      <c r="G950" s="40" t="str">
        <f t="shared" si="2"/>
        <v/>
      </c>
      <c r="H950" s="41"/>
      <c r="I950" s="42"/>
      <c r="J950" s="42"/>
      <c r="K950" s="42"/>
      <c r="L950" s="42"/>
      <c r="M950" s="42"/>
      <c r="N950" s="42"/>
      <c r="O950" s="42"/>
      <c r="P950" s="42"/>
      <c r="Q950" s="42"/>
      <c r="R950" s="42"/>
      <c r="S950" s="42"/>
      <c r="T950" s="42"/>
      <c r="U950" s="42"/>
      <c r="V950" s="42"/>
      <c r="W950" s="42"/>
      <c r="X950" s="42"/>
      <c r="Y950" s="42"/>
      <c r="Z950" s="42"/>
      <c r="AA950" s="42"/>
    </row>
    <row r="951">
      <c r="A951" s="36" t="str">
        <f>IF($B951="","",VLOOKUP($B951,DADOS!$C$2:$I1014,2,0))</f>
        <v/>
      </c>
      <c r="B951" s="37"/>
      <c r="C951" s="36"/>
      <c r="D951" s="38" t="str">
        <f>IF($B951="","",SUM(VLOOKUP($B951,DADOS!$C$2:$I1014,4,0)*$C951))</f>
        <v/>
      </c>
      <c r="E951" s="38" t="str">
        <f>IF($B951="","",SUM(VLOOKUP($B951,DADOS!$C$2:$I1014,6,0)*$C951))</f>
        <v/>
      </c>
      <c r="F951" s="39" t="str">
        <f>IF($E951="","",(VLOOKUP($B951,DADOS!$C$2:$I1014,7,0)))</f>
        <v/>
      </c>
      <c r="G951" s="40" t="str">
        <f t="shared" si="2"/>
        <v/>
      </c>
      <c r="H951" s="41"/>
      <c r="I951" s="42"/>
      <c r="J951" s="42"/>
      <c r="K951" s="42"/>
      <c r="L951" s="42"/>
      <c r="M951" s="42"/>
      <c r="N951" s="42"/>
      <c r="O951" s="42"/>
      <c r="P951" s="42"/>
      <c r="Q951" s="42"/>
      <c r="R951" s="42"/>
      <c r="S951" s="42"/>
      <c r="T951" s="42"/>
      <c r="U951" s="42"/>
      <c r="V951" s="42"/>
      <c r="W951" s="42"/>
      <c r="X951" s="42"/>
      <c r="Y951" s="42"/>
      <c r="Z951" s="42"/>
      <c r="AA951" s="42"/>
    </row>
    <row r="952">
      <c r="A952" s="36" t="str">
        <f>IF($B952="","",VLOOKUP($B952,DADOS!$C$2:$I1014,2,0))</f>
        <v/>
      </c>
      <c r="B952" s="37"/>
      <c r="C952" s="36"/>
      <c r="D952" s="38" t="str">
        <f>IF($B952="","",SUM(VLOOKUP($B952,DADOS!$C$2:$I1014,4,0)*$C952))</f>
        <v/>
      </c>
      <c r="E952" s="38" t="str">
        <f>IF($B952="","",SUM(VLOOKUP($B952,DADOS!$C$2:$I1014,6,0)*$C952))</f>
        <v/>
      </c>
      <c r="F952" s="39" t="str">
        <f>IF($E952="","",(VLOOKUP($B952,DADOS!$C$2:$I1014,7,0)))</f>
        <v/>
      </c>
      <c r="G952" s="40" t="str">
        <f t="shared" si="2"/>
        <v/>
      </c>
      <c r="H952" s="41"/>
      <c r="I952" s="42"/>
      <c r="J952" s="42"/>
      <c r="K952" s="42"/>
      <c r="L952" s="42"/>
      <c r="M952" s="42"/>
      <c r="N952" s="42"/>
      <c r="O952" s="42"/>
      <c r="P952" s="42"/>
      <c r="Q952" s="42"/>
      <c r="R952" s="42"/>
      <c r="S952" s="42"/>
      <c r="T952" s="42"/>
      <c r="U952" s="42"/>
      <c r="V952" s="42"/>
      <c r="W952" s="42"/>
      <c r="X952" s="42"/>
      <c r="Y952" s="42"/>
      <c r="Z952" s="42"/>
      <c r="AA952" s="42"/>
    </row>
    <row r="953">
      <c r="A953" s="36" t="str">
        <f>IF($B953="","",VLOOKUP($B953,DADOS!$C$2:$I1014,2,0))</f>
        <v/>
      </c>
      <c r="B953" s="37"/>
      <c r="C953" s="36"/>
      <c r="D953" s="38" t="str">
        <f>IF($B953="","",SUM(VLOOKUP($B953,DADOS!$C$2:$I1014,4,0)*$C953))</f>
        <v/>
      </c>
      <c r="E953" s="38" t="str">
        <f>IF($B953="","",SUM(VLOOKUP($B953,DADOS!$C$2:$I1014,6,0)*$C953))</f>
        <v/>
      </c>
      <c r="F953" s="39" t="str">
        <f>IF($E953="","",(VLOOKUP($B953,DADOS!$C$2:$I1014,7,0)))</f>
        <v/>
      </c>
      <c r="G953" s="40" t="str">
        <f t="shared" si="2"/>
        <v/>
      </c>
      <c r="H953" s="41"/>
      <c r="I953" s="42"/>
      <c r="J953" s="42"/>
      <c r="K953" s="42"/>
      <c r="L953" s="42"/>
      <c r="M953" s="42"/>
      <c r="N953" s="42"/>
      <c r="O953" s="42"/>
      <c r="P953" s="42"/>
      <c r="Q953" s="42"/>
      <c r="R953" s="42"/>
      <c r="S953" s="42"/>
      <c r="T953" s="42"/>
      <c r="U953" s="42"/>
      <c r="V953" s="42"/>
      <c r="W953" s="42"/>
      <c r="X953" s="42"/>
      <c r="Y953" s="42"/>
      <c r="Z953" s="42"/>
      <c r="AA953" s="42"/>
    </row>
    <row r="954">
      <c r="A954" s="36" t="str">
        <f>IF($B954="","",VLOOKUP($B954,DADOS!$C$2:$I1014,2,0))</f>
        <v/>
      </c>
      <c r="B954" s="37"/>
      <c r="C954" s="36"/>
      <c r="D954" s="38" t="str">
        <f>IF($B954="","",SUM(VLOOKUP($B954,DADOS!$C$2:$I1014,4,0)*$C954))</f>
        <v/>
      </c>
      <c r="E954" s="38" t="str">
        <f>IF($B954="","",SUM(VLOOKUP($B954,DADOS!$C$2:$I1014,6,0)*$C954))</f>
        <v/>
      </c>
      <c r="F954" s="39" t="str">
        <f>IF($E954="","",(VLOOKUP($B954,DADOS!$C$2:$I1014,7,0)))</f>
        <v/>
      </c>
      <c r="G954" s="40" t="str">
        <f t="shared" si="2"/>
        <v/>
      </c>
      <c r="H954" s="41"/>
      <c r="I954" s="42"/>
      <c r="J954" s="42"/>
      <c r="K954" s="42"/>
      <c r="L954" s="42"/>
      <c r="M954" s="42"/>
      <c r="N954" s="42"/>
      <c r="O954" s="42"/>
      <c r="P954" s="42"/>
      <c r="Q954" s="42"/>
      <c r="R954" s="42"/>
      <c r="S954" s="42"/>
      <c r="T954" s="42"/>
      <c r="U954" s="42"/>
      <c r="V954" s="42"/>
      <c r="W954" s="42"/>
      <c r="X954" s="42"/>
      <c r="Y954" s="42"/>
      <c r="Z954" s="42"/>
      <c r="AA954" s="42"/>
    </row>
    <row r="955">
      <c r="A955" s="36" t="str">
        <f>IF($B955="","",VLOOKUP($B955,DADOS!$C$2:$I1014,2,0))</f>
        <v/>
      </c>
      <c r="B955" s="37"/>
      <c r="C955" s="36"/>
      <c r="D955" s="38" t="str">
        <f>IF($B955="","",SUM(VLOOKUP($B955,DADOS!$C$2:$I1014,4,0)*$C955))</f>
        <v/>
      </c>
      <c r="E955" s="38" t="str">
        <f>IF($B955="","",SUM(VLOOKUP($B955,DADOS!$C$2:$I1014,6,0)*$C955))</f>
        <v/>
      </c>
      <c r="F955" s="39" t="str">
        <f>IF($E955="","",(VLOOKUP($B955,DADOS!$C$2:$I1014,7,0)))</f>
        <v/>
      </c>
      <c r="G955" s="40" t="str">
        <f t="shared" si="2"/>
        <v/>
      </c>
      <c r="H955" s="41"/>
      <c r="I955" s="42"/>
      <c r="J955" s="42"/>
      <c r="K955" s="42"/>
      <c r="L955" s="42"/>
      <c r="M955" s="42"/>
      <c r="N955" s="42"/>
      <c r="O955" s="42"/>
      <c r="P955" s="42"/>
      <c r="Q955" s="42"/>
      <c r="R955" s="42"/>
      <c r="S955" s="42"/>
      <c r="T955" s="42"/>
      <c r="U955" s="42"/>
      <c r="V955" s="42"/>
      <c r="W955" s="42"/>
      <c r="X955" s="42"/>
      <c r="Y955" s="42"/>
      <c r="Z955" s="42"/>
      <c r="AA955" s="42"/>
    </row>
    <row r="956">
      <c r="A956" s="36" t="str">
        <f>IF($B956="","",VLOOKUP($B956,DADOS!$C$2:$I1014,2,0))</f>
        <v/>
      </c>
      <c r="B956" s="37"/>
      <c r="C956" s="36"/>
      <c r="D956" s="38" t="str">
        <f>IF($B956="","",SUM(VLOOKUP($B956,DADOS!$C$2:$I1014,4,0)*$C956))</f>
        <v/>
      </c>
      <c r="E956" s="38" t="str">
        <f>IF($B956="","",SUM(VLOOKUP($B956,DADOS!$C$2:$I1014,6,0)*$C956))</f>
        <v/>
      </c>
      <c r="F956" s="39" t="str">
        <f>IF($E956="","",(VLOOKUP($B956,DADOS!$C$2:$I1014,7,0)))</f>
        <v/>
      </c>
      <c r="G956" s="40" t="str">
        <f t="shared" si="2"/>
        <v/>
      </c>
      <c r="H956" s="41"/>
      <c r="I956" s="42"/>
      <c r="J956" s="42"/>
      <c r="K956" s="42"/>
      <c r="L956" s="42"/>
      <c r="M956" s="42"/>
      <c r="N956" s="42"/>
      <c r="O956" s="42"/>
      <c r="P956" s="42"/>
      <c r="Q956" s="42"/>
      <c r="R956" s="42"/>
      <c r="S956" s="42"/>
      <c r="T956" s="42"/>
      <c r="U956" s="42"/>
      <c r="V956" s="42"/>
      <c r="W956" s="42"/>
      <c r="X956" s="42"/>
      <c r="Y956" s="42"/>
      <c r="Z956" s="42"/>
      <c r="AA956" s="42"/>
    </row>
    <row r="957">
      <c r="A957" s="36" t="str">
        <f>IF($B957="","",VLOOKUP($B957,DADOS!$C$2:$I1014,2,0))</f>
        <v/>
      </c>
      <c r="B957" s="37"/>
      <c r="C957" s="36"/>
      <c r="D957" s="38" t="str">
        <f>IF($B957="","",SUM(VLOOKUP($B957,DADOS!$C$2:$I1014,4,0)*$C957))</f>
        <v/>
      </c>
      <c r="E957" s="38" t="str">
        <f>IF($B957="","",SUM(VLOOKUP($B957,DADOS!$C$2:$I1014,6,0)*$C957))</f>
        <v/>
      </c>
      <c r="F957" s="39" t="str">
        <f>IF($E957="","",(VLOOKUP($B957,DADOS!$C$2:$I1014,7,0)))</f>
        <v/>
      </c>
      <c r="G957" s="40" t="str">
        <f t="shared" si="2"/>
        <v/>
      </c>
      <c r="H957" s="41"/>
      <c r="I957" s="42"/>
      <c r="J957" s="42"/>
      <c r="K957" s="42"/>
      <c r="L957" s="42"/>
      <c r="M957" s="42"/>
      <c r="N957" s="42"/>
      <c r="O957" s="42"/>
      <c r="P957" s="42"/>
      <c r="Q957" s="42"/>
      <c r="R957" s="42"/>
      <c r="S957" s="42"/>
      <c r="T957" s="42"/>
      <c r="U957" s="42"/>
      <c r="V957" s="42"/>
      <c r="W957" s="42"/>
      <c r="X957" s="42"/>
      <c r="Y957" s="42"/>
      <c r="Z957" s="42"/>
      <c r="AA957" s="42"/>
    </row>
    <row r="958">
      <c r="A958" s="36" t="str">
        <f>IF($B958="","",VLOOKUP($B958,DADOS!$C$2:$I1014,2,0))</f>
        <v/>
      </c>
      <c r="B958" s="37"/>
      <c r="C958" s="36"/>
      <c r="D958" s="38" t="str">
        <f>IF($B958="","",SUM(VLOOKUP($B958,DADOS!$C$2:$I1014,4,0)*$C958))</f>
        <v/>
      </c>
      <c r="E958" s="38" t="str">
        <f>IF($B958="","",SUM(VLOOKUP($B958,DADOS!$C$2:$I1014,6,0)*$C958))</f>
        <v/>
      </c>
      <c r="F958" s="39" t="str">
        <f>IF($E958="","",(VLOOKUP($B958,DADOS!$C$2:$I1014,7,0)))</f>
        <v/>
      </c>
      <c r="G958" s="40" t="str">
        <f t="shared" si="2"/>
        <v/>
      </c>
      <c r="H958" s="41"/>
      <c r="I958" s="42"/>
      <c r="J958" s="42"/>
      <c r="K958" s="42"/>
      <c r="L958" s="42"/>
      <c r="M958" s="42"/>
      <c r="N958" s="42"/>
      <c r="O958" s="42"/>
      <c r="P958" s="42"/>
      <c r="Q958" s="42"/>
      <c r="R958" s="42"/>
      <c r="S958" s="42"/>
      <c r="T958" s="42"/>
      <c r="U958" s="42"/>
      <c r="V958" s="42"/>
      <c r="W958" s="42"/>
      <c r="X958" s="42"/>
      <c r="Y958" s="42"/>
      <c r="Z958" s="42"/>
      <c r="AA958" s="42"/>
    </row>
    <row r="959">
      <c r="A959" s="36" t="str">
        <f>IF($B959="","",VLOOKUP($B959,DADOS!$C$2:$I1014,2,0))</f>
        <v/>
      </c>
      <c r="B959" s="37"/>
      <c r="C959" s="36"/>
      <c r="D959" s="38" t="str">
        <f>IF($B959="","",SUM(VLOOKUP($B959,DADOS!$C$2:$I1014,4,0)*$C959))</f>
        <v/>
      </c>
      <c r="E959" s="38" t="str">
        <f>IF($B959="","",SUM(VLOOKUP($B959,DADOS!$C$2:$I1014,6,0)*$C959))</f>
        <v/>
      </c>
      <c r="F959" s="39" t="str">
        <f>IF($E959="","",(VLOOKUP($B959,DADOS!$C$2:$I1014,7,0)))</f>
        <v/>
      </c>
      <c r="G959" s="40" t="str">
        <f t="shared" si="2"/>
        <v/>
      </c>
      <c r="H959" s="41"/>
      <c r="I959" s="42"/>
      <c r="J959" s="42"/>
      <c r="K959" s="42"/>
      <c r="L959" s="42"/>
      <c r="M959" s="42"/>
      <c r="N959" s="42"/>
      <c r="O959" s="42"/>
      <c r="P959" s="42"/>
      <c r="Q959" s="42"/>
      <c r="R959" s="42"/>
      <c r="S959" s="42"/>
      <c r="T959" s="42"/>
      <c r="U959" s="42"/>
      <c r="V959" s="42"/>
      <c r="W959" s="42"/>
      <c r="X959" s="42"/>
      <c r="Y959" s="42"/>
      <c r="Z959" s="42"/>
      <c r="AA959" s="42"/>
    </row>
    <row r="960">
      <c r="A960" s="36" t="str">
        <f>IF($B960="","",VLOOKUP($B960,DADOS!$C$2:$I1014,2,0))</f>
        <v/>
      </c>
      <c r="B960" s="37"/>
      <c r="C960" s="36"/>
      <c r="D960" s="38" t="str">
        <f>IF($B960="","",SUM(VLOOKUP($B960,DADOS!$C$2:$I1014,4,0)*$C960))</f>
        <v/>
      </c>
      <c r="E960" s="38" t="str">
        <f>IF($B960="","",SUM(VLOOKUP($B960,DADOS!$C$2:$I1014,6,0)*$C960))</f>
        <v/>
      </c>
      <c r="F960" s="39" t="str">
        <f>IF($E960="","",(VLOOKUP($B960,DADOS!$C$2:$I1014,7,0)))</f>
        <v/>
      </c>
      <c r="G960" s="40" t="str">
        <f t="shared" si="2"/>
        <v/>
      </c>
      <c r="H960" s="41"/>
      <c r="I960" s="42"/>
      <c r="J960" s="42"/>
      <c r="K960" s="42"/>
      <c r="L960" s="42"/>
      <c r="M960" s="42"/>
      <c r="N960" s="42"/>
      <c r="O960" s="42"/>
      <c r="P960" s="42"/>
      <c r="Q960" s="42"/>
      <c r="R960" s="42"/>
      <c r="S960" s="42"/>
      <c r="T960" s="42"/>
      <c r="U960" s="42"/>
      <c r="V960" s="42"/>
      <c r="W960" s="42"/>
      <c r="X960" s="42"/>
      <c r="Y960" s="42"/>
      <c r="Z960" s="42"/>
      <c r="AA960" s="42"/>
    </row>
    <row r="961">
      <c r="A961" s="36" t="str">
        <f>IF($B961="","",VLOOKUP($B961,DADOS!$C$2:$I1014,2,0))</f>
        <v/>
      </c>
      <c r="B961" s="37"/>
      <c r="C961" s="36"/>
      <c r="D961" s="38" t="str">
        <f>IF($B961="","",SUM(VLOOKUP($B961,DADOS!$C$2:$I1014,4,0)*$C961))</f>
        <v/>
      </c>
      <c r="E961" s="38" t="str">
        <f>IF($B961="","",SUM(VLOOKUP($B961,DADOS!$C$2:$I1014,6,0)*$C961))</f>
        <v/>
      </c>
      <c r="F961" s="39" t="str">
        <f>IF($E961="","",(VLOOKUP($B961,DADOS!$C$2:$I1014,7,0)))</f>
        <v/>
      </c>
      <c r="G961" s="40" t="str">
        <f t="shared" si="2"/>
        <v/>
      </c>
      <c r="H961" s="41"/>
      <c r="I961" s="42"/>
      <c r="J961" s="42"/>
      <c r="K961" s="42"/>
      <c r="L961" s="42"/>
      <c r="M961" s="42"/>
      <c r="N961" s="42"/>
      <c r="O961" s="42"/>
      <c r="P961" s="42"/>
      <c r="Q961" s="42"/>
      <c r="R961" s="42"/>
      <c r="S961" s="42"/>
      <c r="T961" s="42"/>
      <c r="U961" s="42"/>
      <c r="V961" s="42"/>
      <c r="W961" s="42"/>
      <c r="X961" s="42"/>
      <c r="Y961" s="42"/>
      <c r="Z961" s="42"/>
      <c r="AA961" s="42"/>
    </row>
    <row r="962">
      <c r="A962" s="36" t="str">
        <f>IF($B962="","",VLOOKUP($B962,DADOS!$C$2:$I1014,2,0))</f>
        <v/>
      </c>
      <c r="B962" s="37"/>
      <c r="C962" s="36"/>
      <c r="D962" s="38" t="str">
        <f>IF($B962="","",SUM(VLOOKUP($B962,DADOS!$C$2:$I1014,4,0)*$C962))</f>
        <v/>
      </c>
      <c r="E962" s="38" t="str">
        <f>IF($B962="","",SUM(VLOOKUP($B962,DADOS!$C$2:$I1014,6,0)*$C962))</f>
        <v/>
      </c>
      <c r="F962" s="39" t="str">
        <f>IF($E962="","",(VLOOKUP($B962,DADOS!$C$2:$I1014,7,0)))</f>
        <v/>
      </c>
      <c r="G962" s="40" t="str">
        <f t="shared" si="2"/>
        <v/>
      </c>
      <c r="H962" s="41"/>
      <c r="I962" s="42"/>
      <c r="J962" s="42"/>
      <c r="K962" s="42"/>
      <c r="L962" s="42"/>
      <c r="M962" s="42"/>
      <c r="N962" s="42"/>
      <c r="O962" s="42"/>
      <c r="P962" s="42"/>
      <c r="Q962" s="42"/>
      <c r="R962" s="42"/>
      <c r="S962" s="42"/>
      <c r="T962" s="42"/>
      <c r="U962" s="42"/>
      <c r="V962" s="42"/>
      <c r="W962" s="42"/>
      <c r="X962" s="42"/>
      <c r="Y962" s="42"/>
      <c r="Z962" s="42"/>
      <c r="AA962" s="42"/>
    </row>
    <row r="963">
      <c r="A963" s="36" t="str">
        <f>IF($B963="","",VLOOKUP($B963,DADOS!$C$2:$I1014,2,0))</f>
        <v/>
      </c>
      <c r="B963" s="37"/>
      <c r="C963" s="36"/>
      <c r="D963" s="38" t="str">
        <f>IF($B963="","",SUM(VLOOKUP($B963,DADOS!$C$2:$I1014,4,0)*$C963))</f>
        <v/>
      </c>
      <c r="E963" s="38" t="str">
        <f>IF($B963="","",SUM(VLOOKUP($B963,DADOS!$C$2:$I1014,6,0)*$C963))</f>
        <v/>
      </c>
      <c r="F963" s="39" t="str">
        <f>IF($E963="","",(VLOOKUP($B963,DADOS!$C$2:$I1014,7,0)))</f>
        <v/>
      </c>
      <c r="G963" s="40" t="str">
        <f t="shared" si="2"/>
        <v/>
      </c>
      <c r="H963" s="41"/>
      <c r="I963" s="42"/>
      <c r="J963" s="42"/>
      <c r="K963" s="42"/>
      <c r="L963" s="42"/>
      <c r="M963" s="42"/>
      <c r="N963" s="42"/>
      <c r="O963" s="42"/>
      <c r="P963" s="42"/>
      <c r="Q963" s="42"/>
      <c r="R963" s="42"/>
      <c r="S963" s="42"/>
      <c r="T963" s="42"/>
      <c r="U963" s="42"/>
      <c r="V963" s="42"/>
      <c r="W963" s="42"/>
      <c r="X963" s="42"/>
      <c r="Y963" s="42"/>
      <c r="Z963" s="42"/>
      <c r="AA963" s="42"/>
    </row>
    <row r="964">
      <c r="A964" s="36" t="str">
        <f>IF($B964="","",VLOOKUP($B964,DADOS!$C$2:$I1014,2,0))</f>
        <v/>
      </c>
      <c r="B964" s="37"/>
      <c r="C964" s="36"/>
      <c r="D964" s="38" t="str">
        <f>IF($B964="","",SUM(VLOOKUP($B964,DADOS!$C$2:$I1014,4,0)*$C964))</f>
        <v/>
      </c>
      <c r="E964" s="38" t="str">
        <f>IF($B964="","",SUM(VLOOKUP($B964,DADOS!$C$2:$I1014,6,0)*$C964))</f>
        <v/>
      </c>
      <c r="F964" s="39" t="str">
        <f>IF($E964="","",(VLOOKUP($B964,DADOS!$C$2:$I1014,7,0)))</f>
        <v/>
      </c>
      <c r="G964" s="40" t="str">
        <f t="shared" si="2"/>
        <v/>
      </c>
      <c r="H964" s="41"/>
      <c r="I964" s="42"/>
      <c r="J964" s="42"/>
      <c r="K964" s="42"/>
      <c r="L964" s="42"/>
      <c r="M964" s="42"/>
      <c r="N964" s="42"/>
      <c r="O964" s="42"/>
      <c r="P964" s="42"/>
      <c r="Q964" s="42"/>
      <c r="R964" s="42"/>
      <c r="S964" s="42"/>
      <c r="T964" s="42"/>
      <c r="U964" s="42"/>
      <c r="V964" s="42"/>
      <c r="W964" s="42"/>
      <c r="X964" s="42"/>
      <c r="Y964" s="42"/>
      <c r="Z964" s="42"/>
      <c r="AA964" s="42"/>
    </row>
    <row r="965">
      <c r="A965" s="36" t="str">
        <f>IF($B965="","",VLOOKUP($B965,DADOS!$C$2:$I1014,2,0))</f>
        <v/>
      </c>
      <c r="B965" s="37"/>
      <c r="C965" s="36"/>
      <c r="D965" s="38" t="str">
        <f>IF($B965="","",SUM(VLOOKUP($B965,DADOS!$C$2:$I1014,4,0)*$C965))</f>
        <v/>
      </c>
      <c r="E965" s="38" t="str">
        <f>IF($B965="","",SUM(VLOOKUP($B965,DADOS!$C$2:$I1014,6,0)*$C965))</f>
        <v/>
      </c>
      <c r="F965" s="39" t="str">
        <f>IF($E965="","",(VLOOKUP($B965,DADOS!$C$2:$I1014,7,0)))</f>
        <v/>
      </c>
      <c r="G965" s="40" t="str">
        <f t="shared" si="2"/>
        <v/>
      </c>
      <c r="H965" s="41"/>
      <c r="I965" s="42"/>
      <c r="J965" s="42"/>
      <c r="K965" s="42"/>
      <c r="L965" s="42"/>
      <c r="M965" s="42"/>
      <c r="N965" s="42"/>
      <c r="O965" s="42"/>
      <c r="P965" s="42"/>
      <c r="Q965" s="42"/>
      <c r="R965" s="42"/>
      <c r="S965" s="42"/>
      <c r="T965" s="42"/>
      <c r="U965" s="42"/>
      <c r="V965" s="42"/>
      <c r="W965" s="42"/>
      <c r="X965" s="42"/>
      <c r="Y965" s="42"/>
      <c r="Z965" s="42"/>
      <c r="AA965" s="42"/>
    </row>
    <row r="966">
      <c r="A966" s="36" t="str">
        <f>IF($B966="","",VLOOKUP($B966,DADOS!$C$2:$I1014,2,0))</f>
        <v/>
      </c>
      <c r="B966" s="37"/>
      <c r="C966" s="36"/>
      <c r="D966" s="38" t="str">
        <f>IF($B966="","",SUM(VLOOKUP($B966,DADOS!$C$2:$I1014,4,0)*$C966))</f>
        <v/>
      </c>
      <c r="E966" s="38" t="str">
        <f>IF($B966="","",SUM(VLOOKUP($B966,DADOS!$C$2:$I1014,6,0)*$C966))</f>
        <v/>
      </c>
      <c r="F966" s="39" t="str">
        <f>IF($E966="","",(VLOOKUP($B966,DADOS!$C$2:$I1014,7,0)))</f>
        <v/>
      </c>
      <c r="G966" s="40" t="str">
        <f t="shared" si="2"/>
        <v/>
      </c>
      <c r="H966" s="41"/>
      <c r="I966" s="42"/>
      <c r="J966" s="42"/>
      <c r="K966" s="42"/>
      <c r="L966" s="42"/>
      <c r="M966" s="42"/>
      <c r="N966" s="42"/>
      <c r="O966" s="42"/>
      <c r="P966" s="42"/>
      <c r="Q966" s="42"/>
      <c r="R966" s="42"/>
      <c r="S966" s="42"/>
      <c r="T966" s="42"/>
      <c r="U966" s="42"/>
      <c r="V966" s="42"/>
      <c r="W966" s="42"/>
      <c r="X966" s="42"/>
      <c r="Y966" s="42"/>
      <c r="Z966" s="42"/>
      <c r="AA966" s="42"/>
    </row>
    <row r="967">
      <c r="A967" s="36" t="str">
        <f>IF($B967="","",VLOOKUP($B967,DADOS!$C$2:$I1014,2,0))</f>
        <v/>
      </c>
      <c r="B967" s="37"/>
      <c r="C967" s="36"/>
      <c r="D967" s="38" t="str">
        <f>IF($B967="","",SUM(VLOOKUP($B967,DADOS!$C$2:$I1014,4,0)*$C967))</f>
        <v/>
      </c>
      <c r="E967" s="38" t="str">
        <f>IF($B967="","",SUM(VLOOKUP($B967,DADOS!$C$2:$I1014,6,0)*$C967))</f>
        <v/>
      </c>
      <c r="F967" s="39" t="str">
        <f>IF($E967="","",(VLOOKUP($B967,DADOS!$C$2:$I1014,7,0)))</f>
        <v/>
      </c>
      <c r="G967" s="40" t="str">
        <f t="shared" si="2"/>
        <v/>
      </c>
      <c r="H967" s="41"/>
      <c r="I967" s="42"/>
      <c r="J967" s="42"/>
      <c r="K967" s="42"/>
      <c r="L967" s="42"/>
      <c r="M967" s="42"/>
      <c r="N967" s="42"/>
      <c r="O967" s="42"/>
      <c r="P967" s="42"/>
      <c r="Q967" s="42"/>
      <c r="R967" s="42"/>
      <c r="S967" s="42"/>
      <c r="T967" s="42"/>
      <c r="U967" s="42"/>
      <c r="V967" s="42"/>
      <c r="W967" s="42"/>
      <c r="X967" s="42"/>
      <c r="Y967" s="42"/>
      <c r="Z967" s="42"/>
      <c r="AA967" s="42"/>
    </row>
    <row r="968">
      <c r="A968" s="36" t="str">
        <f>IF($B968="","",VLOOKUP($B968,DADOS!$C$2:$I1014,2,0))</f>
        <v/>
      </c>
      <c r="B968" s="37"/>
      <c r="C968" s="36"/>
      <c r="D968" s="38" t="str">
        <f>IF($B968="","",SUM(VLOOKUP($B968,DADOS!$C$2:$I1014,4,0)*$C968))</f>
        <v/>
      </c>
      <c r="E968" s="38" t="str">
        <f>IF($B968="","",SUM(VLOOKUP($B968,DADOS!$C$2:$I1014,6,0)*$C968))</f>
        <v/>
      </c>
      <c r="F968" s="39" t="str">
        <f>IF($E968="","",(VLOOKUP($B968,DADOS!$C$2:$I1014,7,0)))</f>
        <v/>
      </c>
      <c r="G968" s="40" t="str">
        <f t="shared" si="2"/>
        <v/>
      </c>
      <c r="H968" s="41"/>
      <c r="I968" s="42"/>
      <c r="J968" s="42"/>
      <c r="K968" s="42"/>
      <c r="L968" s="42"/>
      <c r="M968" s="42"/>
      <c r="N968" s="42"/>
      <c r="O968" s="42"/>
      <c r="P968" s="42"/>
      <c r="Q968" s="42"/>
      <c r="R968" s="42"/>
      <c r="S968" s="42"/>
      <c r="T968" s="42"/>
      <c r="U968" s="42"/>
      <c r="V968" s="42"/>
      <c r="W968" s="42"/>
      <c r="X968" s="42"/>
      <c r="Y968" s="42"/>
      <c r="Z968" s="42"/>
      <c r="AA968" s="42"/>
    </row>
    <row r="969">
      <c r="A969" s="36" t="str">
        <f>IF($B969="","",VLOOKUP($B969,DADOS!$C$2:$I1014,2,0))</f>
        <v/>
      </c>
      <c r="B969" s="37"/>
      <c r="C969" s="36"/>
      <c r="D969" s="38" t="str">
        <f>IF($B969="","",SUM(VLOOKUP($B969,DADOS!$C$2:$I1014,4,0)*$C969))</f>
        <v/>
      </c>
      <c r="E969" s="38" t="str">
        <f>IF($B969="","",SUM(VLOOKUP($B969,DADOS!$C$2:$I1014,6,0)*$C969))</f>
        <v/>
      </c>
      <c r="F969" s="39" t="str">
        <f>IF($E969="","",(VLOOKUP($B969,DADOS!$C$2:$I1014,7,0)))</f>
        <v/>
      </c>
      <c r="G969" s="40" t="str">
        <f t="shared" si="2"/>
        <v/>
      </c>
      <c r="H969" s="41"/>
      <c r="I969" s="42"/>
      <c r="J969" s="42"/>
      <c r="K969" s="42"/>
      <c r="L969" s="42"/>
      <c r="M969" s="42"/>
      <c r="N969" s="42"/>
      <c r="O969" s="42"/>
      <c r="P969" s="42"/>
      <c r="Q969" s="42"/>
      <c r="R969" s="42"/>
      <c r="S969" s="42"/>
      <c r="T969" s="42"/>
      <c r="U969" s="42"/>
      <c r="V969" s="42"/>
      <c r="W969" s="42"/>
      <c r="X969" s="42"/>
      <c r="Y969" s="42"/>
      <c r="Z969" s="42"/>
      <c r="AA969" s="42"/>
    </row>
    <row r="970">
      <c r="A970" s="36" t="str">
        <f>IF($B970="","",VLOOKUP($B970,DADOS!$C$2:$I1014,2,0))</f>
        <v/>
      </c>
      <c r="B970" s="37"/>
      <c r="C970" s="36"/>
      <c r="D970" s="38" t="str">
        <f>IF($B970="","",SUM(VLOOKUP($B970,DADOS!$C$2:$I1014,4,0)*$C970))</f>
        <v/>
      </c>
      <c r="E970" s="38" t="str">
        <f>IF($B970="","",SUM(VLOOKUP($B970,DADOS!$C$2:$I1014,6,0)*$C970))</f>
        <v/>
      </c>
      <c r="F970" s="39" t="str">
        <f>IF($E970="","",(VLOOKUP($B970,DADOS!$C$2:$I1014,7,0)))</f>
        <v/>
      </c>
      <c r="G970" s="40" t="str">
        <f t="shared" si="2"/>
        <v/>
      </c>
      <c r="H970" s="41"/>
      <c r="I970" s="42"/>
      <c r="J970" s="42"/>
      <c r="K970" s="42"/>
      <c r="L970" s="42"/>
      <c r="M970" s="42"/>
      <c r="N970" s="42"/>
      <c r="O970" s="42"/>
      <c r="P970" s="42"/>
      <c r="Q970" s="42"/>
      <c r="R970" s="42"/>
      <c r="S970" s="42"/>
      <c r="T970" s="42"/>
      <c r="U970" s="42"/>
      <c r="V970" s="42"/>
      <c r="W970" s="42"/>
      <c r="X970" s="42"/>
      <c r="Y970" s="42"/>
      <c r="Z970" s="42"/>
      <c r="AA970" s="42"/>
    </row>
    <row r="971">
      <c r="A971" s="36" t="str">
        <f>IF($B971="","",VLOOKUP($B971,DADOS!$C$2:$I1014,2,0))</f>
        <v/>
      </c>
      <c r="B971" s="37"/>
      <c r="C971" s="36"/>
      <c r="D971" s="38" t="str">
        <f>IF($B971="","",SUM(VLOOKUP($B971,DADOS!$C$2:$I1014,4,0)*$C971))</f>
        <v/>
      </c>
      <c r="E971" s="38" t="str">
        <f>IF($B971="","",SUM(VLOOKUP($B971,DADOS!$C$2:$I1014,6,0)*$C971))</f>
        <v/>
      </c>
      <c r="F971" s="39" t="str">
        <f>IF($E971="","",(VLOOKUP($B971,DADOS!$C$2:$I1014,7,0)))</f>
        <v/>
      </c>
      <c r="G971" s="40" t="str">
        <f t="shared" si="2"/>
        <v/>
      </c>
      <c r="H971" s="41"/>
      <c r="I971" s="42"/>
      <c r="J971" s="42"/>
      <c r="K971" s="42"/>
      <c r="L971" s="42"/>
      <c r="M971" s="42"/>
      <c r="N971" s="42"/>
      <c r="O971" s="42"/>
      <c r="P971" s="42"/>
      <c r="Q971" s="42"/>
      <c r="R971" s="42"/>
      <c r="S971" s="42"/>
      <c r="T971" s="42"/>
      <c r="U971" s="42"/>
      <c r="V971" s="42"/>
      <c r="W971" s="42"/>
      <c r="X971" s="42"/>
      <c r="Y971" s="42"/>
      <c r="Z971" s="42"/>
      <c r="AA971" s="42"/>
    </row>
    <row r="972">
      <c r="A972" s="36" t="str">
        <f>IF($B972="","",VLOOKUP($B972,DADOS!$C$2:$I1014,2,0))</f>
        <v/>
      </c>
      <c r="B972" s="37"/>
      <c r="C972" s="36"/>
      <c r="D972" s="38" t="str">
        <f>IF($B972="","",SUM(VLOOKUP($B972,DADOS!$C$2:$I1014,4,0)*$C972))</f>
        <v/>
      </c>
      <c r="E972" s="38" t="str">
        <f>IF($B972="","",SUM(VLOOKUP($B972,DADOS!$C$2:$I1014,6,0)*$C972))</f>
        <v/>
      </c>
      <c r="F972" s="39" t="str">
        <f>IF($E972="","",(VLOOKUP($B972,DADOS!$C$2:$I1014,7,0)))</f>
        <v/>
      </c>
      <c r="G972" s="40" t="str">
        <f t="shared" si="2"/>
        <v/>
      </c>
      <c r="H972" s="41"/>
      <c r="I972" s="42"/>
      <c r="J972" s="42"/>
      <c r="K972" s="42"/>
      <c r="L972" s="42"/>
      <c r="M972" s="42"/>
      <c r="N972" s="42"/>
      <c r="O972" s="42"/>
      <c r="P972" s="42"/>
      <c r="Q972" s="42"/>
      <c r="R972" s="42"/>
      <c r="S972" s="42"/>
      <c r="T972" s="42"/>
      <c r="U972" s="42"/>
      <c r="V972" s="42"/>
      <c r="W972" s="42"/>
      <c r="X972" s="42"/>
      <c r="Y972" s="42"/>
      <c r="Z972" s="42"/>
      <c r="AA972" s="42"/>
    </row>
    <row r="973">
      <c r="A973" s="36" t="str">
        <f>IF($B973="","",VLOOKUP($B973,DADOS!$C$2:$I1014,2,0))</f>
        <v/>
      </c>
      <c r="B973" s="37"/>
      <c r="C973" s="36"/>
      <c r="D973" s="38" t="str">
        <f>IF($B973="","",SUM(VLOOKUP($B973,DADOS!$C$2:$I1014,4,0)*$C973))</f>
        <v/>
      </c>
      <c r="E973" s="38" t="str">
        <f>IF($B973="","",SUM(VLOOKUP($B973,DADOS!$C$2:$I1014,6,0)*$C973))</f>
        <v/>
      </c>
      <c r="F973" s="39" t="str">
        <f>IF($E973="","",(VLOOKUP($B973,DADOS!$C$2:$I1014,7,0)))</f>
        <v/>
      </c>
      <c r="G973" s="40" t="str">
        <f t="shared" si="2"/>
        <v/>
      </c>
      <c r="H973" s="41"/>
      <c r="I973" s="42"/>
      <c r="J973" s="42"/>
      <c r="K973" s="42"/>
      <c r="L973" s="42"/>
      <c r="M973" s="42"/>
      <c r="N973" s="42"/>
      <c r="O973" s="42"/>
      <c r="P973" s="42"/>
      <c r="Q973" s="42"/>
      <c r="R973" s="42"/>
      <c r="S973" s="42"/>
      <c r="T973" s="42"/>
      <c r="U973" s="42"/>
      <c r="V973" s="42"/>
      <c r="W973" s="42"/>
      <c r="X973" s="42"/>
      <c r="Y973" s="42"/>
      <c r="Z973" s="42"/>
      <c r="AA973" s="42"/>
    </row>
    <row r="974">
      <c r="A974" s="36" t="str">
        <f>IF($B974="","",VLOOKUP($B974,DADOS!$C$2:$I1014,2,0))</f>
        <v/>
      </c>
      <c r="B974" s="37"/>
      <c r="C974" s="36"/>
      <c r="D974" s="38" t="str">
        <f>IF($B974="","",SUM(VLOOKUP($B974,DADOS!$C$2:$I1014,4,0)*$C974))</f>
        <v/>
      </c>
      <c r="E974" s="38" t="str">
        <f>IF($B974="","",SUM(VLOOKUP($B974,DADOS!$C$2:$I1014,6,0)*$C974))</f>
        <v/>
      </c>
      <c r="F974" s="39" t="str">
        <f>IF($E974="","",(VLOOKUP($B974,DADOS!$C$2:$I1014,7,0)))</f>
        <v/>
      </c>
      <c r="G974" s="40" t="str">
        <f t="shared" si="2"/>
        <v/>
      </c>
      <c r="H974" s="41"/>
      <c r="I974" s="42"/>
      <c r="J974" s="42"/>
      <c r="K974" s="42"/>
      <c r="L974" s="42"/>
      <c r="M974" s="42"/>
      <c r="N974" s="42"/>
      <c r="O974" s="42"/>
      <c r="P974" s="42"/>
      <c r="Q974" s="42"/>
      <c r="R974" s="42"/>
      <c r="S974" s="42"/>
      <c r="T974" s="42"/>
      <c r="U974" s="42"/>
      <c r="V974" s="42"/>
      <c r="W974" s="42"/>
      <c r="X974" s="42"/>
      <c r="Y974" s="42"/>
      <c r="Z974" s="42"/>
      <c r="AA974" s="42"/>
    </row>
    <row r="975">
      <c r="A975" s="36" t="str">
        <f>IF($B975="","",VLOOKUP($B975,DADOS!$C$2:$I1014,2,0))</f>
        <v/>
      </c>
      <c r="B975" s="37"/>
      <c r="C975" s="36"/>
      <c r="D975" s="38" t="str">
        <f>IF($B975="","",SUM(VLOOKUP($B975,DADOS!$C$2:$I1014,4,0)*$C975))</f>
        <v/>
      </c>
      <c r="E975" s="38" t="str">
        <f>IF($B975="","",SUM(VLOOKUP($B975,DADOS!$C$2:$I1014,6,0)*$C975))</f>
        <v/>
      </c>
      <c r="F975" s="39" t="str">
        <f>IF($E975="","",(VLOOKUP($B975,DADOS!$C$2:$I1014,7,0)))</f>
        <v/>
      </c>
      <c r="G975" s="40" t="str">
        <f t="shared" si="2"/>
        <v/>
      </c>
      <c r="H975" s="41"/>
      <c r="I975" s="42"/>
      <c r="J975" s="42"/>
      <c r="K975" s="42"/>
      <c r="L975" s="42"/>
      <c r="M975" s="42"/>
      <c r="N975" s="42"/>
      <c r="O975" s="42"/>
      <c r="P975" s="42"/>
      <c r="Q975" s="42"/>
      <c r="R975" s="42"/>
      <c r="S975" s="42"/>
      <c r="T975" s="42"/>
      <c r="U975" s="42"/>
      <c r="V975" s="42"/>
      <c r="W975" s="42"/>
      <c r="X975" s="42"/>
      <c r="Y975" s="42"/>
      <c r="Z975" s="42"/>
      <c r="AA975" s="42"/>
    </row>
    <row r="976">
      <c r="A976" s="36" t="str">
        <f>IF($B976="","",VLOOKUP($B976,DADOS!$C$2:$I1014,2,0))</f>
        <v/>
      </c>
      <c r="B976" s="37"/>
      <c r="C976" s="36"/>
      <c r="D976" s="38" t="str">
        <f>IF($B976="","",SUM(VLOOKUP($B976,DADOS!$C$2:$I1014,4,0)*$C976))</f>
        <v/>
      </c>
      <c r="E976" s="38" t="str">
        <f>IF($B976="","",SUM(VLOOKUP($B976,DADOS!$C$2:$I1014,6,0)*$C976))</f>
        <v/>
      </c>
      <c r="F976" s="39" t="str">
        <f>IF($E976="","",(VLOOKUP($B976,DADOS!$C$2:$I1014,7,0)))</f>
        <v/>
      </c>
      <c r="G976" s="40" t="str">
        <f t="shared" si="2"/>
        <v/>
      </c>
      <c r="H976" s="41"/>
      <c r="I976" s="42"/>
      <c r="J976" s="42"/>
      <c r="K976" s="42"/>
      <c r="L976" s="42"/>
      <c r="M976" s="42"/>
      <c r="N976" s="42"/>
      <c r="O976" s="42"/>
      <c r="P976" s="42"/>
      <c r="Q976" s="42"/>
      <c r="R976" s="42"/>
      <c r="S976" s="42"/>
      <c r="T976" s="42"/>
      <c r="U976" s="42"/>
      <c r="V976" s="42"/>
      <c r="W976" s="42"/>
      <c r="X976" s="42"/>
      <c r="Y976" s="42"/>
      <c r="Z976" s="42"/>
      <c r="AA976" s="42"/>
    </row>
    <row r="977">
      <c r="A977" s="36" t="str">
        <f>IF($B977="","",VLOOKUP($B977,DADOS!$C$2:$I1014,2,0))</f>
        <v/>
      </c>
      <c r="B977" s="37"/>
      <c r="C977" s="36"/>
      <c r="D977" s="38" t="str">
        <f>IF($B977="","",SUM(VLOOKUP($B977,DADOS!$C$2:$I1014,4,0)*$C977))</f>
        <v/>
      </c>
      <c r="E977" s="38" t="str">
        <f>IF($B977="","",SUM(VLOOKUP($B977,DADOS!$C$2:$I1014,6,0)*$C977))</f>
        <v/>
      </c>
      <c r="F977" s="39" t="str">
        <f>IF($E977="","",(VLOOKUP($B977,DADOS!$C$2:$I1014,7,0)))</f>
        <v/>
      </c>
      <c r="G977" s="40" t="str">
        <f t="shared" si="2"/>
        <v/>
      </c>
      <c r="H977" s="41"/>
      <c r="I977" s="42"/>
      <c r="J977" s="42"/>
      <c r="K977" s="42"/>
      <c r="L977" s="42"/>
      <c r="M977" s="42"/>
      <c r="N977" s="42"/>
      <c r="O977" s="42"/>
      <c r="P977" s="42"/>
      <c r="Q977" s="42"/>
      <c r="R977" s="42"/>
      <c r="S977" s="42"/>
      <c r="T977" s="42"/>
      <c r="U977" s="42"/>
      <c r="V977" s="42"/>
      <c r="W977" s="42"/>
      <c r="X977" s="42"/>
      <c r="Y977" s="42"/>
      <c r="Z977" s="42"/>
      <c r="AA977" s="42"/>
    </row>
    <row r="978">
      <c r="A978" s="36" t="str">
        <f>IF($B978="","",VLOOKUP($B978,DADOS!$C$2:$I1014,2,0))</f>
        <v/>
      </c>
      <c r="B978" s="37"/>
      <c r="C978" s="36"/>
      <c r="D978" s="38" t="str">
        <f>IF($B978="","",SUM(VLOOKUP($B978,DADOS!$C$2:$I1014,4,0)*$C978))</f>
        <v/>
      </c>
      <c r="E978" s="38" t="str">
        <f>IF($B978="","",SUM(VLOOKUP($B978,DADOS!$C$2:$I1014,6,0)*$C978))</f>
        <v/>
      </c>
      <c r="F978" s="39" t="str">
        <f>IF($E978="","",(VLOOKUP($B978,DADOS!$C$2:$I1014,7,0)))</f>
        <v/>
      </c>
      <c r="G978" s="40" t="str">
        <f t="shared" si="2"/>
        <v/>
      </c>
      <c r="H978" s="41"/>
      <c r="I978" s="42"/>
      <c r="J978" s="42"/>
      <c r="K978" s="42"/>
      <c r="L978" s="42"/>
      <c r="M978" s="42"/>
      <c r="N978" s="42"/>
      <c r="O978" s="42"/>
      <c r="P978" s="42"/>
      <c r="Q978" s="42"/>
      <c r="R978" s="42"/>
      <c r="S978" s="42"/>
      <c r="T978" s="42"/>
      <c r="U978" s="42"/>
      <c r="V978" s="42"/>
      <c r="W978" s="42"/>
      <c r="X978" s="42"/>
      <c r="Y978" s="42"/>
      <c r="Z978" s="42"/>
      <c r="AA978" s="42"/>
    </row>
    <row r="979">
      <c r="A979" s="36" t="str">
        <f>IF($B979="","",VLOOKUP($B979,DADOS!$C$2:$I1014,2,0))</f>
        <v/>
      </c>
      <c r="B979" s="37"/>
      <c r="C979" s="36"/>
      <c r="D979" s="38" t="str">
        <f>IF($B979="","",SUM(VLOOKUP($B979,DADOS!$C$2:$I1014,4,0)*$C979))</f>
        <v/>
      </c>
      <c r="E979" s="38" t="str">
        <f>IF($B979="","",SUM(VLOOKUP($B979,DADOS!$C$2:$I1014,6,0)*$C979))</f>
        <v/>
      </c>
      <c r="F979" s="39" t="str">
        <f>IF($E979="","",(VLOOKUP($B979,DADOS!$C$2:$I1014,7,0)))</f>
        <v/>
      </c>
      <c r="G979" s="40" t="str">
        <f t="shared" si="2"/>
        <v/>
      </c>
      <c r="H979" s="41"/>
      <c r="I979" s="42"/>
      <c r="J979" s="42"/>
      <c r="K979" s="42"/>
      <c r="L979" s="42"/>
      <c r="M979" s="42"/>
      <c r="N979" s="42"/>
      <c r="O979" s="42"/>
      <c r="P979" s="42"/>
      <c r="Q979" s="42"/>
      <c r="R979" s="42"/>
      <c r="S979" s="42"/>
      <c r="T979" s="42"/>
      <c r="U979" s="42"/>
      <c r="V979" s="42"/>
      <c r="W979" s="42"/>
      <c r="X979" s="42"/>
      <c r="Y979" s="42"/>
      <c r="Z979" s="42"/>
      <c r="AA979" s="42"/>
    </row>
    <row r="980">
      <c r="A980" s="36" t="str">
        <f>IF($B980="","",VLOOKUP($B980,DADOS!$C$2:$I1014,2,0))</f>
        <v/>
      </c>
      <c r="B980" s="37"/>
      <c r="C980" s="36"/>
      <c r="D980" s="38" t="str">
        <f>IF($B980="","",SUM(VLOOKUP($B980,DADOS!$C$2:$I1014,4,0)*$C980))</f>
        <v/>
      </c>
      <c r="E980" s="38" t="str">
        <f>IF($B980="","",SUM(VLOOKUP($B980,DADOS!$C$2:$I1014,6,0)*$C980))</f>
        <v/>
      </c>
      <c r="F980" s="39" t="str">
        <f>IF($E980="","",(VLOOKUP($B980,DADOS!$C$2:$I1014,7,0)))</f>
        <v/>
      </c>
      <c r="G980" s="40" t="str">
        <f t="shared" si="2"/>
        <v/>
      </c>
      <c r="H980" s="41"/>
      <c r="I980" s="42"/>
      <c r="J980" s="42"/>
      <c r="K980" s="42"/>
      <c r="L980" s="42"/>
      <c r="M980" s="42"/>
      <c r="N980" s="42"/>
      <c r="O980" s="42"/>
      <c r="P980" s="42"/>
      <c r="Q980" s="42"/>
      <c r="R980" s="42"/>
      <c r="S980" s="42"/>
      <c r="T980" s="42"/>
      <c r="U980" s="42"/>
      <c r="V980" s="42"/>
      <c r="W980" s="42"/>
      <c r="X980" s="42"/>
      <c r="Y980" s="42"/>
      <c r="Z980" s="42"/>
      <c r="AA980" s="42"/>
    </row>
    <row r="981">
      <c r="A981" s="36" t="str">
        <f>IF($B981="","",VLOOKUP($B981,DADOS!$C$2:$I1014,2,0))</f>
        <v/>
      </c>
      <c r="B981" s="37"/>
      <c r="C981" s="36"/>
      <c r="D981" s="38" t="str">
        <f>IF($B981="","",SUM(VLOOKUP($B981,DADOS!$C$2:$I1014,4,0)*$C981))</f>
        <v/>
      </c>
      <c r="E981" s="38" t="str">
        <f>IF($B981="","",SUM(VLOOKUP($B981,DADOS!$C$2:$I1014,6,0)*$C981))</f>
        <v/>
      </c>
      <c r="F981" s="39" t="str">
        <f>IF($E981="","",(VLOOKUP($B981,DADOS!$C$2:$I1014,7,0)))</f>
        <v/>
      </c>
      <c r="G981" s="40" t="str">
        <f t="shared" si="2"/>
        <v/>
      </c>
      <c r="H981" s="41"/>
      <c r="I981" s="42"/>
      <c r="J981" s="42"/>
      <c r="K981" s="42"/>
      <c r="L981" s="42"/>
      <c r="M981" s="42"/>
      <c r="N981" s="42"/>
      <c r="O981" s="42"/>
      <c r="P981" s="42"/>
      <c r="Q981" s="42"/>
      <c r="R981" s="42"/>
      <c r="S981" s="42"/>
      <c r="T981" s="42"/>
      <c r="U981" s="42"/>
      <c r="V981" s="42"/>
      <c r="W981" s="42"/>
      <c r="X981" s="42"/>
      <c r="Y981" s="42"/>
      <c r="Z981" s="42"/>
      <c r="AA981" s="42"/>
    </row>
    <row r="982">
      <c r="A982" s="36" t="str">
        <f>IF($B982="","",VLOOKUP($B982,DADOS!$C$2:$I1014,2,0))</f>
        <v/>
      </c>
      <c r="B982" s="37"/>
      <c r="C982" s="36"/>
      <c r="D982" s="38" t="str">
        <f>IF($B982="","",SUM(VLOOKUP($B982,DADOS!$C$2:$I1014,4,0)*$C982))</f>
        <v/>
      </c>
      <c r="E982" s="38" t="str">
        <f>IF($B982="","",SUM(VLOOKUP($B982,DADOS!$C$2:$I1014,6,0)*$C982))</f>
        <v/>
      </c>
      <c r="F982" s="39" t="str">
        <f>IF($E982="","",(VLOOKUP($B982,DADOS!$C$2:$I1014,7,0)))</f>
        <v/>
      </c>
      <c r="G982" s="40" t="str">
        <f t="shared" si="2"/>
        <v/>
      </c>
      <c r="H982" s="41"/>
      <c r="I982" s="42"/>
      <c r="J982" s="42"/>
      <c r="K982" s="42"/>
      <c r="L982" s="42"/>
      <c r="M982" s="42"/>
      <c r="N982" s="42"/>
      <c r="O982" s="42"/>
      <c r="P982" s="42"/>
      <c r="Q982" s="42"/>
      <c r="R982" s="42"/>
      <c r="S982" s="42"/>
      <c r="T982" s="42"/>
      <c r="U982" s="42"/>
      <c r="V982" s="42"/>
      <c r="W982" s="42"/>
      <c r="X982" s="42"/>
      <c r="Y982" s="42"/>
      <c r="Z982" s="42"/>
      <c r="AA982" s="42"/>
    </row>
    <row r="983">
      <c r="A983" s="36" t="str">
        <f>IF($B983="","",VLOOKUP($B983,DADOS!$C$2:$I1014,2,0))</f>
        <v/>
      </c>
      <c r="B983" s="37"/>
      <c r="C983" s="36"/>
      <c r="D983" s="38" t="str">
        <f>IF($B983="","",SUM(VLOOKUP($B983,DADOS!$C$2:$I1014,4,0)*$C983))</f>
        <v/>
      </c>
      <c r="E983" s="38" t="str">
        <f>IF($B983="","",SUM(VLOOKUP($B983,DADOS!$C$2:$I1014,6,0)*$C983))</f>
        <v/>
      </c>
      <c r="F983" s="39" t="str">
        <f>IF($E983="","",(VLOOKUP($B983,DADOS!$C$2:$I1014,7,0)))</f>
        <v/>
      </c>
      <c r="G983" s="40" t="str">
        <f t="shared" si="2"/>
        <v/>
      </c>
      <c r="H983" s="41"/>
      <c r="I983" s="42"/>
      <c r="J983" s="42"/>
      <c r="K983" s="42"/>
      <c r="L983" s="42"/>
      <c r="M983" s="42"/>
      <c r="N983" s="42"/>
      <c r="O983" s="42"/>
      <c r="P983" s="42"/>
      <c r="Q983" s="42"/>
      <c r="R983" s="42"/>
      <c r="S983" s="42"/>
      <c r="T983" s="42"/>
      <c r="U983" s="42"/>
      <c r="V983" s="42"/>
      <c r="W983" s="42"/>
      <c r="X983" s="42"/>
      <c r="Y983" s="42"/>
      <c r="Z983" s="42"/>
      <c r="AA983" s="42"/>
    </row>
    <row r="984">
      <c r="A984" s="36" t="str">
        <f>IF($B984="","",VLOOKUP($B984,DADOS!$C$2:$I1014,2,0))</f>
        <v/>
      </c>
      <c r="B984" s="37"/>
      <c r="C984" s="36"/>
      <c r="D984" s="38" t="str">
        <f>IF($B984="","",SUM(VLOOKUP($B984,DADOS!$C$2:$I1014,4,0)*$C984))</f>
        <v/>
      </c>
      <c r="E984" s="38" t="str">
        <f>IF($B984="","",SUM(VLOOKUP($B984,DADOS!$C$2:$I1014,6,0)*$C984))</f>
        <v/>
      </c>
      <c r="F984" s="39" t="str">
        <f>IF($E984="","",(VLOOKUP($B984,DADOS!$C$2:$I1014,7,0)))</f>
        <v/>
      </c>
      <c r="G984" s="40" t="str">
        <f t="shared" si="2"/>
        <v/>
      </c>
      <c r="H984" s="41"/>
      <c r="I984" s="42"/>
      <c r="J984" s="42"/>
      <c r="K984" s="42"/>
      <c r="L984" s="42"/>
      <c r="M984" s="42"/>
      <c r="N984" s="42"/>
      <c r="O984" s="42"/>
      <c r="P984" s="42"/>
      <c r="Q984" s="42"/>
      <c r="R984" s="42"/>
      <c r="S984" s="42"/>
      <c r="T984" s="42"/>
      <c r="U984" s="42"/>
      <c r="V984" s="42"/>
      <c r="W984" s="42"/>
      <c r="X984" s="42"/>
      <c r="Y984" s="42"/>
      <c r="Z984" s="42"/>
      <c r="AA984" s="42"/>
    </row>
    <row r="985">
      <c r="A985" s="36" t="str">
        <f>IF($B985="","",VLOOKUP($B985,DADOS!$C$2:$I1014,2,0))</f>
        <v/>
      </c>
      <c r="B985" s="37"/>
      <c r="C985" s="36"/>
      <c r="D985" s="38" t="str">
        <f>IF($B985="","",SUM(VLOOKUP($B985,DADOS!$C$2:$I1014,4,0)*$C985))</f>
        <v/>
      </c>
      <c r="E985" s="38" t="str">
        <f>IF($B985="","",SUM(VLOOKUP($B985,DADOS!$C$2:$I1014,6,0)*$C985))</f>
        <v/>
      </c>
      <c r="F985" s="39" t="str">
        <f>IF($E985="","",(VLOOKUP($B985,DADOS!$C$2:$I1014,7,0)))</f>
        <v/>
      </c>
      <c r="G985" s="40" t="str">
        <f t="shared" si="2"/>
        <v/>
      </c>
      <c r="H985" s="41"/>
      <c r="I985" s="42"/>
      <c r="J985" s="42"/>
      <c r="K985" s="42"/>
      <c r="L985" s="42"/>
      <c r="M985" s="42"/>
      <c r="N985" s="42"/>
      <c r="O985" s="42"/>
      <c r="P985" s="42"/>
      <c r="Q985" s="42"/>
      <c r="R985" s="42"/>
      <c r="S985" s="42"/>
      <c r="T985" s="42"/>
      <c r="U985" s="42"/>
      <c r="V985" s="42"/>
      <c r="W985" s="42"/>
      <c r="X985" s="42"/>
      <c r="Y985" s="42"/>
      <c r="Z985" s="42"/>
      <c r="AA985" s="42"/>
    </row>
    <row r="986">
      <c r="A986" s="36" t="str">
        <f>IF($B986="","",VLOOKUP($B986,DADOS!$C$2:$I1014,2,0))</f>
        <v/>
      </c>
      <c r="B986" s="37"/>
      <c r="C986" s="36"/>
      <c r="D986" s="38" t="str">
        <f>IF($B986="","",SUM(VLOOKUP($B986,DADOS!$C$2:$I1014,4,0)*$C986))</f>
        <v/>
      </c>
      <c r="E986" s="38" t="str">
        <f>IF($B986="","",SUM(VLOOKUP($B986,DADOS!$C$2:$I1014,6,0)*$C986))</f>
        <v/>
      </c>
      <c r="F986" s="39" t="str">
        <f>IF($E986="","",(VLOOKUP($B986,DADOS!$C$2:$I1014,7,0)))</f>
        <v/>
      </c>
      <c r="G986" s="40" t="str">
        <f t="shared" si="2"/>
        <v/>
      </c>
      <c r="H986" s="41"/>
      <c r="I986" s="42"/>
      <c r="J986" s="42"/>
      <c r="K986" s="42"/>
      <c r="L986" s="42"/>
      <c r="M986" s="42"/>
      <c r="N986" s="42"/>
      <c r="O986" s="42"/>
      <c r="P986" s="42"/>
      <c r="Q986" s="42"/>
      <c r="R986" s="42"/>
      <c r="S986" s="42"/>
      <c r="T986" s="42"/>
      <c r="U986" s="42"/>
      <c r="V986" s="42"/>
      <c r="W986" s="42"/>
      <c r="X986" s="42"/>
      <c r="Y986" s="42"/>
      <c r="Z986" s="42"/>
      <c r="AA986" s="42"/>
    </row>
    <row r="987">
      <c r="A987" s="36" t="str">
        <f>IF($B987="","",VLOOKUP($B987,DADOS!$C$2:$I1014,2,0))</f>
        <v/>
      </c>
      <c r="B987" s="37"/>
      <c r="C987" s="36"/>
      <c r="D987" s="38" t="str">
        <f>IF($B987="","",SUM(VLOOKUP($B987,DADOS!$C$2:$I1014,4,0)*$C987))</f>
        <v/>
      </c>
      <c r="E987" s="38" t="str">
        <f>IF($B987="","",SUM(VLOOKUP($B987,DADOS!$C$2:$I1014,6,0)*$C987))</f>
        <v/>
      </c>
      <c r="F987" s="39" t="str">
        <f>IF($E987="","",(VLOOKUP($B987,DADOS!$C$2:$I1014,7,0)))</f>
        <v/>
      </c>
      <c r="G987" s="40" t="str">
        <f t="shared" si="2"/>
        <v/>
      </c>
      <c r="H987" s="41"/>
      <c r="I987" s="42"/>
      <c r="J987" s="42"/>
      <c r="K987" s="42"/>
      <c r="L987" s="42"/>
      <c r="M987" s="42"/>
      <c r="N987" s="42"/>
      <c r="O987" s="42"/>
      <c r="P987" s="42"/>
      <c r="Q987" s="42"/>
      <c r="R987" s="42"/>
      <c r="S987" s="42"/>
      <c r="T987" s="42"/>
      <c r="U987" s="42"/>
      <c r="V987" s="42"/>
      <c r="W987" s="42"/>
      <c r="X987" s="42"/>
      <c r="Y987" s="42"/>
      <c r="Z987" s="42"/>
      <c r="AA987" s="42"/>
    </row>
    <row r="988">
      <c r="A988" s="36" t="str">
        <f>IF($B988="","",VLOOKUP($B988,DADOS!$C$2:$I1014,2,0))</f>
        <v/>
      </c>
      <c r="B988" s="37"/>
      <c r="C988" s="36"/>
      <c r="D988" s="38" t="str">
        <f>IF($B988="","",SUM(VLOOKUP($B988,DADOS!$C$2:$I1014,4,0)*$C988))</f>
        <v/>
      </c>
      <c r="E988" s="38" t="str">
        <f>IF($B988="","",SUM(VLOOKUP($B988,DADOS!$C$2:$I1014,6,0)*$C988))</f>
        <v/>
      </c>
      <c r="F988" s="39" t="str">
        <f>IF($E988="","",(VLOOKUP($B988,DADOS!$C$2:$I1014,7,0)))</f>
        <v/>
      </c>
      <c r="G988" s="40" t="str">
        <f t="shared" si="2"/>
        <v/>
      </c>
      <c r="H988" s="41"/>
      <c r="I988" s="42"/>
      <c r="J988" s="42"/>
      <c r="K988" s="42"/>
      <c r="L988" s="42"/>
      <c r="M988" s="42"/>
      <c r="N988" s="42"/>
      <c r="O988" s="42"/>
      <c r="P988" s="42"/>
      <c r="Q988" s="42"/>
      <c r="R988" s="42"/>
      <c r="S988" s="42"/>
      <c r="T988" s="42"/>
      <c r="U988" s="42"/>
      <c r="V988" s="42"/>
      <c r="W988" s="42"/>
      <c r="X988" s="42"/>
      <c r="Y988" s="42"/>
      <c r="Z988" s="42"/>
      <c r="AA988" s="42"/>
    </row>
    <row r="989">
      <c r="A989" s="36" t="str">
        <f>IF($B989="","",VLOOKUP($B989,DADOS!$C$2:$I1014,2,0))</f>
        <v/>
      </c>
      <c r="B989" s="37"/>
      <c r="C989" s="36"/>
      <c r="D989" s="38" t="str">
        <f>IF($B989="","",SUM(VLOOKUP($B989,DADOS!$C$2:$I1014,4,0)*$C989))</f>
        <v/>
      </c>
      <c r="E989" s="38" t="str">
        <f>IF($B989="","",SUM(VLOOKUP($B989,DADOS!$C$2:$I1014,6,0)*$C989))</f>
        <v/>
      </c>
      <c r="F989" s="39" t="str">
        <f>IF($E989="","",(VLOOKUP($B989,DADOS!$C$2:$I1014,7,0)))</f>
        <v/>
      </c>
      <c r="G989" s="40" t="str">
        <f t="shared" si="2"/>
        <v/>
      </c>
      <c r="H989" s="41"/>
      <c r="I989" s="42"/>
      <c r="J989" s="42"/>
      <c r="K989" s="42"/>
      <c r="L989" s="42"/>
      <c r="M989" s="42"/>
      <c r="N989" s="42"/>
      <c r="O989" s="42"/>
      <c r="P989" s="42"/>
      <c r="Q989" s="42"/>
      <c r="R989" s="42"/>
      <c r="S989" s="42"/>
      <c r="T989" s="42"/>
      <c r="U989" s="42"/>
      <c r="V989" s="42"/>
      <c r="W989" s="42"/>
      <c r="X989" s="42"/>
      <c r="Y989" s="42"/>
      <c r="Z989" s="42"/>
      <c r="AA989" s="42"/>
    </row>
    <row r="990">
      <c r="A990" s="36" t="str">
        <f>IF($B990="","",VLOOKUP($B990,DADOS!$C$2:$I1014,2,0))</f>
        <v/>
      </c>
      <c r="B990" s="37"/>
      <c r="C990" s="36"/>
      <c r="D990" s="38" t="str">
        <f>IF($B990="","",SUM(VLOOKUP($B990,DADOS!$C$2:$I1014,4,0)*$C990))</f>
        <v/>
      </c>
      <c r="E990" s="38" t="str">
        <f>IF($B990="","",SUM(VLOOKUP($B990,DADOS!$C$2:$I1014,6,0)*$C990))</f>
        <v/>
      </c>
      <c r="F990" s="39" t="str">
        <f>IF($E990="","",(VLOOKUP($B990,DADOS!$C$2:$I1014,7,0)))</f>
        <v/>
      </c>
      <c r="G990" s="40" t="str">
        <f t="shared" si="2"/>
        <v/>
      </c>
      <c r="H990" s="41"/>
      <c r="I990" s="42"/>
      <c r="J990" s="42"/>
      <c r="K990" s="42"/>
      <c r="L990" s="42"/>
      <c r="M990" s="42"/>
      <c r="N990" s="42"/>
      <c r="O990" s="42"/>
      <c r="P990" s="42"/>
      <c r="Q990" s="42"/>
      <c r="R990" s="42"/>
      <c r="S990" s="42"/>
      <c r="T990" s="42"/>
      <c r="U990" s="42"/>
      <c r="V990" s="42"/>
      <c r="W990" s="42"/>
      <c r="X990" s="42"/>
      <c r="Y990" s="42"/>
      <c r="Z990" s="42"/>
      <c r="AA990" s="42"/>
    </row>
    <row r="991">
      <c r="A991" s="36" t="str">
        <f>IF($B991="","",VLOOKUP($B991,DADOS!$C$2:$I1014,2,0))</f>
        <v/>
      </c>
      <c r="B991" s="37"/>
      <c r="C991" s="36"/>
      <c r="D991" s="38" t="str">
        <f>IF($B991="","",SUM(VLOOKUP($B991,DADOS!$C$2:$I1014,4,0)*$C991))</f>
        <v/>
      </c>
      <c r="E991" s="38" t="str">
        <f>IF($B991="","",SUM(VLOOKUP($B991,DADOS!$C$2:$I1014,6,0)*$C991))</f>
        <v/>
      </c>
      <c r="F991" s="39" t="str">
        <f>IF($E991="","",(VLOOKUP($B991,DADOS!$C$2:$I1014,7,0)))</f>
        <v/>
      </c>
      <c r="G991" s="40" t="str">
        <f t="shared" si="2"/>
        <v/>
      </c>
      <c r="H991" s="41"/>
      <c r="I991" s="42"/>
      <c r="J991" s="42"/>
      <c r="K991" s="42"/>
      <c r="L991" s="42"/>
      <c r="M991" s="42"/>
      <c r="N991" s="42"/>
      <c r="O991" s="42"/>
      <c r="P991" s="42"/>
      <c r="Q991" s="42"/>
      <c r="R991" s="42"/>
      <c r="S991" s="42"/>
      <c r="T991" s="42"/>
      <c r="U991" s="42"/>
      <c r="V991" s="42"/>
      <c r="W991" s="42"/>
      <c r="X991" s="42"/>
      <c r="Y991" s="42"/>
      <c r="Z991" s="42"/>
      <c r="AA991" s="42"/>
    </row>
    <row r="992">
      <c r="A992" s="36" t="str">
        <f>IF($B992="","",VLOOKUP($B992,DADOS!$C$2:$I1014,2,0))</f>
        <v/>
      </c>
      <c r="B992" s="37"/>
      <c r="C992" s="36"/>
      <c r="D992" s="38" t="str">
        <f>IF($B992="","",SUM(VLOOKUP($B992,DADOS!$C$2:$I1014,4,0)*$C992))</f>
        <v/>
      </c>
      <c r="E992" s="38" t="str">
        <f>IF($B992="","",SUM(VLOOKUP($B992,DADOS!$C$2:$I1014,6,0)*$C992))</f>
        <v/>
      </c>
      <c r="F992" s="39" t="str">
        <f>IF($E992="","",(VLOOKUP($B992,DADOS!$C$2:$I1014,7,0)))</f>
        <v/>
      </c>
      <c r="G992" s="40" t="str">
        <f t="shared" si="2"/>
        <v/>
      </c>
      <c r="H992" s="41"/>
      <c r="I992" s="42"/>
      <c r="J992" s="42"/>
      <c r="K992" s="42"/>
      <c r="L992" s="42"/>
      <c r="M992" s="42"/>
      <c r="N992" s="42"/>
      <c r="O992" s="42"/>
      <c r="P992" s="42"/>
      <c r="Q992" s="42"/>
      <c r="R992" s="42"/>
      <c r="S992" s="42"/>
      <c r="T992" s="42"/>
      <c r="U992" s="42"/>
      <c r="V992" s="42"/>
      <c r="W992" s="42"/>
      <c r="X992" s="42"/>
      <c r="Y992" s="42"/>
      <c r="Z992" s="42"/>
      <c r="AA992" s="42"/>
    </row>
    <row r="993">
      <c r="A993" s="36" t="str">
        <f>IF($B993="","",VLOOKUP($B993,DADOS!$C$2:$I1014,2,0))</f>
        <v/>
      </c>
      <c r="B993" s="37"/>
      <c r="C993" s="36"/>
      <c r="D993" s="38" t="str">
        <f>IF($B993="","",SUM(VLOOKUP($B993,DADOS!$C$2:$I1014,4,0)*$C993))</f>
        <v/>
      </c>
      <c r="E993" s="38" t="str">
        <f>IF($B993="","",SUM(VLOOKUP($B993,DADOS!$C$2:$I1014,6,0)*$C993))</f>
        <v/>
      </c>
      <c r="F993" s="39" t="str">
        <f>IF($E993="","",(VLOOKUP($B993,DADOS!$C$2:$I1014,7,0)))</f>
        <v/>
      </c>
      <c r="G993" s="40" t="str">
        <f t="shared" si="2"/>
        <v/>
      </c>
      <c r="H993" s="41"/>
      <c r="I993" s="42"/>
      <c r="J993" s="42"/>
      <c r="K993" s="42"/>
      <c r="L993" s="42"/>
      <c r="M993" s="42"/>
      <c r="N993" s="42"/>
      <c r="O993" s="42"/>
      <c r="P993" s="42"/>
      <c r="Q993" s="42"/>
      <c r="R993" s="42"/>
      <c r="S993" s="42"/>
      <c r="T993" s="42"/>
      <c r="U993" s="42"/>
      <c r="V993" s="42"/>
      <c r="W993" s="42"/>
      <c r="X993" s="42"/>
      <c r="Y993" s="42"/>
      <c r="Z993" s="42"/>
      <c r="AA993" s="42"/>
    </row>
    <row r="994">
      <c r="A994" s="36" t="str">
        <f>IF($B994="","",VLOOKUP($B994,DADOS!$C$2:$I1014,2,0))</f>
        <v/>
      </c>
      <c r="B994" s="37"/>
      <c r="C994" s="36"/>
      <c r="D994" s="38" t="str">
        <f>IF($B994="","",SUM(VLOOKUP($B994,DADOS!$C$2:$I1014,4,0)*$C994))</f>
        <v/>
      </c>
      <c r="E994" s="38" t="str">
        <f>IF($B994="","",SUM(VLOOKUP($B994,DADOS!$C$2:$I1014,6,0)*$C994))</f>
        <v/>
      </c>
      <c r="F994" s="39" t="str">
        <f>IF($E994="","",(VLOOKUP($B994,DADOS!$C$2:$I1014,7,0)))</f>
        <v/>
      </c>
      <c r="G994" s="40" t="str">
        <f t="shared" si="2"/>
        <v/>
      </c>
      <c r="H994" s="41"/>
      <c r="I994" s="42"/>
      <c r="J994" s="42"/>
      <c r="K994" s="42"/>
      <c r="L994" s="42"/>
      <c r="M994" s="42"/>
      <c r="N994" s="42"/>
      <c r="O994" s="42"/>
      <c r="P994" s="42"/>
      <c r="Q994" s="42"/>
      <c r="R994" s="42"/>
      <c r="S994" s="42"/>
      <c r="T994" s="42"/>
      <c r="U994" s="42"/>
      <c r="V994" s="42"/>
      <c r="W994" s="42"/>
      <c r="X994" s="42"/>
      <c r="Y994" s="42"/>
      <c r="Z994" s="42"/>
      <c r="AA994" s="42"/>
    </row>
    <row r="995">
      <c r="A995" s="36" t="str">
        <f>IF($B995="","",VLOOKUP($B995,DADOS!$C$2:$I1014,2,0))</f>
        <v/>
      </c>
      <c r="B995" s="37"/>
      <c r="C995" s="36"/>
      <c r="D995" s="38" t="str">
        <f>IF($B995="","",SUM(VLOOKUP($B995,DADOS!$C$2:$I1014,4,0)*$C995))</f>
        <v/>
      </c>
      <c r="E995" s="38" t="str">
        <f>IF($B995="","",SUM(VLOOKUP($B995,DADOS!$C$2:$I1014,6,0)*$C995))</f>
        <v/>
      </c>
      <c r="F995" s="39" t="str">
        <f>IF($E995="","",(VLOOKUP($B995,DADOS!$C$2:$I1014,7,0)))</f>
        <v/>
      </c>
      <c r="G995" s="40" t="str">
        <f t="shared" si="2"/>
        <v/>
      </c>
      <c r="H995" s="41"/>
      <c r="I995" s="42"/>
      <c r="J995" s="42"/>
      <c r="K995" s="42"/>
      <c r="L995" s="42"/>
      <c r="M995" s="42"/>
      <c r="N995" s="42"/>
      <c r="O995" s="42"/>
      <c r="P995" s="42"/>
      <c r="Q995" s="42"/>
      <c r="R995" s="42"/>
      <c r="S995" s="42"/>
      <c r="T995" s="42"/>
      <c r="U995" s="42"/>
      <c r="V995" s="42"/>
      <c r="W995" s="42"/>
      <c r="X995" s="42"/>
      <c r="Y995" s="42"/>
      <c r="Z995" s="42"/>
      <c r="AA995" s="42"/>
    </row>
    <row r="996">
      <c r="A996" s="36" t="str">
        <f>IF($B996="","",VLOOKUP($B996,DADOS!$C$2:$I1014,2,0))</f>
        <v/>
      </c>
      <c r="B996" s="37"/>
      <c r="C996" s="36"/>
      <c r="D996" s="38" t="str">
        <f>IF($B996="","",SUM(VLOOKUP($B996,DADOS!$C$2:$I1014,4,0)*$C996))</f>
        <v/>
      </c>
      <c r="E996" s="38" t="str">
        <f>IF($B996="","",SUM(VLOOKUP($B996,DADOS!$C$2:$I1014,6,0)*$C996))</f>
        <v/>
      </c>
      <c r="F996" s="39" t="str">
        <f>IF($E996="","",(VLOOKUP($B996,DADOS!$C$2:$I1014,7,0)))</f>
        <v/>
      </c>
      <c r="G996" s="40" t="str">
        <f t="shared" si="2"/>
        <v/>
      </c>
      <c r="H996" s="41"/>
      <c r="I996" s="42"/>
      <c r="J996" s="42"/>
      <c r="K996" s="42"/>
      <c r="L996" s="42"/>
      <c r="M996" s="42"/>
      <c r="N996" s="42"/>
      <c r="O996" s="42"/>
      <c r="P996" s="42"/>
      <c r="Q996" s="42"/>
      <c r="R996" s="42"/>
      <c r="S996" s="42"/>
      <c r="T996" s="42"/>
      <c r="U996" s="42"/>
      <c r="V996" s="42"/>
      <c r="W996" s="42"/>
      <c r="X996" s="42"/>
      <c r="Y996" s="42"/>
      <c r="Z996" s="42"/>
      <c r="AA996" s="42"/>
    </row>
    <row r="997">
      <c r="A997" s="36" t="str">
        <f>IF($B997="","",VLOOKUP($B997,DADOS!$C$2:$I1014,2,0))</f>
        <v/>
      </c>
      <c r="B997" s="37"/>
      <c r="C997" s="36"/>
      <c r="D997" s="38" t="str">
        <f>IF($B997="","",SUM(VLOOKUP($B997,DADOS!$C$2:$I1014,4,0)*$C997))</f>
        <v/>
      </c>
      <c r="E997" s="38" t="str">
        <f>IF($B997="","",SUM(VLOOKUP($B997,DADOS!$C$2:$I1014,6,0)*$C997))</f>
        <v/>
      </c>
      <c r="F997" s="39" t="str">
        <f>IF($E997="","",(VLOOKUP($B997,DADOS!$C$2:$I1014,7,0)))</f>
        <v/>
      </c>
      <c r="G997" s="40" t="str">
        <f t="shared" si="2"/>
        <v/>
      </c>
      <c r="H997" s="41"/>
      <c r="I997" s="42"/>
      <c r="J997" s="42"/>
      <c r="K997" s="42"/>
      <c r="L997" s="42"/>
      <c r="M997" s="42"/>
      <c r="N997" s="42"/>
      <c r="O997" s="42"/>
      <c r="P997" s="42"/>
      <c r="Q997" s="42"/>
      <c r="R997" s="42"/>
      <c r="S997" s="42"/>
      <c r="T997" s="42"/>
      <c r="U997" s="42"/>
      <c r="V997" s="42"/>
      <c r="W997" s="42"/>
      <c r="X997" s="42"/>
      <c r="Y997" s="42"/>
      <c r="Z997" s="42"/>
      <c r="AA997" s="42"/>
    </row>
    <row r="998">
      <c r="A998" s="36" t="str">
        <f>IF($B998="","",VLOOKUP($B998,DADOS!$C$2:$I1014,2,0))</f>
        <v/>
      </c>
      <c r="B998" s="37"/>
      <c r="C998" s="36"/>
      <c r="D998" s="38" t="str">
        <f>IF($B998="","",SUM(VLOOKUP($B998,DADOS!$C$2:$I1014,4,0)*$C998))</f>
        <v/>
      </c>
      <c r="E998" s="38" t="str">
        <f>IF($B998="","",SUM(VLOOKUP($B998,DADOS!$C$2:$I1014,6,0)*$C998))</f>
        <v/>
      </c>
      <c r="F998" s="39" t="str">
        <f>IF($E998="","",(VLOOKUP($B998,DADOS!$C$2:$I1014,7,0)))</f>
        <v/>
      </c>
      <c r="G998" s="40" t="str">
        <f t="shared" si="2"/>
        <v/>
      </c>
      <c r="H998" s="41"/>
      <c r="I998" s="42"/>
      <c r="J998" s="42"/>
      <c r="K998" s="42"/>
      <c r="L998" s="42"/>
      <c r="M998" s="42"/>
      <c r="N998" s="42"/>
      <c r="O998" s="42"/>
      <c r="P998" s="42"/>
      <c r="Q998" s="42"/>
      <c r="R998" s="42"/>
      <c r="S998" s="42"/>
      <c r="T998" s="42"/>
      <c r="U998" s="42"/>
      <c r="V998" s="42"/>
      <c r="W998" s="42"/>
      <c r="X998" s="42"/>
      <c r="Y998" s="42"/>
      <c r="Z998" s="42"/>
      <c r="AA998" s="42"/>
    </row>
    <row r="999">
      <c r="A999" s="36" t="str">
        <f>IF($B999="","",VLOOKUP($B999,DADOS!$C$2:$I1014,2,0))</f>
        <v/>
      </c>
      <c r="B999" s="37"/>
      <c r="C999" s="36"/>
      <c r="D999" s="38" t="str">
        <f>IF($B999="","",SUM(VLOOKUP($B999,DADOS!$C$2:$I1014,4,0)*$C999))</f>
        <v/>
      </c>
      <c r="E999" s="38" t="str">
        <f>IF($B999="","",SUM(VLOOKUP($B999,DADOS!$C$2:$I1014,6,0)*$C999))</f>
        <v/>
      </c>
      <c r="F999" s="39" t="str">
        <f>IF($E999="","",(VLOOKUP($B999,DADOS!$C$2:$I1014,7,0)))</f>
        <v/>
      </c>
      <c r="G999" s="40" t="str">
        <f t="shared" si="2"/>
        <v/>
      </c>
      <c r="H999" s="41"/>
      <c r="I999" s="42"/>
      <c r="J999" s="42"/>
      <c r="K999" s="42"/>
      <c r="L999" s="42"/>
      <c r="M999" s="42"/>
      <c r="N999" s="42"/>
      <c r="O999" s="42"/>
      <c r="P999" s="42"/>
      <c r="Q999" s="42"/>
      <c r="R999" s="42"/>
      <c r="S999" s="42"/>
      <c r="T999" s="42"/>
      <c r="U999" s="42"/>
      <c r="V999" s="42"/>
      <c r="W999" s="42"/>
      <c r="X999" s="42"/>
      <c r="Y999" s="42"/>
      <c r="Z999" s="42"/>
      <c r="AA999" s="42"/>
    </row>
    <row r="1000">
      <c r="A1000" s="36" t="str">
        <f>IF($B1000="","",VLOOKUP($B1000,DADOS!$C$2:$I1014,2,0))</f>
        <v/>
      </c>
      <c r="B1000" s="37"/>
      <c r="C1000" s="36"/>
      <c r="D1000" s="38" t="str">
        <f>IF($B1000="","",SUM(VLOOKUP($B1000,DADOS!$C$2:$I1014,4,0)*$C1000))</f>
        <v/>
      </c>
      <c r="E1000" s="38" t="str">
        <f>IF($B1000="","",SUM(VLOOKUP($B1000,DADOS!$C$2:$I1014,6,0)*$C1000))</f>
        <v/>
      </c>
      <c r="F1000" s="39" t="str">
        <f>IF($E1000="","",(VLOOKUP($B1000,DADOS!$C$2:$I1014,7,0)))</f>
        <v/>
      </c>
      <c r="G1000" s="40" t="str">
        <f t="shared" si="2"/>
        <v/>
      </c>
      <c r="H1000" s="41"/>
      <c r="I1000" s="42"/>
      <c r="J1000" s="42"/>
      <c r="K1000" s="42"/>
      <c r="L1000" s="42"/>
      <c r="M1000" s="42"/>
      <c r="N1000" s="42"/>
      <c r="O1000" s="42"/>
      <c r="P1000" s="42"/>
      <c r="Q1000" s="42"/>
      <c r="R1000" s="42"/>
      <c r="S1000" s="42"/>
      <c r="T1000" s="42"/>
      <c r="U1000" s="42"/>
      <c r="V1000" s="42"/>
      <c r="W1000" s="42"/>
      <c r="X1000" s="42"/>
      <c r="Y1000" s="42"/>
      <c r="Z1000" s="42"/>
      <c r="AA1000" s="42"/>
    </row>
    <row r="1001">
      <c r="A1001" s="36" t="str">
        <f>IF($B1001="","",VLOOKUP($B1001,DADOS!$C$2:$I1014,2,0))</f>
        <v/>
      </c>
      <c r="B1001" s="37"/>
      <c r="C1001" s="36"/>
      <c r="D1001" s="38" t="str">
        <f>IF($B1001="","",SUM(VLOOKUP($B1001,DADOS!$C$2:$I1014,4,0)*$C1001))</f>
        <v/>
      </c>
      <c r="E1001" s="38" t="str">
        <f>IF($B1001="","",SUM(VLOOKUP($B1001,DADOS!$C$2:$I1014,6,0)*$C1001))</f>
        <v/>
      </c>
      <c r="F1001" s="39" t="str">
        <f>IF($E1001="","",(VLOOKUP($B1001,DADOS!$C$2:$I1014,7,0)))</f>
        <v/>
      </c>
      <c r="G1001" s="40" t="str">
        <f t="shared" si="2"/>
        <v/>
      </c>
      <c r="H1001" s="41"/>
      <c r="I1001" s="42"/>
      <c r="J1001" s="42"/>
      <c r="K1001" s="42"/>
      <c r="L1001" s="42"/>
      <c r="M1001" s="42"/>
      <c r="N1001" s="42"/>
      <c r="O1001" s="42"/>
      <c r="P1001" s="42"/>
      <c r="Q1001" s="42"/>
      <c r="R1001" s="42"/>
      <c r="S1001" s="42"/>
      <c r="T1001" s="42"/>
      <c r="U1001" s="42"/>
      <c r="V1001" s="42"/>
      <c r="W1001" s="42"/>
      <c r="X1001" s="42"/>
      <c r="Y1001" s="42"/>
      <c r="Z1001" s="42"/>
      <c r="AA1001" s="42"/>
    </row>
    <row r="1002">
      <c r="A1002" s="36" t="str">
        <f>IF($B1002="","",VLOOKUP($B1002,DADOS!$C$2:$I1014,2,0))</f>
        <v/>
      </c>
      <c r="B1002" s="37"/>
      <c r="C1002" s="36"/>
      <c r="D1002" s="38" t="str">
        <f>IF($B1002="","",SUM(VLOOKUP($B1002,DADOS!$C$2:$I1014,4,0)*$C1002))</f>
        <v/>
      </c>
      <c r="E1002" s="38" t="str">
        <f>IF($B1002="","",SUM(VLOOKUP($B1002,DADOS!$C$2:$I1014,6,0)*$C1002))</f>
        <v/>
      </c>
      <c r="F1002" s="39" t="str">
        <f>IF($E1002="","",(VLOOKUP($B1002,DADOS!$C$2:$I1014,7,0)))</f>
        <v/>
      </c>
      <c r="G1002" s="40" t="str">
        <f t="shared" si="2"/>
        <v/>
      </c>
      <c r="H1002" s="41"/>
      <c r="I1002" s="42"/>
      <c r="J1002" s="42"/>
      <c r="K1002" s="42"/>
      <c r="L1002" s="42"/>
      <c r="M1002" s="42"/>
      <c r="N1002" s="42"/>
      <c r="O1002" s="42"/>
      <c r="P1002" s="42"/>
      <c r="Q1002" s="42"/>
      <c r="R1002" s="42"/>
      <c r="S1002" s="42"/>
      <c r="T1002" s="42"/>
      <c r="U1002" s="42"/>
      <c r="V1002" s="42"/>
      <c r="W1002" s="42"/>
      <c r="X1002" s="42"/>
      <c r="Y1002" s="42"/>
      <c r="Z1002" s="42"/>
      <c r="AA1002" s="42"/>
    </row>
    <row r="1003">
      <c r="A1003" s="36" t="str">
        <f>IF($B1003="","",VLOOKUP($B1003,DADOS!$C$2:$I1014,2,0))</f>
        <v/>
      </c>
      <c r="B1003" s="37"/>
      <c r="C1003" s="36"/>
      <c r="D1003" s="38" t="str">
        <f>IF($B1003="","",SUM(VLOOKUP($B1003,DADOS!$C$2:$I1014,4,0)*$C1003))</f>
        <v/>
      </c>
      <c r="E1003" s="38" t="str">
        <f>IF($B1003="","",SUM(VLOOKUP($B1003,DADOS!$C$2:$I1014,6,0)*$C1003))</f>
        <v/>
      </c>
      <c r="F1003" s="39" t="str">
        <f>IF($E1003="","",(VLOOKUP($B1003,DADOS!$C$2:$I1014,7,0)))</f>
        <v/>
      </c>
      <c r="G1003" s="40" t="str">
        <f t="shared" si="2"/>
        <v/>
      </c>
      <c r="H1003" s="41"/>
      <c r="I1003" s="42"/>
      <c r="J1003" s="42"/>
      <c r="K1003" s="42"/>
      <c r="L1003" s="42"/>
      <c r="M1003" s="42"/>
      <c r="N1003" s="42"/>
      <c r="O1003" s="42"/>
      <c r="P1003" s="42"/>
      <c r="Q1003" s="42"/>
      <c r="R1003" s="42"/>
      <c r="S1003" s="42"/>
      <c r="T1003" s="42"/>
      <c r="U1003" s="42"/>
      <c r="V1003" s="42"/>
      <c r="W1003" s="42"/>
      <c r="X1003" s="42"/>
      <c r="Y1003" s="42"/>
      <c r="Z1003" s="42"/>
      <c r="AA1003" s="42"/>
    </row>
    <row r="1004">
      <c r="A1004" s="36" t="str">
        <f>IF($B1004="","",VLOOKUP($B1004,DADOS!$C$2:$I1014,2,0))</f>
        <v/>
      </c>
      <c r="B1004" s="37"/>
      <c r="C1004" s="36"/>
      <c r="D1004" s="38" t="str">
        <f>IF($B1004="","",SUM(VLOOKUP($B1004,DADOS!$C$2:$I1014,4,0)*$C1004))</f>
        <v/>
      </c>
      <c r="E1004" s="38" t="str">
        <f>IF($B1004="","",SUM(VLOOKUP($B1004,DADOS!$C$2:$I1014,6,0)*$C1004))</f>
        <v/>
      </c>
      <c r="F1004" s="39" t="str">
        <f>IF($E1004="","",(VLOOKUP($B1004,DADOS!$C$2:$I1014,7,0)))</f>
        <v/>
      </c>
      <c r="G1004" s="40" t="str">
        <f t="shared" si="2"/>
        <v/>
      </c>
      <c r="H1004" s="41"/>
      <c r="I1004" s="42"/>
      <c r="J1004" s="42"/>
      <c r="K1004" s="42"/>
      <c r="L1004" s="42"/>
      <c r="M1004" s="42"/>
      <c r="N1004" s="42"/>
      <c r="O1004" s="42"/>
      <c r="P1004" s="42"/>
      <c r="Q1004" s="42"/>
      <c r="R1004" s="42"/>
      <c r="S1004" s="42"/>
      <c r="T1004" s="42"/>
      <c r="U1004" s="42"/>
      <c r="V1004" s="42"/>
      <c r="W1004" s="42"/>
      <c r="X1004" s="42"/>
      <c r="Y1004" s="42"/>
      <c r="Z1004" s="42"/>
      <c r="AA1004" s="42"/>
    </row>
    <row r="1005">
      <c r="A1005" s="36" t="str">
        <f>IF($B1005="","",VLOOKUP($B1005,DADOS!$C$2:$I1014,2,0))</f>
        <v/>
      </c>
      <c r="B1005" s="37"/>
      <c r="C1005" s="36"/>
      <c r="D1005" s="38" t="str">
        <f>IF($B1005="","",SUM(VLOOKUP($B1005,DADOS!$C$2:$I1014,4,0)*$C1005))</f>
        <v/>
      </c>
      <c r="E1005" s="38" t="str">
        <f>IF($B1005="","",SUM(VLOOKUP($B1005,DADOS!$C$2:$I1014,6,0)*$C1005))</f>
        <v/>
      </c>
      <c r="F1005" s="39" t="str">
        <f>IF($E1005="","",(VLOOKUP($B1005,DADOS!$C$2:$I1014,7,0)))</f>
        <v/>
      </c>
      <c r="G1005" s="40" t="str">
        <f t="shared" si="2"/>
        <v/>
      </c>
      <c r="H1005" s="41"/>
      <c r="I1005" s="42"/>
      <c r="J1005" s="42"/>
      <c r="K1005" s="42"/>
      <c r="L1005" s="42"/>
      <c r="M1005" s="42"/>
      <c r="N1005" s="42"/>
      <c r="O1005" s="42"/>
      <c r="P1005" s="42"/>
      <c r="Q1005" s="42"/>
      <c r="R1005" s="42"/>
      <c r="S1005" s="42"/>
      <c r="T1005" s="42"/>
      <c r="U1005" s="42"/>
      <c r="V1005" s="42"/>
      <c r="W1005" s="42"/>
      <c r="X1005" s="42"/>
      <c r="Y1005" s="42"/>
      <c r="Z1005" s="42"/>
      <c r="AA1005" s="42"/>
    </row>
    <row r="1006">
      <c r="A1006" s="36" t="str">
        <f>IF($B1006="","",VLOOKUP($B1006,DADOS!$C$2:$I1014,2,0))</f>
        <v/>
      </c>
      <c r="B1006" s="37"/>
      <c r="C1006" s="36"/>
      <c r="D1006" s="38" t="str">
        <f>IF($B1006="","",SUM(VLOOKUP($B1006,DADOS!$C$2:$I1014,4,0)*$C1006))</f>
        <v/>
      </c>
      <c r="E1006" s="38" t="str">
        <f>IF($B1006="","",SUM(VLOOKUP($B1006,DADOS!$C$2:$I1014,6,0)*$C1006))</f>
        <v/>
      </c>
      <c r="F1006" s="39" t="str">
        <f>IF($E1006="","",(VLOOKUP($B1006,DADOS!$C$2:$I1014,7,0)))</f>
        <v/>
      </c>
      <c r="G1006" s="40" t="str">
        <f t="shared" si="2"/>
        <v/>
      </c>
      <c r="H1006" s="41"/>
      <c r="I1006" s="42"/>
      <c r="J1006" s="42"/>
      <c r="K1006" s="42"/>
      <c r="L1006" s="42"/>
      <c r="M1006" s="42"/>
      <c r="N1006" s="42"/>
      <c r="O1006" s="42"/>
      <c r="P1006" s="42"/>
      <c r="Q1006" s="42"/>
      <c r="R1006" s="42"/>
      <c r="S1006" s="42"/>
      <c r="T1006" s="42"/>
      <c r="U1006" s="42"/>
      <c r="V1006" s="42"/>
      <c r="W1006" s="42"/>
      <c r="X1006" s="42"/>
      <c r="Y1006" s="42"/>
      <c r="Z1006" s="42"/>
      <c r="AA1006" s="42"/>
    </row>
    <row r="1007">
      <c r="A1007" s="36" t="str">
        <f>IF($B1007="","",VLOOKUP($B1007,DADOS!$C$2:$I1014,2,0))</f>
        <v/>
      </c>
      <c r="B1007" s="37"/>
      <c r="C1007" s="36"/>
      <c r="D1007" s="38" t="str">
        <f>IF($B1007="","",SUM(VLOOKUP($B1007,DADOS!$C$2:$I1014,4,0)*$C1007))</f>
        <v/>
      </c>
      <c r="E1007" s="38" t="str">
        <f>IF($B1007="","",SUM(VLOOKUP($B1007,DADOS!$C$2:$I1014,6,0)*$C1007))</f>
        <v/>
      </c>
      <c r="F1007" s="39" t="str">
        <f>IF($E1007="","",(VLOOKUP($B1007,DADOS!$C$2:$I1014,7,0)))</f>
        <v/>
      </c>
      <c r="G1007" s="40" t="str">
        <f t="shared" si="2"/>
        <v/>
      </c>
      <c r="H1007" s="41"/>
      <c r="I1007" s="42"/>
      <c r="J1007" s="42"/>
      <c r="K1007" s="42"/>
      <c r="L1007" s="42"/>
      <c r="M1007" s="42"/>
      <c r="N1007" s="42"/>
      <c r="O1007" s="42"/>
      <c r="P1007" s="42"/>
      <c r="Q1007" s="42"/>
      <c r="R1007" s="42"/>
      <c r="S1007" s="42"/>
      <c r="T1007" s="42"/>
      <c r="U1007" s="42"/>
      <c r="V1007" s="42"/>
      <c r="W1007" s="42"/>
      <c r="X1007" s="42"/>
      <c r="Y1007" s="42"/>
      <c r="Z1007" s="42"/>
      <c r="AA1007" s="42"/>
    </row>
    <row r="1008">
      <c r="A1008" s="36" t="str">
        <f>IF($B1008="","",VLOOKUP($B1008,DADOS!$C$2:$I1014,2,0))</f>
        <v/>
      </c>
      <c r="B1008" s="37"/>
      <c r="C1008" s="36"/>
      <c r="D1008" s="38" t="str">
        <f>IF($B1008="","",SUM(VLOOKUP($B1008,DADOS!$C$2:$I1014,4,0)*$C1008))</f>
        <v/>
      </c>
      <c r="E1008" s="38" t="str">
        <f>IF($B1008="","",SUM(VLOOKUP($B1008,DADOS!$C$2:$I1014,6,0)*$C1008))</f>
        <v/>
      </c>
      <c r="F1008" s="39" t="str">
        <f>IF($E1008="","",(VLOOKUP($B1008,DADOS!$C$2:$I1014,7,0)))</f>
        <v/>
      </c>
      <c r="G1008" s="40" t="str">
        <f t="shared" si="2"/>
        <v/>
      </c>
      <c r="H1008" s="41"/>
      <c r="I1008" s="42"/>
      <c r="J1008" s="42"/>
      <c r="K1008" s="42"/>
      <c r="L1008" s="42"/>
      <c r="M1008" s="42"/>
      <c r="N1008" s="42"/>
      <c r="O1008" s="42"/>
      <c r="P1008" s="42"/>
      <c r="Q1008" s="42"/>
      <c r="R1008" s="42"/>
      <c r="S1008" s="42"/>
      <c r="T1008" s="42"/>
      <c r="U1008" s="42"/>
      <c r="V1008" s="42"/>
      <c r="W1008" s="42"/>
      <c r="X1008" s="42"/>
      <c r="Y1008" s="42"/>
      <c r="Z1008" s="42"/>
      <c r="AA1008" s="42"/>
    </row>
    <row r="1009">
      <c r="A1009" s="36" t="str">
        <f>IF($B1009="","",VLOOKUP($B1009,DADOS!$C$2:$I1014,2,0))</f>
        <v/>
      </c>
      <c r="B1009" s="37"/>
      <c r="C1009" s="36"/>
      <c r="D1009" s="38" t="str">
        <f>IF($B1009="","",SUM(VLOOKUP($B1009,DADOS!$C$2:$I1014,4,0)*$C1009))</f>
        <v/>
      </c>
      <c r="E1009" s="38" t="str">
        <f>IF($B1009="","",SUM(VLOOKUP($B1009,DADOS!$C$2:$I1014,6,0)*$C1009))</f>
        <v/>
      </c>
      <c r="F1009" s="39" t="str">
        <f>IF($E1009="","",(VLOOKUP($B1009,DADOS!$C$2:$I1014,7,0)))</f>
        <v/>
      </c>
      <c r="G1009" s="40" t="str">
        <f t="shared" si="2"/>
        <v/>
      </c>
      <c r="H1009" s="41"/>
      <c r="I1009" s="42"/>
      <c r="J1009" s="42"/>
      <c r="K1009" s="42"/>
      <c r="L1009" s="42"/>
      <c r="M1009" s="42"/>
      <c r="N1009" s="42"/>
      <c r="O1009" s="42"/>
      <c r="P1009" s="42"/>
      <c r="Q1009" s="42"/>
      <c r="R1009" s="42"/>
      <c r="S1009" s="42"/>
      <c r="T1009" s="42"/>
      <c r="U1009" s="42"/>
      <c r="V1009" s="42"/>
      <c r="W1009" s="42"/>
      <c r="X1009" s="42"/>
      <c r="Y1009" s="42"/>
      <c r="Z1009" s="42"/>
      <c r="AA1009" s="42"/>
    </row>
    <row r="1010">
      <c r="A1010" s="36" t="str">
        <f>IF($B1010="","",VLOOKUP($B1010,DADOS!$C$2:$I1014,2,0))</f>
        <v/>
      </c>
      <c r="B1010" s="37"/>
      <c r="C1010" s="36"/>
      <c r="D1010" s="38" t="str">
        <f>IF($B1010="","",SUM(VLOOKUP($B1010,DADOS!$C$2:$I1014,4,0)*$C1010))</f>
        <v/>
      </c>
      <c r="E1010" s="38" t="str">
        <f>IF($B1010="","",SUM(VLOOKUP($B1010,DADOS!$C$2:$I1014,6,0)*$C1010))</f>
        <v/>
      </c>
      <c r="F1010" s="39" t="str">
        <f>IF($E1010="","",(VLOOKUP($B1010,DADOS!$C$2:$I1014,7,0)))</f>
        <v/>
      </c>
      <c r="G1010" s="40" t="str">
        <f t="shared" si="2"/>
        <v/>
      </c>
      <c r="H1010" s="41"/>
      <c r="I1010" s="42"/>
      <c r="J1010" s="42"/>
      <c r="K1010" s="42"/>
      <c r="L1010" s="42"/>
      <c r="M1010" s="42"/>
      <c r="N1010" s="42"/>
      <c r="O1010" s="42"/>
      <c r="P1010" s="42"/>
      <c r="Q1010" s="42"/>
      <c r="R1010" s="42"/>
      <c r="S1010" s="42"/>
      <c r="T1010" s="42"/>
      <c r="U1010" s="42"/>
      <c r="V1010" s="42"/>
      <c r="W1010" s="42"/>
      <c r="X1010" s="42"/>
      <c r="Y1010" s="42"/>
      <c r="Z1010" s="42"/>
      <c r="AA1010" s="42"/>
    </row>
    <row r="1011">
      <c r="A1011" s="36" t="str">
        <f>IF($B1011="","",VLOOKUP($B1011,DADOS!$C$2:$I1014,2,0))</f>
        <v/>
      </c>
      <c r="B1011" s="37"/>
      <c r="C1011" s="36"/>
      <c r="D1011" s="38" t="str">
        <f>IF($B1011="","",SUM(VLOOKUP($B1011,DADOS!$C$2:$I1014,4,0)*$C1011))</f>
        <v/>
      </c>
      <c r="E1011" s="38" t="str">
        <f>IF($B1011="","",SUM(VLOOKUP($B1011,DADOS!$C$2:$I1014,6,0)*$C1011))</f>
        <v/>
      </c>
      <c r="F1011" s="39" t="str">
        <f>IF($E1011="","",(VLOOKUP($B1011,DADOS!$C$2:$I1014,7,0)))</f>
        <v/>
      </c>
      <c r="G1011" s="40" t="str">
        <f t="shared" si="2"/>
        <v/>
      </c>
      <c r="H1011" s="41"/>
      <c r="I1011" s="42"/>
      <c r="J1011" s="42"/>
      <c r="K1011" s="42"/>
      <c r="L1011" s="42"/>
      <c r="M1011" s="42"/>
      <c r="N1011" s="42"/>
      <c r="O1011" s="42"/>
      <c r="P1011" s="42"/>
      <c r="Q1011" s="42"/>
      <c r="R1011" s="42"/>
      <c r="S1011" s="42"/>
      <c r="T1011" s="42"/>
      <c r="U1011" s="42"/>
      <c r="V1011" s="42"/>
      <c r="W1011" s="42"/>
      <c r="X1011" s="42"/>
      <c r="Y1011" s="42"/>
      <c r="Z1011" s="42"/>
      <c r="AA1011" s="42"/>
    </row>
    <row r="1012">
      <c r="A1012" s="36" t="str">
        <f>IF($B1012="","",VLOOKUP($B1012,DADOS!$C$2:$I1014,2,0))</f>
        <v/>
      </c>
      <c r="B1012" s="37"/>
      <c r="C1012" s="36"/>
      <c r="D1012" s="38" t="str">
        <f>IF($B1012="","",SUM(VLOOKUP($B1012,DADOS!$C$2:$I1014,4,0)*$C1012))</f>
        <v/>
      </c>
      <c r="E1012" s="38" t="str">
        <f>IF($B1012="","",SUM(VLOOKUP($B1012,DADOS!$C$2:$I1014,6,0)*$C1012))</f>
        <v/>
      </c>
      <c r="F1012" s="39" t="str">
        <f>IF($E1012="","",(VLOOKUP($B1012,DADOS!$C$2:$I1014,7,0)))</f>
        <v/>
      </c>
      <c r="G1012" s="40" t="str">
        <f t="shared" si="2"/>
        <v/>
      </c>
      <c r="H1012" s="41"/>
      <c r="I1012" s="42"/>
      <c r="J1012" s="42"/>
      <c r="K1012" s="42"/>
      <c r="L1012" s="42"/>
      <c r="M1012" s="42"/>
      <c r="N1012" s="42"/>
      <c r="O1012" s="42"/>
      <c r="P1012" s="42"/>
      <c r="Q1012" s="42"/>
      <c r="R1012" s="42"/>
      <c r="S1012" s="42"/>
      <c r="T1012" s="42"/>
      <c r="U1012" s="42"/>
      <c r="V1012" s="42"/>
      <c r="W1012" s="42"/>
      <c r="X1012" s="42"/>
      <c r="Y1012" s="42"/>
      <c r="Z1012" s="42"/>
      <c r="AA1012" s="42"/>
    </row>
    <row r="1013">
      <c r="A1013" s="36" t="str">
        <f>IF($B1013="","",VLOOKUP($B1013,DADOS!$C$2:$I1014,2,0))</f>
        <v/>
      </c>
      <c r="B1013" s="37"/>
      <c r="C1013" s="36"/>
      <c r="D1013" s="38" t="str">
        <f>IF($B1013="","",SUM(VLOOKUP($B1013,DADOS!$C$2:$I1014,4,0)*$C1013))</f>
        <v/>
      </c>
      <c r="E1013" s="38" t="str">
        <f>IF($B1013="","",SUM(VLOOKUP($B1013,DADOS!$C$2:$I1014,6,0)*$C1013))</f>
        <v/>
      </c>
      <c r="F1013" s="39" t="str">
        <f>IF($E1013="","",(VLOOKUP($B1013,DADOS!$C$2:$I1014,7,0)))</f>
        <v/>
      </c>
      <c r="G1013" s="40" t="str">
        <f t="shared" si="2"/>
        <v/>
      </c>
      <c r="H1013" s="41"/>
      <c r="I1013" s="42"/>
      <c r="J1013" s="42"/>
      <c r="K1013" s="42"/>
      <c r="L1013" s="42"/>
      <c r="M1013" s="42"/>
      <c r="N1013" s="42"/>
      <c r="O1013" s="42"/>
      <c r="P1013" s="42"/>
      <c r="Q1013" s="42"/>
      <c r="R1013" s="42"/>
      <c r="S1013" s="42"/>
      <c r="T1013" s="42"/>
      <c r="U1013" s="42"/>
      <c r="V1013" s="42"/>
      <c r="W1013" s="42"/>
      <c r="X1013" s="42"/>
      <c r="Y1013" s="42"/>
      <c r="Z1013" s="42"/>
      <c r="AA1013" s="42"/>
    </row>
    <row r="1014">
      <c r="A1014" s="36" t="str">
        <f>IF($B1014="","",VLOOKUP($B1014,DADOS!$C$2:$I1014,2,0))</f>
        <v/>
      </c>
      <c r="B1014" s="37"/>
      <c r="C1014" s="36"/>
      <c r="D1014" s="38" t="str">
        <f>IF($B1014="","",SUM(VLOOKUP($B1014,DADOS!$C$2:$I1014,4,0)*$C1014))</f>
        <v/>
      </c>
      <c r="E1014" s="38" t="str">
        <f>IF($B1014="","",SUM(VLOOKUP($B1014,DADOS!$C$2:$I1014,6,0)*$C1014))</f>
        <v/>
      </c>
      <c r="F1014" s="39" t="str">
        <f>IF($E1014="","",(VLOOKUP($B1014,DADOS!$C$2:$I1014,7,0)))</f>
        <v/>
      </c>
      <c r="G1014" s="40" t="str">
        <f t="shared" si="2"/>
        <v/>
      </c>
      <c r="H1014" s="41"/>
      <c r="I1014" s="42"/>
      <c r="J1014" s="42"/>
      <c r="K1014" s="42"/>
      <c r="L1014" s="42"/>
      <c r="M1014" s="42"/>
      <c r="N1014" s="42"/>
      <c r="O1014" s="42"/>
      <c r="P1014" s="42"/>
      <c r="Q1014" s="42"/>
      <c r="R1014" s="42"/>
      <c r="S1014" s="42"/>
      <c r="T1014" s="42"/>
      <c r="U1014" s="42"/>
      <c r="V1014" s="42"/>
      <c r="W1014" s="42"/>
      <c r="X1014" s="42"/>
      <c r="Y1014" s="42"/>
      <c r="Z1014" s="42"/>
      <c r="AA1014" s="42"/>
    </row>
  </sheetData>
  <dataValidations>
    <dataValidation type="list" allowBlank="1" sqref="B7:B1014">
      <formula1>DADOS!$C$2:$C1014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0.57"/>
    <col customWidth="1" min="2" max="2" width="8.29"/>
    <col customWidth="1" min="3" max="3" width="57.71"/>
    <col customWidth="1" min="4" max="4" width="14.57"/>
    <col customWidth="1" min="5" max="5" width="11.43"/>
    <col customWidth="1" min="6" max="6" width="17.43"/>
    <col customWidth="1" min="7" max="7" width="22.29"/>
    <col customWidth="1" min="8" max="8" width="26.43"/>
    <col customWidth="1" min="9" max="9" width="17.71"/>
  </cols>
  <sheetData>
    <row r="1" ht="16.5" customHeight="1">
      <c r="A1" s="1"/>
      <c r="B1" s="1"/>
      <c r="C1" s="43" t="s">
        <v>12</v>
      </c>
      <c r="D1" s="44" t="s">
        <v>5</v>
      </c>
      <c r="E1" s="45" t="s">
        <v>13</v>
      </c>
      <c r="F1" s="46" t="s">
        <v>14</v>
      </c>
      <c r="G1" s="44" t="s">
        <v>0</v>
      </c>
      <c r="H1" s="46" t="s">
        <v>9</v>
      </c>
      <c r="I1" s="47" t="s">
        <v>15</v>
      </c>
      <c r="J1" s="12"/>
      <c r="K1" s="1"/>
      <c r="L1" s="1"/>
      <c r="M1" s="1"/>
      <c r="N1" s="1"/>
      <c r="O1" s="1"/>
      <c r="P1" s="1"/>
      <c r="Q1" s="1"/>
      <c r="R1" s="1"/>
      <c r="S1" s="1"/>
      <c r="T1" s="1"/>
      <c r="U1" s="1"/>
      <c r="V1" s="1"/>
      <c r="W1" s="1"/>
      <c r="X1" s="1"/>
      <c r="Y1" s="1"/>
      <c r="Z1" s="1"/>
    </row>
    <row r="2">
      <c r="A2" s="1"/>
      <c r="B2" s="1"/>
      <c r="C2" s="48" t="str">
        <f>IFERROR(__xludf.DUMMYFUNCTION("IMPORTRANGE(""https://docs.google.com/spreadsheets/d/1DsdxsrBJOk75sDGmXMsLLa15LHA7JaMlvKBZACG-RHY/edit?gid=1280887965#gid=1280887965"",""TESTE!B2"")"),"AAT AC-1 G2")</f>
        <v>AAT AC-1 G2</v>
      </c>
      <c r="D2" s="49" t="str">
        <f>IFERROR(__xludf.DUMMYFUNCTION("IMPORTRANGE(""https://docs.google.com/spreadsheets/d/1DsdxsrBJOk75sDGmXMsLLa15LHA7JaMlvKBZACG-RHY/edit?gid=1280887965#gid=1280887965"",""TESTE!A2"")"),"AAT")</f>
        <v>AAT</v>
      </c>
      <c r="E2" s="50">
        <v>0.0</v>
      </c>
      <c r="F2" s="51">
        <v>0.0</v>
      </c>
      <c r="G2" s="51">
        <v>0.0</v>
      </c>
      <c r="H2" s="52">
        <f>IFERROR(__xludf.DUMMYFUNCTION("IMPORTRANGE(""https://docs.google.com/spreadsheets/d/1DsdxsrBJOk75sDGmXMsLLa15LHA7JaMlvKBZACG-RHY/edit?gid=1280887965#gid=1280887965"",""TESTE!D2"")"),3640.0)</f>
        <v>3640</v>
      </c>
      <c r="I2" s="53">
        <f t="shared" ref="I2:I159" si="1">IF(G2&gt;0,(H2-G2)/G2,IF(H2&gt;0,0,0))</f>
        <v>0</v>
      </c>
      <c r="J2" s="12"/>
      <c r="K2" s="1"/>
      <c r="L2" s="1"/>
      <c r="M2" s="1"/>
      <c r="N2" s="1"/>
      <c r="O2" s="1"/>
      <c r="P2" s="1"/>
      <c r="Q2" s="1"/>
      <c r="R2" s="1"/>
      <c r="S2" s="1"/>
      <c r="T2" s="1"/>
      <c r="U2" s="1"/>
      <c r="V2" s="1"/>
      <c r="W2" s="1"/>
      <c r="X2" s="1"/>
      <c r="Y2" s="1"/>
      <c r="Z2" s="1"/>
    </row>
    <row r="3">
      <c r="A3" s="1"/>
      <c r="B3" s="1"/>
      <c r="C3" s="54" t="str">
        <f>IFERROR(__xludf.DUMMYFUNCTION("IMPORTRANGE(""https://docs.google.com/spreadsheets/d/1DsdxsrBJOk75sDGmXMsLLa15LHA7JaMlvKBZACG-RHY/edit?gid=1280887965#gid=1280887965"",""TESTE!B3"")"),"AAT AC-2 G2")</f>
        <v>AAT AC-2 G2</v>
      </c>
      <c r="D3" s="55" t="str">
        <f>IFERROR(__xludf.DUMMYFUNCTION("IMPORTRANGE(""https://docs.google.com/spreadsheets/d/1DsdxsrBJOk75sDGmXMsLLa15LHA7JaMlvKBZACG-RHY/edit?gid=1280887965#gid=1280887965"",""TESTE!A3"")"),"AAT")</f>
        <v>AAT</v>
      </c>
      <c r="E3" s="56">
        <v>0.0</v>
      </c>
      <c r="F3" s="57">
        <v>0.0</v>
      </c>
      <c r="G3" s="57">
        <v>0.0</v>
      </c>
      <c r="H3" s="58">
        <f>IFERROR(__xludf.DUMMYFUNCTION("IMPORTRANGE(""https://docs.google.com/spreadsheets/d/1DsdxsrBJOk75sDGmXMsLLa15LHA7JaMlvKBZACG-RHY/edit?gid=1280887965#gid=1280887965"",""TESTE!D3"")"),2150.0)</f>
        <v>2150</v>
      </c>
      <c r="I3" s="59">
        <f t="shared" si="1"/>
        <v>0</v>
      </c>
      <c r="J3" s="12"/>
      <c r="K3" s="1"/>
      <c r="L3" s="1"/>
      <c r="M3" s="1"/>
      <c r="N3" s="1"/>
      <c r="O3" s="1"/>
      <c r="P3" s="1"/>
      <c r="Q3" s="1"/>
      <c r="R3" s="1"/>
      <c r="S3" s="1"/>
      <c r="T3" s="1"/>
      <c r="U3" s="1"/>
      <c r="V3" s="1"/>
      <c r="W3" s="1"/>
      <c r="X3" s="1"/>
      <c r="Y3" s="1"/>
      <c r="Z3" s="1"/>
    </row>
    <row r="4">
      <c r="A4" s="1"/>
      <c r="B4" s="1"/>
      <c r="C4" s="48" t="str">
        <f>IFERROR(__xludf.DUMMYFUNCTION("IMPORTRANGE(""https://docs.google.com/spreadsheets/d/1DsdxsrBJOk75sDGmXMsLLa15LHA7JaMlvKBZACG-RHY/edit?gid=1280887965#gid=1280887965"",""TESTE!B4"")"),"AAT BTA-1 G2")</f>
        <v>AAT BTA-1 G2</v>
      </c>
      <c r="D4" s="49" t="str">
        <f>IFERROR(__xludf.DUMMYFUNCTION("IMPORTRANGE(""https://docs.google.com/spreadsheets/d/1DsdxsrBJOk75sDGmXMsLLa15LHA7JaMlvKBZACG-RHY/edit?gid=1280887965#gid=1280887965"",""TESTE!A4"")"),"AAT")</f>
        <v>AAT</v>
      </c>
      <c r="E4" s="50">
        <v>0.0</v>
      </c>
      <c r="F4" s="51">
        <v>0.0</v>
      </c>
      <c r="G4" s="51">
        <v>0.0</v>
      </c>
      <c r="H4" s="52">
        <f>IFERROR(__xludf.DUMMYFUNCTION("IMPORTRANGE(""https://docs.google.com/spreadsheets/d/1DsdxsrBJOk75sDGmXMsLLa15LHA7JaMlvKBZACG-RHY/edit?gid=1280887965#gid=1280887965"",""TESTE!D4"")"),950.0)</f>
        <v>950</v>
      </c>
      <c r="I4" s="53">
        <f t="shared" si="1"/>
        <v>0</v>
      </c>
      <c r="J4" s="12"/>
      <c r="K4" s="1"/>
      <c r="L4" s="1"/>
      <c r="M4" s="1"/>
      <c r="N4" s="1"/>
      <c r="O4" s="1"/>
      <c r="P4" s="1"/>
      <c r="Q4" s="1"/>
      <c r="R4" s="1"/>
      <c r="S4" s="1"/>
      <c r="T4" s="1"/>
      <c r="U4" s="1"/>
      <c r="V4" s="1"/>
      <c r="W4" s="1"/>
      <c r="X4" s="1"/>
      <c r="Y4" s="1"/>
      <c r="Z4" s="1"/>
    </row>
    <row r="5">
      <c r="A5" s="1"/>
      <c r="B5" s="1"/>
      <c r="C5" s="54" t="str">
        <f>IFERROR(__xludf.DUMMYFUNCTION("IMPORTRANGE(""https://docs.google.com/spreadsheets/d/1DsdxsrBJOk75sDGmXMsLLa15LHA7JaMlvKBZACG-RHY/edit?gid=1280887965#gid=1280887965"",""TESTE!B5"")"),"AAT BTA-2 G2")</f>
        <v>AAT BTA-2 G2</v>
      </c>
      <c r="D5" s="55" t="str">
        <f>IFERROR(__xludf.DUMMYFUNCTION("IMPORTRANGE(""https://docs.google.com/spreadsheets/d/1DsdxsrBJOk75sDGmXMsLLa15LHA7JaMlvKBZACG-RHY/edit?gid=1280887965#gid=1280887965"",""TESTE!A5"")"),"AAT")</f>
        <v>AAT</v>
      </c>
      <c r="E5" s="56">
        <v>0.0</v>
      </c>
      <c r="F5" s="57">
        <v>0.0</v>
      </c>
      <c r="G5" s="57">
        <v>0.0</v>
      </c>
      <c r="H5" s="58">
        <f>IFERROR(__xludf.DUMMYFUNCTION("IMPORTRANGE(""https://docs.google.com/spreadsheets/d/1DsdxsrBJOk75sDGmXMsLLa15LHA7JaMlvKBZACG-RHY/edit?gid=1280887965#gid=1280887965"",""TESTE!D5"")"),1350.0)</f>
        <v>1350</v>
      </c>
      <c r="I5" s="59">
        <f t="shared" si="1"/>
        <v>0</v>
      </c>
      <c r="J5" s="12"/>
      <c r="K5" s="1"/>
      <c r="L5" s="1"/>
      <c r="M5" s="1"/>
      <c r="N5" s="1"/>
      <c r="O5" s="1"/>
      <c r="P5" s="1"/>
      <c r="Q5" s="1"/>
      <c r="R5" s="1"/>
      <c r="S5" s="1"/>
      <c r="T5" s="1"/>
      <c r="U5" s="1"/>
      <c r="V5" s="1"/>
      <c r="W5" s="1"/>
      <c r="X5" s="1"/>
      <c r="Y5" s="1"/>
      <c r="Z5" s="1"/>
    </row>
    <row r="6">
      <c r="A6" s="1"/>
      <c r="B6" s="1"/>
      <c r="C6" s="48" t="str">
        <f>IFERROR(__xludf.DUMMYFUNCTION("IMPORTRANGE(""https://docs.google.com/spreadsheets/d/1DsdxsrBJOk75sDGmXMsLLa15LHA7JaMlvKBZACG-RHY/edit?gid=1280887965#gid=1280887965"",""TESTE!B6"")"),"AAT BTA-3")</f>
        <v>AAT BTA-3</v>
      </c>
      <c r="D6" s="49" t="str">
        <f>IFERROR(__xludf.DUMMYFUNCTION("IMPORTRANGE(""https://docs.google.com/spreadsheets/d/1DsdxsrBJOk75sDGmXMsLLa15LHA7JaMlvKBZACG-RHY/edit?gid=1280887965#gid=1280887965"",""TESTE!A5"")"),"AAT")</f>
        <v>AAT</v>
      </c>
      <c r="E6" s="50">
        <v>0.0</v>
      </c>
      <c r="F6" s="51">
        <v>0.0</v>
      </c>
      <c r="G6" s="51">
        <v>0.0</v>
      </c>
      <c r="H6" s="52">
        <f>IFERROR(__xludf.DUMMYFUNCTION("IMPORTRANGE(""https://docs.google.com/spreadsheets/d/1DsdxsrBJOk75sDGmXMsLLa15LHA7JaMlvKBZACG-RHY/edit?gid=1280887965#gid=1280887965"",""TESTE!D6"")"),1890.0)</f>
        <v>1890</v>
      </c>
      <c r="I6" s="53">
        <f t="shared" si="1"/>
        <v>0</v>
      </c>
      <c r="J6" s="12"/>
      <c r="K6" s="1"/>
      <c r="L6" s="1"/>
      <c r="M6" s="1"/>
      <c r="N6" s="1"/>
      <c r="O6" s="1"/>
      <c r="P6" s="1"/>
      <c r="Q6" s="1"/>
      <c r="R6" s="1"/>
      <c r="S6" s="1"/>
      <c r="T6" s="1"/>
      <c r="U6" s="1"/>
      <c r="V6" s="1"/>
      <c r="W6" s="1"/>
      <c r="X6" s="1"/>
      <c r="Y6" s="1"/>
      <c r="Z6" s="1"/>
    </row>
    <row r="7">
      <c r="A7" s="1"/>
      <c r="B7" s="1"/>
      <c r="C7" s="54" t="str">
        <f>IFERROR(__xludf.DUMMYFUNCTION("IMPORTRANGE(""https://docs.google.com/spreadsheets/d/1DsdxsrBJOk75sDGmXMsLLa15LHA7JaMlvKBZACG-RHY/edit?gid=1280887965#gid=1280887965"",""TESTE!B7"")"),"AAT BTA-3 + AAT SLIM 6”")</f>
        <v>AAT BTA-3 + AAT SLIM 6”</v>
      </c>
      <c r="D7" s="55" t="str">
        <f>IFERROR(__xludf.DUMMYFUNCTION("IMPORTRANGE(""https://docs.google.com/spreadsheets/d/1DsdxsrBJOk75sDGmXMsLLa15LHA7JaMlvKBZACG-RHY/edit?gid=1280887965#gid=1280887965"",""TESTE!A5"")"),"AAT")</f>
        <v>AAT</v>
      </c>
      <c r="E7" s="56">
        <v>0.0</v>
      </c>
      <c r="F7" s="57">
        <v>0.0</v>
      </c>
      <c r="G7" s="57">
        <v>0.0</v>
      </c>
      <c r="H7" s="58">
        <f>IFERROR(__xludf.DUMMYFUNCTION("IMPORTRANGE(""https://docs.google.com/spreadsheets/d/1DsdxsrBJOk75sDGmXMsLLa15LHA7JaMlvKBZACG-RHY/edit?gid=1280887965#gid=1280887965"",""TESTE!D7"")"),2589.9)</f>
        <v>2589.9</v>
      </c>
      <c r="I7" s="59">
        <f t="shared" si="1"/>
        <v>0</v>
      </c>
      <c r="J7" s="12"/>
      <c r="K7" s="1"/>
      <c r="L7" s="1"/>
      <c r="M7" s="1"/>
      <c r="N7" s="1"/>
      <c r="O7" s="1"/>
      <c r="P7" s="1"/>
      <c r="Q7" s="1"/>
      <c r="R7" s="1"/>
      <c r="S7" s="1"/>
      <c r="T7" s="1"/>
      <c r="U7" s="1"/>
      <c r="V7" s="1"/>
      <c r="W7" s="1"/>
      <c r="X7" s="1"/>
      <c r="Y7" s="1"/>
      <c r="Z7" s="1"/>
    </row>
    <row r="8">
      <c r="A8" s="1"/>
      <c r="B8" s="1"/>
      <c r="C8" s="48" t="str">
        <f>IFERROR(__xludf.DUMMYFUNCTION("IMPORTRANGE(""https://docs.google.com/spreadsheets/d/1DsdxsrBJOk75sDGmXMsLLa15LHA7JaMlvKBZACG-RHY/edit?gid=1280887965#gid=1280887965"",""TESTE!B8:B59"")
"),"AAT BTS-1 Q")</f>
        <v>AAT BTS-1 Q</v>
      </c>
      <c r="D8" s="49" t="str">
        <f>IFERROR(__xludf.DUMMYFUNCTION("IMPORTRANGE(""https://docs.google.com/spreadsheets/d/1DsdxsrBJOk75sDGmXMsLLa15LHA7JaMlvKBZACG-RHY/edit?gid=1280887965#gid=1280887965"",""TESTE!A5"")"),"AAT")</f>
        <v>AAT</v>
      </c>
      <c r="E8" s="50">
        <v>0.0</v>
      </c>
      <c r="F8" s="51">
        <v>0.0</v>
      </c>
      <c r="G8" s="51">
        <v>0.0</v>
      </c>
      <c r="H8" s="52">
        <f>IFERROR(__xludf.DUMMYFUNCTION("IMPORTRANGE(""https://docs.google.com/spreadsheets/d/1DsdxsrBJOk75sDGmXMsLLa15LHA7JaMlvKBZACG-RHY/edit?gid=1280887965#gid=1280887965"",""TESTE!D8:d59"")"),2990.0)</f>
        <v>2990</v>
      </c>
      <c r="I8" s="53">
        <f t="shared" si="1"/>
        <v>0</v>
      </c>
      <c r="J8" s="12"/>
      <c r="K8" s="1"/>
      <c r="L8" s="1"/>
      <c r="M8" s="1"/>
      <c r="N8" s="1"/>
      <c r="O8" s="1"/>
      <c r="P8" s="1"/>
      <c r="Q8" s="1"/>
      <c r="R8" s="1"/>
      <c r="S8" s="1"/>
      <c r="T8" s="1"/>
      <c r="U8" s="1"/>
      <c r="V8" s="1"/>
      <c r="W8" s="1"/>
      <c r="X8" s="1"/>
      <c r="Y8" s="1"/>
      <c r="Z8" s="1"/>
    </row>
    <row r="9">
      <c r="A9" s="1"/>
      <c r="B9" s="1"/>
      <c r="C9" s="54" t="str">
        <f>IFERROR(__xludf.DUMMYFUNCTION("""COMPUTED_VALUE"""),"AAT BTS-1 Q BLACK")</f>
        <v>AAT BTS-1 Q BLACK</v>
      </c>
      <c r="D9" s="55" t="str">
        <f>IFERROR(__xludf.DUMMYFUNCTION("IMPORTRANGE(""https://docs.google.com/spreadsheets/d/1DsdxsrBJOk75sDGmXMsLLa15LHA7JaMlvKBZACG-RHY/edit?gid=1280887965#gid=1280887965"",""TESTE!A5"")"),"AAT")</f>
        <v>AAT</v>
      </c>
      <c r="E9" s="56">
        <v>0.0</v>
      </c>
      <c r="F9" s="57">
        <v>0.0</v>
      </c>
      <c r="G9" s="57">
        <v>0.0</v>
      </c>
      <c r="H9" s="58">
        <f>IFERROR(__xludf.DUMMYFUNCTION("""COMPUTED_VALUE"""),2990.0)</f>
        <v>2990</v>
      </c>
      <c r="I9" s="59">
        <f t="shared" si="1"/>
        <v>0</v>
      </c>
      <c r="J9" s="12"/>
      <c r="K9" s="1"/>
      <c r="L9" s="1"/>
      <c r="M9" s="1"/>
      <c r="N9" s="1"/>
      <c r="O9" s="1"/>
      <c r="P9" s="1"/>
      <c r="Q9" s="1"/>
      <c r="R9" s="1"/>
      <c r="S9" s="1"/>
      <c r="T9" s="1"/>
      <c r="U9" s="1"/>
      <c r="V9" s="1"/>
      <c r="W9" s="1"/>
      <c r="X9" s="1"/>
      <c r="Y9" s="1"/>
      <c r="Z9" s="1"/>
    </row>
    <row r="10">
      <c r="A10" s="1"/>
      <c r="B10" s="1"/>
      <c r="C10" s="48" t="str">
        <f>IFERROR(__xludf.DUMMYFUNCTION("""COMPUTED_VALUE"""),"AAT BTS-1 R")</f>
        <v>AAT BTS-1 R</v>
      </c>
      <c r="D10" s="49" t="str">
        <f>IFERROR(__xludf.DUMMYFUNCTION("IMPORTRANGE(""https://docs.google.com/spreadsheets/d/1DsdxsrBJOk75sDGmXMsLLa15LHA7JaMlvKBZACG-RHY/edit?gid=1280887965#gid=1280887965"",""TESTE!A5"")"),"AAT")</f>
        <v>AAT</v>
      </c>
      <c r="E10" s="50">
        <v>0.0</v>
      </c>
      <c r="F10" s="51">
        <v>0.0</v>
      </c>
      <c r="G10" s="51">
        <v>0.0</v>
      </c>
      <c r="H10" s="52">
        <f>IFERROR(__xludf.DUMMYFUNCTION("""COMPUTED_VALUE"""),2990.0)</f>
        <v>2990</v>
      </c>
      <c r="I10" s="53">
        <f t="shared" si="1"/>
        <v>0</v>
      </c>
      <c r="J10" s="12"/>
      <c r="K10" s="1"/>
      <c r="L10" s="1"/>
      <c r="M10" s="1"/>
      <c r="N10" s="1"/>
      <c r="O10" s="1"/>
      <c r="P10" s="1"/>
      <c r="Q10" s="1"/>
      <c r="R10" s="1"/>
      <c r="S10" s="1"/>
      <c r="T10" s="1"/>
      <c r="U10" s="1"/>
      <c r="V10" s="1"/>
      <c r="W10" s="1"/>
      <c r="X10" s="1"/>
      <c r="Y10" s="1"/>
      <c r="Z10" s="1"/>
    </row>
    <row r="11">
      <c r="A11" s="1"/>
      <c r="B11" s="1"/>
      <c r="C11" s="54" t="str">
        <f>IFERROR(__xludf.DUMMYFUNCTION("""COMPUTED_VALUE"""),"AAT BTS-1 R BLACK")</f>
        <v>AAT BTS-1 R BLACK</v>
      </c>
      <c r="D11" s="55" t="str">
        <f>IFERROR(__xludf.DUMMYFUNCTION("IMPORTRANGE(""https://docs.google.com/spreadsheets/d/1DsdxsrBJOk75sDGmXMsLLa15LHA7JaMlvKBZACG-RHY/edit?gid=1280887965#gid=1280887965"",""TESTE!A5"")"),"AAT")</f>
        <v>AAT</v>
      </c>
      <c r="E11" s="56">
        <v>0.0</v>
      </c>
      <c r="F11" s="57">
        <v>0.0</v>
      </c>
      <c r="G11" s="57">
        <v>0.0</v>
      </c>
      <c r="H11" s="58">
        <f>IFERROR(__xludf.DUMMYFUNCTION("""COMPUTED_VALUE"""),2990.0)</f>
        <v>2990</v>
      </c>
      <c r="I11" s="59">
        <f t="shared" si="1"/>
        <v>0</v>
      </c>
      <c r="J11" s="12"/>
      <c r="K11" s="1"/>
      <c r="L11" s="1"/>
      <c r="M11" s="1"/>
      <c r="N11" s="1"/>
      <c r="O11" s="1"/>
      <c r="P11" s="1"/>
      <c r="Q11" s="1"/>
      <c r="R11" s="1"/>
      <c r="S11" s="1"/>
      <c r="T11" s="1"/>
      <c r="U11" s="1"/>
      <c r="V11" s="1"/>
      <c r="W11" s="1"/>
      <c r="X11" s="1"/>
      <c r="Y11" s="1"/>
      <c r="Z11" s="1"/>
    </row>
    <row r="12">
      <c r="A12" s="1"/>
      <c r="B12" s="1"/>
      <c r="C12" s="48" t="str">
        <f>IFERROR(__xludf.DUMMYFUNCTION("""COMPUTED_VALUE"""),"AAT CUBE HOUT 12’’ BETON")</f>
        <v>AAT CUBE HOUT 12’’ BETON</v>
      </c>
      <c r="D12" s="49" t="str">
        <f>IFERROR(__xludf.DUMMYFUNCTION("IMPORTRANGE(""https://docs.google.com/spreadsheets/d/1DsdxsrBJOk75sDGmXMsLLa15LHA7JaMlvKBZACG-RHY/edit?gid=1280887965#gid=1280887965"",""TESTE!A5"")"),"AAT")</f>
        <v>AAT</v>
      </c>
      <c r="E12" s="50">
        <v>0.0</v>
      </c>
      <c r="F12" s="51">
        <v>0.0</v>
      </c>
      <c r="G12" s="51">
        <v>0.0</v>
      </c>
      <c r="H12" s="52">
        <f>IFERROR(__xludf.DUMMYFUNCTION("""COMPUTED_VALUE"""),5900.0)</f>
        <v>5900</v>
      </c>
      <c r="I12" s="53">
        <f t="shared" si="1"/>
        <v>0</v>
      </c>
      <c r="J12" s="12"/>
      <c r="K12" s="1"/>
      <c r="L12" s="1"/>
      <c r="M12" s="1"/>
      <c r="N12" s="1"/>
      <c r="O12" s="1"/>
      <c r="P12" s="1"/>
      <c r="Q12" s="1"/>
      <c r="R12" s="1"/>
      <c r="S12" s="1"/>
      <c r="T12" s="1"/>
      <c r="U12" s="1"/>
      <c r="V12" s="1"/>
      <c r="W12" s="1"/>
      <c r="X12" s="1"/>
      <c r="Y12" s="1"/>
      <c r="Z12" s="1"/>
    </row>
    <row r="13">
      <c r="A13" s="1"/>
      <c r="B13" s="1"/>
      <c r="C13" s="54" t="str">
        <f>IFERROR(__xludf.DUMMYFUNCTION("""COMPUTED_VALUE"""),"AAT MA-1 G2")</f>
        <v>AAT MA-1 G2</v>
      </c>
      <c r="D13" s="55" t="str">
        <f>IFERROR(__xludf.DUMMYFUNCTION("IMPORTRANGE(""https://docs.google.com/spreadsheets/d/1DsdxsrBJOk75sDGmXMsLLa15LHA7JaMlvKBZACG-RHY/edit?gid=1280887965#gid=1280887965"",""TESTE!A5"")"),"AAT")</f>
        <v>AAT</v>
      </c>
      <c r="E13" s="56">
        <v>0.0</v>
      </c>
      <c r="F13" s="57">
        <v>0.0</v>
      </c>
      <c r="G13" s="57">
        <v>0.0</v>
      </c>
      <c r="H13" s="58">
        <f>IFERROR(__xludf.DUMMYFUNCTION("""COMPUTED_VALUE"""),3200.0)</f>
        <v>3200</v>
      </c>
      <c r="I13" s="59">
        <f t="shared" si="1"/>
        <v>0</v>
      </c>
      <c r="J13" s="12"/>
      <c r="K13" s="1"/>
      <c r="L13" s="1"/>
      <c r="M13" s="1"/>
      <c r="N13" s="1"/>
      <c r="O13" s="1"/>
      <c r="P13" s="1"/>
      <c r="Q13" s="1"/>
      <c r="R13" s="1"/>
      <c r="S13" s="1"/>
      <c r="T13" s="1"/>
      <c r="U13" s="1"/>
      <c r="V13" s="1"/>
      <c r="W13" s="1"/>
      <c r="X13" s="1"/>
      <c r="Y13" s="1"/>
      <c r="Z13" s="1"/>
    </row>
    <row r="14">
      <c r="A14" s="1"/>
      <c r="B14" s="1"/>
      <c r="C14" s="48" t="str">
        <f>IFERROR(__xludf.DUMMYFUNCTION("""COMPUTED_VALUE"""),"AAT MA-2 G2")</f>
        <v>AAT MA-2 G2</v>
      </c>
      <c r="D14" s="49" t="str">
        <f>IFERROR(__xludf.DUMMYFUNCTION("IMPORTRANGE(""https://docs.google.com/spreadsheets/d/1DsdxsrBJOk75sDGmXMsLLa15LHA7JaMlvKBZACG-RHY/edit?gid=1280887965#gid=1280887965"",""TESTE!A5"")"),"AAT")</f>
        <v>AAT</v>
      </c>
      <c r="E14" s="50">
        <v>0.0</v>
      </c>
      <c r="F14" s="51">
        <v>0.0</v>
      </c>
      <c r="G14" s="51">
        <v>0.0</v>
      </c>
      <c r="H14" s="52">
        <f>IFERROR(__xludf.DUMMYFUNCTION("""COMPUTED_VALUE"""),3600.0)</f>
        <v>3600</v>
      </c>
      <c r="I14" s="53">
        <f t="shared" si="1"/>
        <v>0</v>
      </c>
      <c r="J14" s="12"/>
      <c r="K14" s="1"/>
      <c r="L14" s="1"/>
      <c r="M14" s="1"/>
      <c r="N14" s="1"/>
      <c r="O14" s="1"/>
      <c r="P14" s="1"/>
      <c r="Q14" s="1"/>
      <c r="R14" s="1"/>
      <c r="S14" s="1"/>
      <c r="T14" s="1"/>
      <c r="U14" s="1"/>
      <c r="V14" s="1"/>
      <c r="W14" s="1"/>
      <c r="X14" s="1"/>
      <c r="Y14" s="1"/>
      <c r="Z14" s="1"/>
    </row>
    <row r="15">
      <c r="A15" s="1"/>
      <c r="B15" s="1"/>
      <c r="C15" s="54" t="str">
        <f>IFERROR(__xludf.DUMMYFUNCTION("""COMPUTED_VALUE"""),"AAT MA-3 G2")</f>
        <v>AAT MA-3 G2</v>
      </c>
      <c r="D15" s="55" t="str">
        <f>IFERROR(__xludf.DUMMYFUNCTION("IMPORTRANGE(""https://docs.google.com/spreadsheets/d/1DsdxsrBJOk75sDGmXMsLLa15LHA7JaMlvKBZACG-RHY/edit?gid=1280887965#gid=1280887965"",""TESTE!A5"")"),"AAT")</f>
        <v>AAT</v>
      </c>
      <c r="E15" s="56">
        <v>0.0</v>
      </c>
      <c r="F15" s="57">
        <v>0.0</v>
      </c>
      <c r="G15" s="57">
        <v>0.0</v>
      </c>
      <c r="H15" s="58">
        <f>IFERROR(__xludf.DUMMYFUNCTION("""COMPUTED_VALUE"""),3900.0)</f>
        <v>3900</v>
      </c>
      <c r="I15" s="59">
        <f t="shared" si="1"/>
        <v>0</v>
      </c>
      <c r="J15" s="12"/>
      <c r="K15" s="1"/>
      <c r="L15" s="1"/>
      <c r="M15" s="1"/>
      <c r="N15" s="1"/>
      <c r="O15" s="1"/>
      <c r="P15" s="1"/>
      <c r="Q15" s="1"/>
      <c r="R15" s="1"/>
      <c r="S15" s="1"/>
      <c r="T15" s="1"/>
      <c r="U15" s="1"/>
      <c r="V15" s="1"/>
      <c r="W15" s="1"/>
      <c r="X15" s="1"/>
      <c r="Y15" s="1"/>
      <c r="Z15" s="1"/>
    </row>
    <row r="16">
      <c r="A16" s="1"/>
      <c r="B16" s="1"/>
      <c r="C16" s="48" t="str">
        <f>IFERROR(__xludf.DUMMYFUNCTION("""COMPUTED_VALUE"""),"AAT MA-4 G2")</f>
        <v>AAT MA-4 G2</v>
      </c>
      <c r="D16" s="49" t="str">
        <f>IFERROR(__xludf.DUMMYFUNCTION("IMPORTRANGE(""https://docs.google.com/spreadsheets/d/1DsdxsrBJOk75sDGmXMsLLa15LHA7JaMlvKBZACG-RHY/edit?gid=1280887965#gid=1280887965"",""TESTE!A5"")"),"AAT")</f>
        <v>AAT</v>
      </c>
      <c r="E16" s="50">
        <v>0.0</v>
      </c>
      <c r="F16" s="51">
        <v>0.0</v>
      </c>
      <c r="G16" s="51">
        <v>0.0</v>
      </c>
      <c r="H16" s="52">
        <f>IFERROR(__xludf.DUMMYFUNCTION("""COMPUTED_VALUE"""),4550.0)</f>
        <v>4550</v>
      </c>
      <c r="I16" s="53">
        <f t="shared" si="1"/>
        <v>0</v>
      </c>
      <c r="J16" s="12"/>
      <c r="K16" s="1"/>
      <c r="L16" s="1"/>
      <c r="M16" s="1"/>
      <c r="N16" s="1"/>
      <c r="O16" s="1"/>
      <c r="P16" s="1"/>
      <c r="Q16" s="1"/>
      <c r="R16" s="1"/>
      <c r="S16" s="1"/>
      <c r="T16" s="1"/>
      <c r="U16" s="1"/>
      <c r="V16" s="1"/>
      <c r="W16" s="1"/>
      <c r="X16" s="1"/>
      <c r="Y16" s="1"/>
      <c r="Z16" s="1"/>
    </row>
    <row r="17">
      <c r="A17" s="1"/>
      <c r="B17" s="1"/>
      <c r="C17" s="54" t="str">
        <f>IFERROR(__xludf.DUMMYFUNCTION("""COMPUTED_VALUE"""),"AAT MP-1")</f>
        <v>AAT MP-1</v>
      </c>
      <c r="D17" s="55" t="str">
        <f>IFERROR(__xludf.DUMMYFUNCTION("IMPORTRANGE(""https://docs.google.com/spreadsheets/d/1DsdxsrBJOk75sDGmXMsLLa15LHA7JaMlvKBZACG-RHY/edit?gid=1280887965#gid=1280887965"",""TESTE!A5"")"),"AAT")</f>
        <v>AAT</v>
      </c>
      <c r="E17" s="56">
        <v>0.0</v>
      </c>
      <c r="F17" s="57">
        <v>0.0</v>
      </c>
      <c r="G17" s="57">
        <v>0.0</v>
      </c>
      <c r="H17" s="58">
        <f>IFERROR(__xludf.DUMMYFUNCTION("""COMPUTED_VALUE"""),1990.0)</f>
        <v>1990</v>
      </c>
      <c r="I17" s="59">
        <f t="shared" si="1"/>
        <v>0</v>
      </c>
      <c r="J17" s="12"/>
      <c r="K17" s="1"/>
      <c r="L17" s="1"/>
      <c r="M17" s="1"/>
      <c r="N17" s="1"/>
      <c r="O17" s="1"/>
      <c r="P17" s="1"/>
      <c r="Q17" s="1"/>
      <c r="R17" s="1"/>
      <c r="S17" s="1"/>
      <c r="T17" s="1"/>
      <c r="U17" s="1"/>
      <c r="V17" s="1"/>
      <c r="W17" s="1"/>
      <c r="X17" s="1"/>
      <c r="Y17" s="1"/>
      <c r="Z17" s="1"/>
    </row>
    <row r="18">
      <c r="A18" s="1"/>
      <c r="B18" s="1"/>
      <c r="C18" s="48" t="str">
        <f>IFERROR(__xludf.DUMMYFUNCTION("""COMPUTED_VALUE"""),"AAT PA-200")</f>
        <v>AAT PA-200</v>
      </c>
      <c r="D18" s="49" t="str">
        <f>IFERROR(__xludf.DUMMYFUNCTION("IMPORTRANGE(""https://docs.google.com/spreadsheets/d/1DsdxsrBJOk75sDGmXMsLLa15LHA7JaMlvKBZACG-RHY/edit?gid=1280887965#gid=1280887965"",""TESTE!A5"")"),"AAT")</f>
        <v>AAT</v>
      </c>
      <c r="E18" s="50">
        <v>0.0</v>
      </c>
      <c r="F18" s="51">
        <v>0.0</v>
      </c>
      <c r="G18" s="51">
        <v>0.0</v>
      </c>
      <c r="H18" s="52">
        <f>IFERROR(__xludf.DUMMYFUNCTION("""COMPUTED_VALUE"""),1750.0)</f>
        <v>1750</v>
      </c>
      <c r="I18" s="53">
        <f t="shared" si="1"/>
        <v>0</v>
      </c>
      <c r="J18" s="12"/>
      <c r="K18" s="1"/>
      <c r="L18" s="1"/>
      <c r="M18" s="1"/>
      <c r="N18" s="1"/>
      <c r="O18" s="1"/>
      <c r="P18" s="1"/>
      <c r="Q18" s="1"/>
      <c r="R18" s="1"/>
      <c r="S18" s="1"/>
      <c r="T18" s="1"/>
      <c r="U18" s="1"/>
      <c r="V18" s="1"/>
      <c r="W18" s="1"/>
      <c r="X18" s="1"/>
      <c r="Y18" s="1"/>
      <c r="Z18" s="1"/>
    </row>
    <row r="19">
      <c r="A19" s="1"/>
      <c r="B19" s="1"/>
      <c r="C19" s="54" t="str">
        <f>IFERROR(__xludf.DUMMYFUNCTION("""COMPUTED_VALUE"""),"AAT PA-60")</f>
        <v>AAT PA-60</v>
      </c>
      <c r="D19" s="55" t="str">
        <f>IFERROR(__xludf.DUMMYFUNCTION("IMPORTRANGE(""https://docs.google.com/spreadsheets/d/1DsdxsrBJOk75sDGmXMsLLa15LHA7JaMlvKBZACG-RHY/edit?gid=1280887965#gid=1280887965"",""TESTE!A5"")"),"AAT")</f>
        <v>AAT</v>
      </c>
      <c r="E19" s="56">
        <v>0.0</v>
      </c>
      <c r="F19" s="57">
        <v>0.0</v>
      </c>
      <c r="G19" s="57">
        <v>0.0</v>
      </c>
      <c r="H19" s="58">
        <f>IFERROR(__xludf.DUMMYFUNCTION("""COMPUTED_VALUE"""),850.0)</f>
        <v>850</v>
      </c>
      <c r="I19" s="59">
        <f t="shared" si="1"/>
        <v>0</v>
      </c>
      <c r="J19" s="12"/>
      <c r="K19" s="1"/>
      <c r="L19" s="1"/>
      <c r="M19" s="1"/>
      <c r="N19" s="1"/>
      <c r="O19" s="1"/>
      <c r="P19" s="1"/>
      <c r="Q19" s="1"/>
      <c r="R19" s="1"/>
      <c r="S19" s="1"/>
      <c r="T19" s="1"/>
      <c r="U19" s="1"/>
      <c r="V19" s="1"/>
      <c r="W19" s="1"/>
      <c r="X19" s="1"/>
      <c r="Y19" s="1"/>
      <c r="Z19" s="1"/>
    </row>
    <row r="20">
      <c r="A20" s="1"/>
      <c r="B20" s="1"/>
      <c r="C20" s="48" t="str">
        <f>IFERROR(__xludf.DUMMYFUNCTION("""COMPUTED_VALUE"""),"AAT PM-1 G2")</f>
        <v>AAT PM-1 G2</v>
      </c>
      <c r="D20" s="49" t="str">
        <f>IFERROR(__xludf.DUMMYFUNCTION("IMPORTRANGE(""https://docs.google.com/spreadsheets/d/1DsdxsrBJOk75sDGmXMsLLa15LHA7JaMlvKBZACG-RHY/edit?gid=1280887965#gid=1280887965"",""TESTE!A5"")"),"AAT")</f>
        <v>AAT</v>
      </c>
      <c r="E20" s="50">
        <v>0.0</v>
      </c>
      <c r="F20" s="51">
        <v>0.0</v>
      </c>
      <c r="G20" s="51">
        <v>0.0</v>
      </c>
      <c r="H20" s="52">
        <f>IFERROR(__xludf.DUMMYFUNCTION("""COMPUTED_VALUE"""),3550.0)</f>
        <v>3550</v>
      </c>
      <c r="I20" s="53">
        <f t="shared" si="1"/>
        <v>0</v>
      </c>
      <c r="J20" s="12"/>
      <c r="K20" s="1"/>
      <c r="L20" s="1"/>
      <c r="M20" s="1"/>
      <c r="N20" s="1"/>
      <c r="O20" s="1"/>
      <c r="P20" s="1"/>
      <c r="Q20" s="1"/>
      <c r="R20" s="1"/>
      <c r="S20" s="1"/>
      <c r="T20" s="1"/>
      <c r="U20" s="1"/>
      <c r="V20" s="1"/>
      <c r="W20" s="1"/>
      <c r="X20" s="1"/>
      <c r="Y20" s="1"/>
      <c r="Z20" s="1"/>
    </row>
    <row r="21">
      <c r="A21" s="1"/>
      <c r="B21" s="1"/>
      <c r="C21" s="54" t="str">
        <f>IFERROR(__xludf.DUMMYFUNCTION("""COMPUTED_VALUE"""),"AAT PM-10 CI")</f>
        <v>AAT PM-10 CI</v>
      </c>
      <c r="D21" s="55" t="str">
        <f>IFERROR(__xludf.DUMMYFUNCTION("IMPORTRANGE(""https://docs.google.com/spreadsheets/d/1DsdxsrBJOk75sDGmXMsLLa15LHA7JaMlvKBZACG-RHY/edit?gid=1280887965#gid=1280887965"",""TESTE!A5"")"),"AAT")</f>
        <v>AAT</v>
      </c>
      <c r="E21" s="56">
        <v>0.0</v>
      </c>
      <c r="F21" s="57">
        <v>0.0</v>
      </c>
      <c r="G21" s="57">
        <v>0.0</v>
      </c>
      <c r="H21" s="58">
        <f>IFERROR(__xludf.DUMMYFUNCTION("""COMPUTED_VALUE"""),3250.0)</f>
        <v>3250</v>
      </c>
      <c r="I21" s="59">
        <f t="shared" si="1"/>
        <v>0</v>
      </c>
      <c r="J21" s="12"/>
      <c r="K21" s="1"/>
      <c r="L21" s="1"/>
      <c r="M21" s="1"/>
      <c r="N21" s="1"/>
      <c r="O21" s="1"/>
      <c r="P21" s="1"/>
      <c r="Q21" s="1"/>
      <c r="R21" s="1"/>
      <c r="S21" s="1"/>
      <c r="T21" s="1"/>
      <c r="U21" s="1"/>
      <c r="V21" s="1"/>
      <c r="W21" s="1"/>
      <c r="X21" s="1"/>
      <c r="Y21" s="1"/>
      <c r="Z21" s="1"/>
    </row>
    <row r="22">
      <c r="A22" s="1"/>
      <c r="B22" s="1"/>
      <c r="C22" s="48" t="str">
        <f>IFERROR(__xludf.DUMMYFUNCTION("""COMPUTED_VALUE"""),"AAT PM-11 CI")</f>
        <v>AAT PM-11 CI</v>
      </c>
      <c r="D22" s="49" t="str">
        <f>IFERROR(__xludf.DUMMYFUNCTION("IMPORTRANGE(""https://docs.google.com/spreadsheets/d/1DsdxsrBJOk75sDGmXMsLLa15LHA7JaMlvKBZACG-RHY/edit?gid=1280887965#gid=1280887965"",""TESTE!A5"")"),"AAT")</f>
        <v>AAT</v>
      </c>
      <c r="E22" s="50">
        <v>0.0</v>
      </c>
      <c r="F22" s="51">
        <v>0.0</v>
      </c>
      <c r="G22" s="51">
        <v>0.0</v>
      </c>
      <c r="H22" s="52">
        <f>IFERROR(__xludf.DUMMYFUNCTION("""COMPUTED_VALUE"""),4050.0)</f>
        <v>4050</v>
      </c>
      <c r="I22" s="53">
        <f t="shared" si="1"/>
        <v>0</v>
      </c>
      <c r="J22" s="12"/>
      <c r="K22" s="1"/>
      <c r="L22" s="1"/>
      <c r="M22" s="1"/>
      <c r="N22" s="1"/>
      <c r="O22" s="1"/>
      <c r="P22" s="1"/>
      <c r="Q22" s="1"/>
      <c r="R22" s="1"/>
      <c r="S22" s="1"/>
      <c r="T22" s="1"/>
      <c r="U22" s="1"/>
      <c r="V22" s="1"/>
      <c r="W22" s="1"/>
      <c r="X22" s="1"/>
      <c r="Y22" s="1"/>
      <c r="Z22" s="1"/>
    </row>
    <row r="23">
      <c r="A23" s="1"/>
      <c r="B23" s="1"/>
      <c r="C23" s="54" t="str">
        <f>IFERROR(__xludf.DUMMYFUNCTION("""COMPUTED_VALUE"""),"AAT PM-2")</f>
        <v>AAT PM-2</v>
      </c>
      <c r="D23" s="55" t="str">
        <f>IFERROR(__xludf.DUMMYFUNCTION("IMPORTRANGE(""https://docs.google.com/spreadsheets/d/1DsdxsrBJOk75sDGmXMsLLa15LHA7JaMlvKBZACG-RHY/edit?gid=1280887965#gid=1280887965"",""TESTE!A5"")"),"AAT")</f>
        <v>AAT</v>
      </c>
      <c r="E23" s="56">
        <v>0.0</v>
      </c>
      <c r="F23" s="57">
        <v>0.0</v>
      </c>
      <c r="G23" s="57">
        <v>0.0</v>
      </c>
      <c r="H23" s="58">
        <f>IFERROR(__xludf.DUMMYFUNCTION("""COMPUTED_VALUE"""),9800.0)</f>
        <v>9800</v>
      </c>
      <c r="I23" s="59">
        <f t="shared" si="1"/>
        <v>0</v>
      </c>
      <c r="J23" s="12"/>
      <c r="K23" s="1"/>
      <c r="L23" s="1"/>
      <c r="M23" s="1"/>
      <c r="N23" s="1"/>
      <c r="O23" s="1"/>
      <c r="P23" s="1"/>
      <c r="Q23" s="1"/>
      <c r="R23" s="1"/>
      <c r="S23" s="1"/>
      <c r="T23" s="1"/>
      <c r="U23" s="1"/>
      <c r="V23" s="1"/>
      <c r="W23" s="1"/>
      <c r="X23" s="1"/>
      <c r="Y23" s="1"/>
      <c r="Z23" s="1"/>
    </row>
    <row r="24">
      <c r="A24" s="1"/>
      <c r="B24" s="1"/>
      <c r="C24" s="48" t="str">
        <f>IFERROR(__xludf.DUMMYFUNCTION("""COMPUTED_VALUE"""),"AAT PM-4 G2")</f>
        <v>AAT PM-4 G2</v>
      </c>
      <c r="D24" s="49" t="str">
        <f>IFERROR(__xludf.DUMMYFUNCTION("IMPORTRANGE(""https://docs.google.com/spreadsheets/d/1DsdxsrBJOk75sDGmXMsLLa15LHA7JaMlvKBZACG-RHY/edit?gid=1280887965#gid=1280887965"",""TESTE!A5"")"),"AAT")</f>
        <v>AAT</v>
      </c>
      <c r="E24" s="50">
        <v>0.0</v>
      </c>
      <c r="F24" s="51">
        <v>0.0</v>
      </c>
      <c r="G24" s="51">
        <v>0.0</v>
      </c>
      <c r="H24" s="52">
        <f>IFERROR(__xludf.DUMMYFUNCTION("""COMPUTED_VALUE"""),5700.0)</f>
        <v>5700</v>
      </c>
      <c r="I24" s="53">
        <f t="shared" si="1"/>
        <v>0</v>
      </c>
      <c r="J24" s="12"/>
      <c r="K24" s="1"/>
      <c r="L24" s="1"/>
      <c r="M24" s="1"/>
      <c r="N24" s="1"/>
      <c r="O24" s="1"/>
      <c r="P24" s="1"/>
      <c r="Q24" s="1"/>
      <c r="R24" s="1"/>
      <c r="S24" s="1"/>
      <c r="T24" s="1"/>
      <c r="U24" s="1"/>
      <c r="V24" s="1"/>
      <c r="W24" s="1"/>
      <c r="X24" s="1"/>
      <c r="Y24" s="1"/>
      <c r="Z24" s="1"/>
    </row>
    <row r="25">
      <c r="A25" s="1"/>
      <c r="B25" s="1"/>
      <c r="C25" s="54" t="str">
        <f>IFERROR(__xludf.DUMMYFUNCTION("""COMPUTED_VALUE"""),"AAT PM-5")</f>
        <v>AAT PM-5</v>
      </c>
      <c r="D25" s="55" t="str">
        <f>IFERROR(__xludf.DUMMYFUNCTION("IMPORTRANGE(""https://docs.google.com/spreadsheets/d/1DsdxsrBJOk75sDGmXMsLLa15LHA7JaMlvKBZACG-RHY/edit?gid=1280887965#gid=1280887965"",""TESTE!A5"")"),"AAT")</f>
        <v>AAT</v>
      </c>
      <c r="E25" s="56">
        <v>0.0</v>
      </c>
      <c r="F25" s="57">
        <v>0.0</v>
      </c>
      <c r="G25" s="57">
        <v>0.0</v>
      </c>
      <c r="H25" s="58">
        <f>IFERROR(__xludf.DUMMYFUNCTION("""COMPUTED_VALUE"""),8750.0)</f>
        <v>8750</v>
      </c>
      <c r="I25" s="59">
        <f t="shared" si="1"/>
        <v>0</v>
      </c>
      <c r="J25" s="12"/>
      <c r="K25" s="1"/>
      <c r="L25" s="1"/>
      <c r="M25" s="1"/>
      <c r="N25" s="1"/>
      <c r="O25" s="1"/>
      <c r="P25" s="1"/>
      <c r="Q25" s="1"/>
      <c r="R25" s="1"/>
      <c r="S25" s="1"/>
      <c r="T25" s="1"/>
      <c r="U25" s="1"/>
      <c r="V25" s="1"/>
      <c r="W25" s="1"/>
      <c r="X25" s="1"/>
      <c r="Y25" s="1"/>
      <c r="Z25" s="1"/>
    </row>
    <row r="26">
      <c r="A26" s="1"/>
      <c r="B26" s="1"/>
      <c r="C26" s="48" t="str">
        <f>IFERROR(__xludf.DUMMYFUNCTION("""COMPUTED_VALUE"""),"AAT PM-6 CI")</f>
        <v>AAT PM-6 CI</v>
      </c>
      <c r="D26" s="49" t="str">
        <f>IFERROR(__xludf.DUMMYFUNCTION("IMPORTRANGE(""https://docs.google.com/spreadsheets/d/1DsdxsrBJOk75sDGmXMsLLa15LHA7JaMlvKBZACG-RHY/edit?gid=1280887965#gid=1280887965"",""TESTE!A5"")"),"AAT")</f>
        <v>AAT</v>
      </c>
      <c r="E26" s="50">
        <v>0.0</v>
      </c>
      <c r="F26" s="51">
        <v>0.0</v>
      </c>
      <c r="G26" s="51">
        <v>0.0</v>
      </c>
      <c r="H26" s="52">
        <f>IFERROR(__xludf.DUMMYFUNCTION("""COMPUTED_VALUE"""),4200.0)</f>
        <v>4200</v>
      </c>
      <c r="I26" s="53">
        <f t="shared" si="1"/>
        <v>0</v>
      </c>
      <c r="J26" s="12"/>
      <c r="K26" s="1"/>
      <c r="L26" s="1"/>
      <c r="M26" s="1"/>
      <c r="N26" s="1"/>
      <c r="O26" s="1"/>
      <c r="P26" s="1"/>
      <c r="Q26" s="1"/>
      <c r="R26" s="1"/>
      <c r="S26" s="1"/>
      <c r="T26" s="1"/>
      <c r="U26" s="1"/>
      <c r="V26" s="1"/>
      <c r="W26" s="1"/>
      <c r="X26" s="1"/>
      <c r="Y26" s="1"/>
      <c r="Z26" s="1"/>
    </row>
    <row r="27">
      <c r="A27" s="1"/>
      <c r="B27" s="1"/>
      <c r="C27" s="54" t="str">
        <f>IFERROR(__xludf.DUMMYFUNCTION("""COMPUTED_VALUE"""),"AAT PM-7 CI")</f>
        <v>AAT PM-7 CI</v>
      </c>
      <c r="D27" s="55" t="str">
        <f>IFERROR(__xludf.DUMMYFUNCTION("IMPORTRANGE(""https://docs.google.com/spreadsheets/d/1DsdxsrBJOk75sDGmXMsLLa15LHA7JaMlvKBZACG-RHY/edit?gid=1280887965#gid=1280887965"",""TESTE!A5"")"),"AAT")</f>
        <v>AAT</v>
      </c>
      <c r="E27" s="56">
        <v>0.0</v>
      </c>
      <c r="F27" s="57">
        <v>0.0</v>
      </c>
      <c r="G27" s="57">
        <v>0.0</v>
      </c>
      <c r="H27" s="58">
        <f>IFERROR(__xludf.DUMMYFUNCTION("""COMPUTED_VALUE"""),4930.0)</f>
        <v>4930</v>
      </c>
      <c r="I27" s="59">
        <f t="shared" si="1"/>
        <v>0</v>
      </c>
      <c r="J27" s="12"/>
      <c r="K27" s="1"/>
      <c r="L27" s="1"/>
      <c r="M27" s="1"/>
      <c r="N27" s="1"/>
      <c r="O27" s="1"/>
      <c r="P27" s="1"/>
      <c r="Q27" s="1"/>
      <c r="R27" s="1"/>
      <c r="S27" s="1"/>
      <c r="T27" s="1"/>
      <c r="U27" s="1"/>
      <c r="V27" s="1"/>
      <c r="W27" s="1"/>
      <c r="X27" s="1"/>
      <c r="Y27" s="1"/>
      <c r="Z27" s="1"/>
    </row>
    <row r="28">
      <c r="A28" s="1"/>
      <c r="B28" s="1"/>
      <c r="C28" s="48" t="str">
        <f>IFERROR(__xludf.DUMMYFUNCTION("""COMPUTED_VALUE"""),"AAT PM-8 CI")</f>
        <v>AAT PM-8 CI</v>
      </c>
      <c r="D28" s="49" t="str">
        <f>IFERROR(__xludf.DUMMYFUNCTION("IMPORTRANGE(""https://docs.google.com/spreadsheets/d/1DsdxsrBJOk75sDGmXMsLLa15LHA7JaMlvKBZACG-RHY/edit?gid=1280887965#gid=1280887965"",""TESTE!A5"")"),"AAT")</f>
        <v>AAT</v>
      </c>
      <c r="E28" s="50">
        <v>0.0</v>
      </c>
      <c r="F28" s="51">
        <v>0.0</v>
      </c>
      <c r="G28" s="51">
        <v>0.0</v>
      </c>
      <c r="H28" s="52">
        <f>IFERROR(__xludf.DUMMYFUNCTION("""COMPUTED_VALUE"""),4800.0)</f>
        <v>4800</v>
      </c>
      <c r="I28" s="53">
        <f t="shared" si="1"/>
        <v>0</v>
      </c>
      <c r="J28" s="12"/>
      <c r="K28" s="1"/>
      <c r="L28" s="1"/>
      <c r="M28" s="1"/>
      <c r="N28" s="1"/>
      <c r="O28" s="1"/>
      <c r="P28" s="1"/>
      <c r="Q28" s="1"/>
      <c r="R28" s="1"/>
      <c r="S28" s="1"/>
      <c r="T28" s="1"/>
      <c r="U28" s="1"/>
      <c r="V28" s="1"/>
      <c r="W28" s="1"/>
      <c r="X28" s="1"/>
      <c r="Y28" s="1"/>
      <c r="Z28" s="1"/>
    </row>
    <row r="29">
      <c r="A29" s="1"/>
      <c r="B29" s="1"/>
      <c r="C29" s="54" t="str">
        <f>IFERROR(__xludf.DUMMYFUNCTION("""COMPUTED_VALUE"""),"AAT PM-9 CI")</f>
        <v>AAT PM-9 CI</v>
      </c>
      <c r="D29" s="55" t="str">
        <f>IFERROR(__xludf.DUMMYFUNCTION("IMPORTRANGE(""https://docs.google.com/spreadsheets/d/1DsdxsrBJOk75sDGmXMsLLa15LHA7JaMlvKBZACG-RHY/edit?gid=1280887965#gid=1280887965"",""TESTE!A5"")"),"AAT")</f>
        <v>AAT</v>
      </c>
      <c r="E29" s="56">
        <v>0.0</v>
      </c>
      <c r="F29" s="57">
        <v>0.0</v>
      </c>
      <c r="G29" s="57">
        <v>0.0</v>
      </c>
      <c r="H29" s="58">
        <f>IFERROR(__xludf.DUMMYFUNCTION("""COMPUTED_VALUE"""),6600.0)</f>
        <v>6600</v>
      </c>
      <c r="I29" s="59">
        <f t="shared" si="1"/>
        <v>0</v>
      </c>
      <c r="J29" s="12"/>
      <c r="K29" s="1"/>
      <c r="L29" s="1"/>
      <c r="M29" s="1"/>
      <c r="N29" s="1"/>
      <c r="O29" s="1"/>
      <c r="P29" s="1"/>
      <c r="Q29" s="1"/>
      <c r="R29" s="1"/>
      <c r="S29" s="1"/>
      <c r="T29" s="1"/>
      <c r="U29" s="1"/>
      <c r="V29" s="1"/>
      <c r="W29" s="1"/>
      <c r="X29" s="1"/>
      <c r="Y29" s="1"/>
      <c r="Z29" s="1"/>
    </row>
    <row r="30">
      <c r="A30" s="1"/>
      <c r="B30" s="1"/>
      <c r="C30" s="48" t="str">
        <f>IFERROR(__xludf.DUMMYFUNCTION("""COMPUTED_VALUE"""),"AAT PMR-1")</f>
        <v>AAT PMR-1</v>
      </c>
      <c r="D30" s="49" t="str">
        <f>IFERROR(__xludf.DUMMYFUNCTION("IMPORTRANGE(""https://docs.google.com/spreadsheets/d/1DsdxsrBJOk75sDGmXMsLLa15LHA7JaMlvKBZACG-RHY/edit?gid=1280887965#gid=1280887965"",""TESTE!A5"")"),"AAT")</f>
        <v>AAT</v>
      </c>
      <c r="E30" s="50">
        <v>0.0</v>
      </c>
      <c r="F30" s="51">
        <v>0.0</v>
      </c>
      <c r="G30" s="51">
        <v>0.0</v>
      </c>
      <c r="H30" s="52">
        <f>IFERROR(__xludf.DUMMYFUNCTION("""COMPUTED_VALUE"""),3880.0)</f>
        <v>3880</v>
      </c>
      <c r="I30" s="53">
        <f t="shared" si="1"/>
        <v>0</v>
      </c>
      <c r="J30" s="12"/>
      <c r="K30" s="1"/>
      <c r="L30" s="1"/>
      <c r="M30" s="1"/>
      <c r="N30" s="1"/>
      <c r="O30" s="1"/>
      <c r="P30" s="1"/>
      <c r="Q30" s="1"/>
      <c r="R30" s="1"/>
      <c r="S30" s="1"/>
      <c r="T30" s="1"/>
      <c r="U30" s="1"/>
      <c r="V30" s="1"/>
      <c r="W30" s="1"/>
      <c r="X30" s="1"/>
      <c r="Y30" s="1"/>
      <c r="Z30" s="1"/>
    </row>
    <row r="31">
      <c r="A31" s="1"/>
      <c r="B31" s="1"/>
      <c r="C31" s="54" t="str">
        <f>IFERROR(__xludf.DUMMYFUNCTION("""COMPUTED_VALUE"""),"AAT PMR-10")</f>
        <v>AAT PMR-10</v>
      </c>
      <c r="D31" s="55" t="str">
        <f>IFERROR(__xludf.DUMMYFUNCTION("IMPORTRANGE(""https://docs.google.com/spreadsheets/d/1DsdxsrBJOk75sDGmXMsLLa15LHA7JaMlvKBZACG-RHY/edit?gid=1280887965#gid=1280887965"",""TESTE!A5"")"),"AAT")</f>
        <v>AAT</v>
      </c>
      <c r="E31" s="56">
        <v>0.0</v>
      </c>
      <c r="F31" s="57">
        <v>0.0</v>
      </c>
      <c r="G31" s="57">
        <v>0.0</v>
      </c>
      <c r="H31" s="58">
        <f>IFERROR(__xludf.DUMMYFUNCTION("""COMPUTED_VALUE"""),15000.0)</f>
        <v>15000</v>
      </c>
      <c r="I31" s="59">
        <f t="shared" si="1"/>
        <v>0</v>
      </c>
      <c r="J31" s="12"/>
      <c r="K31" s="1"/>
      <c r="L31" s="1"/>
      <c r="M31" s="1"/>
      <c r="N31" s="1"/>
      <c r="O31" s="1"/>
      <c r="P31" s="1"/>
      <c r="Q31" s="1"/>
      <c r="R31" s="1"/>
      <c r="S31" s="1"/>
      <c r="T31" s="1"/>
      <c r="U31" s="1"/>
      <c r="V31" s="1"/>
      <c r="W31" s="1"/>
      <c r="X31" s="1"/>
      <c r="Y31" s="1"/>
      <c r="Z31" s="1"/>
    </row>
    <row r="32">
      <c r="A32" s="1"/>
      <c r="B32" s="1"/>
      <c r="C32" s="48" t="str">
        <f>IFERROR(__xludf.DUMMYFUNCTION("""COMPUTED_VALUE"""),"AAT PMR-10 G2")</f>
        <v>AAT PMR-10 G2</v>
      </c>
      <c r="D32" s="49" t="str">
        <f>IFERROR(__xludf.DUMMYFUNCTION("IMPORTRANGE(""https://docs.google.com/spreadsheets/d/1DsdxsrBJOk75sDGmXMsLLa15LHA7JaMlvKBZACG-RHY/edit?gid=1280887965#gid=1280887965"",""TESTE!A5"")"),"AAT")</f>
        <v>AAT</v>
      </c>
      <c r="E32" s="50">
        <v>0.0</v>
      </c>
      <c r="F32" s="51">
        <v>0.0</v>
      </c>
      <c r="G32" s="51">
        <v>0.0</v>
      </c>
      <c r="H32" s="52">
        <f>IFERROR(__xludf.DUMMYFUNCTION("""COMPUTED_VALUE"""),15000.0)</f>
        <v>15000</v>
      </c>
      <c r="I32" s="53">
        <f t="shared" si="1"/>
        <v>0</v>
      </c>
      <c r="J32" s="12"/>
      <c r="K32" s="1"/>
      <c r="L32" s="1"/>
      <c r="M32" s="1"/>
      <c r="N32" s="1"/>
      <c r="O32" s="1"/>
      <c r="P32" s="1"/>
      <c r="Q32" s="1"/>
      <c r="R32" s="1"/>
      <c r="S32" s="1"/>
      <c r="T32" s="1"/>
      <c r="U32" s="1"/>
      <c r="V32" s="1"/>
      <c r="W32" s="1"/>
      <c r="X32" s="1"/>
      <c r="Y32" s="1"/>
      <c r="Z32" s="1"/>
    </row>
    <row r="33">
      <c r="A33" s="1"/>
      <c r="B33" s="1"/>
      <c r="C33" s="54" t="str">
        <f>IFERROR(__xludf.DUMMYFUNCTION("""COMPUTED_VALUE"""),"AAT PMR-11 G2")</f>
        <v>AAT PMR-11 G2</v>
      </c>
      <c r="D33" s="55" t="str">
        <f>IFERROR(__xludf.DUMMYFUNCTION("IMPORTRANGE(""https://docs.google.com/spreadsheets/d/1DsdxsrBJOk75sDGmXMsLLa15LHA7JaMlvKBZACG-RHY/edit?gid=1280887965#gid=1280887965"",""TESTE!A5"")"),"AAT")</f>
        <v>AAT</v>
      </c>
      <c r="E33" s="56">
        <v>0.0</v>
      </c>
      <c r="F33" s="57">
        <v>0.0</v>
      </c>
      <c r="G33" s="57">
        <v>0.0</v>
      </c>
      <c r="H33" s="58">
        <f>IFERROR(__xludf.DUMMYFUNCTION("""COMPUTED_VALUE"""),13800.0)</f>
        <v>13800</v>
      </c>
      <c r="I33" s="59">
        <f t="shared" si="1"/>
        <v>0</v>
      </c>
      <c r="J33" s="12"/>
      <c r="K33" s="1"/>
      <c r="L33" s="1"/>
      <c r="M33" s="1"/>
      <c r="N33" s="1"/>
      <c r="O33" s="1"/>
      <c r="P33" s="1"/>
      <c r="Q33" s="1"/>
      <c r="R33" s="1"/>
      <c r="S33" s="1"/>
      <c r="T33" s="1"/>
      <c r="U33" s="1"/>
      <c r="V33" s="1"/>
      <c r="W33" s="1"/>
      <c r="X33" s="1"/>
      <c r="Y33" s="1"/>
      <c r="Z33" s="1"/>
    </row>
    <row r="34">
      <c r="A34" s="1"/>
      <c r="B34" s="1"/>
      <c r="C34" s="48" t="str">
        <f>IFERROR(__xludf.DUMMYFUNCTION("""COMPUTED_VALUE"""),"AAT PMR-12")</f>
        <v>AAT PMR-12</v>
      </c>
      <c r="D34" s="49" t="str">
        <f>IFERROR(__xludf.DUMMYFUNCTION("IMPORTRANGE(""https://docs.google.com/spreadsheets/d/1DsdxsrBJOk75sDGmXMsLLa15LHA7JaMlvKBZACG-RHY/edit?gid=1280887965#gid=1280887965"",""TESTE!A5"")"),"AAT")</f>
        <v>AAT</v>
      </c>
      <c r="E34" s="50">
        <v>0.0</v>
      </c>
      <c r="F34" s="51">
        <v>0.0</v>
      </c>
      <c r="G34" s="51">
        <v>0.0</v>
      </c>
      <c r="H34" s="52">
        <f>IFERROR(__xludf.DUMMYFUNCTION("""COMPUTED_VALUE"""),16000.0)</f>
        <v>16000</v>
      </c>
      <c r="I34" s="53">
        <f t="shared" si="1"/>
        <v>0</v>
      </c>
      <c r="J34" s="12"/>
      <c r="K34" s="1"/>
      <c r="L34" s="1"/>
      <c r="M34" s="1"/>
      <c r="N34" s="1"/>
      <c r="O34" s="1"/>
      <c r="P34" s="1"/>
      <c r="Q34" s="1"/>
      <c r="R34" s="1"/>
      <c r="S34" s="1"/>
      <c r="T34" s="1"/>
      <c r="U34" s="1"/>
      <c r="V34" s="1"/>
      <c r="W34" s="1"/>
      <c r="X34" s="1"/>
      <c r="Y34" s="1"/>
      <c r="Z34" s="1"/>
    </row>
    <row r="35">
      <c r="A35" s="1"/>
      <c r="B35" s="1"/>
      <c r="C35" s="54" t="str">
        <f>IFERROR(__xludf.DUMMYFUNCTION("""COMPUTED_VALUE"""),"AAT PMR-12 G2")</f>
        <v>AAT PMR-12 G2</v>
      </c>
      <c r="D35" s="55" t="str">
        <f>IFERROR(__xludf.DUMMYFUNCTION("IMPORTRANGE(""https://docs.google.com/spreadsheets/d/1DsdxsrBJOk75sDGmXMsLLa15LHA7JaMlvKBZACG-RHY/edit?gid=1280887965#gid=1280887965"",""TESTE!A5"")"),"AAT")</f>
        <v>AAT</v>
      </c>
      <c r="E35" s="56">
        <v>0.0</v>
      </c>
      <c r="F35" s="57">
        <v>0.0</v>
      </c>
      <c r="G35" s="57">
        <v>0.0</v>
      </c>
      <c r="H35" s="58">
        <f>IFERROR(__xludf.DUMMYFUNCTION("""COMPUTED_VALUE"""),16000.0)</f>
        <v>16000</v>
      </c>
      <c r="I35" s="59">
        <f t="shared" si="1"/>
        <v>0</v>
      </c>
      <c r="J35" s="12"/>
      <c r="K35" s="1"/>
      <c r="L35" s="1"/>
      <c r="M35" s="1"/>
      <c r="N35" s="1"/>
      <c r="O35" s="1"/>
      <c r="P35" s="1"/>
      <c r="Q35" s="1"/>
      <c r="R35" s="1"/>
      <c r="S35" s="1"/>
      <c r="T35" s="1"/>
      <c r="U35" s="1"/>
      <c r="V35" s="1"/>
      <c r="W35" s="1"/>
      <c r="X35" s="1"/>
      <c r="Y35" s="1"/>
      <c r="Z35" s="1"/>
    </row>
    <row r="36">
      <c r="A36" s="1"/>
      <c r="B36" s="1"/>
      <c r="C36" s="48" t="str">
        <f>IFERROR(__xludf.DUMMYFUNCTION("""COMPUTED_VALUE"""),"AAT PMR-2")</f>
        <v>AAT PMR-2</v>
      </c>
      <c r="D36" s="49" t="str">
        <f>IFERROR(__xludf.DUMMYFUNCTION("IMPORTRANGE(""https://docs.google.com/spreadsheets/d/1DsdxsrBJOk75sDGmXMsLLa15LHA7JaMlvKBZACG-RHY/edit?gid=1280887965#gid=1280887965"",""TESTE!A5"")"),"AAT")</f>
        <v>AAT</v>
      </c>
      <c r="E36" s="50">
        <v>0.0</v>
      </c>
      <c r="F36" s="51">
        <v>0.0</v>
      </c>
      <c r="G36" s="51">
        <v>0.0</v>
      </c>
      <c r="H36" s="52">
        <f>IFERROR(__xludf.DUMMYFUNCTION("""COMPUTED_VALUE"""),3050.0)</f>
        <v>3050</v>
      </c>
      <c r="I36" s="53">
        <f t="shared" si="1"/>
        <v>0</v>
      </c>
      <c r="J36" s="12"/>
      <c r="K36" s="1"/>
      <c r="L36" s="1"/>
      <c r="M36" s="1"/>
      <c r="N36" s="1"/>
      <c r="O36" s="1"/>
      <c r="P36" s="1"/>
      <c r="Q36" s="1"/>
      <c r="R36" s="1"/>
      <c r="S36" s="1"/>
      <c r="T36" s="1"/>
      <c r="U36" s="1"/>
      <c r="V36" s="1"/>
      <c r="W36" s="1"/>
      <c r="X36" s="1"/>
      <c r="Y36" s="1"/>
      <c r="Z36" s="1"/>
    </row>
    <row r="37">
      <c r="A37" s="1"/>
      <c r="B37" s="1"/>
      <c r="C37" s="54" t="str">
        <f>IFERROR(__xludf.DUMMYFUNCTION("""COMPUTED_VALUE"""),"AAT PMR-3")</f>
        <v>AAT PMR-3</v>
      </c>
      <c r="D37" s="55" t="str">
        <f>IFERROR(__xludf.DUMMYFUNCTION("IMPORTRANGE(""https://docs.google.com/spreadsheets/d/1DsdxsrBJOk75sDGmXMsLLa15LHA7JaMlvKBZACG-RHY/edit?gid=1280887965#gid=1280887965"",""TESTE!A5"")"),"AAT")</f>
        <v>AAT</v>
      </c>
      <c r="E37" s="56">
        <v>0.0</v>
      </c>
      <c r="F37" s="57">
        <v>0.0</v>
      </c>
      <c r="G37" s="57">
        <v>0.0</v>
      </c>
      <c r="H37" s="58">
        <f>IFERROR(__xludf.DUMMYFUNCTION("""COMPUTED_VALUE"""),2100.0)</f>
        <v>2100</v>
      </c>
      <c r="I37" s="59">
        <f t="shared" si="1"/>
        <v>0</v>
      </c>
      <c r="J37" s="12"/>
      <c r="K37" s="1"/>
      <c r="L37" s="1"/>
      <c r="M37" s="1"/>
      <c r="N37" s="1"/>
      <c r="O37" s="1"/>
      <c r="P37" s="1"/>
      <c r="Q37" s="1"/>
      <c r="R37" s="1"/>
      <c r="S37" s="1"/>
      <c r="T37" s="1"/>
      <c r="U37" s="1"/>
      <c r="V37" s="1"/>
      <c r="W37" s="1"/>
      <c r="X37" s="1"/>
      <c r="Y37" s="1"/>
      <c r="Z37" s="1"/>
    </row>
    <row r="38">
      <c r="A38" s="1"/>
      <c r="B38" s="1"/>
      <c r="C38" s="48" t="str">
        <f>IFERROR(__xludf.DUMMYFUNCTION("""COMPUTED_VALUE"""),"AAT PMR-4 G2")</f>
        <v>AAT PMR-4 G2</v>
      </c>
      <c r="D38" s="49" t="str">
        <f>IFERROR(__xludf.DUMMYFUNCTION("IMPORTRANGE(""https://docs.google.com/spreadsheets/d/1DsdxsrBJOk75sDGmXMsLLa15LHA7JaMlvKBZACG-RHY/edit?gid=1280887965#gid=1280887965"",""TESTE!A5"")"),"AAT")</f>
        <v>AAT</v>
      </c>
      <c r="E38" s="50">
        <v>0.0</v>
      </c>
      <c r="F38" s="51">
        <v>0.0</v>
      </c>
      <c r="G38" s="51">
        <v>0.0</v>
      </c>
      <c r="H38" s="52">
        <f>IFERROR(__xludf.DUMMYFUNCTION("""COMPUTED_VALUE"""),9500.0)</f>
        <v>9500</v>
      </c>
      <c r="I38" s="53">
        <f t="shared" si="1"/>
        <v>0</v>
      </c>
      <c r="J38" s="12"/>
      <c r="K38" s="1"/>
      <c r="L38" s="1"/>
      <c r="M38" s="1"/>
      <c r="N38" s="1"/>
      <c r="O38" s="1"/>
      <c r="P38" s="1"/>
      <c r="Q38" s="1"/>
      <c r="R38" s="1"/>
      <c r="S38" s="1"/>
      <c r="T38" s="1"/>
      <c r="U38" s="1"/>
      <c r="V38" s="1"/>
      <c r="W38" s="1"/>
      <c r="X38" s="1"/>
      <c r="Y38" s="1"/>
      <c r="Z38" s="1"/>
    </row>
    <row r="39">
      <c r="A39" s="1"/>
      <c r="B39" s="1"/>
      <c r="C39" s="54" t="str">
        <f>IFERROR(__xludf.DUMMYFUNCTION("""COMPUTED_VALUE"""),"AAT PMR-5")</f>
        <v>AAT PMR-5</v>
      </c>
      <c r="D39" s="55" t="str">
        <f>IFERROR(__xludf.DUMMYFUNCTION("IMPORTRANGE(""https://docs.google.com/spreadsheets/d/1DsdxsrBJOk75sDGmXMsLLa15LHA7JaMlvKBZACG-RHY/edit?gid=1280887965#gid=1280887965"",""TESTE!A5"")"),"AAT")</f>
        <v>AAT</v>
      </c>
      <c r="E39" s="56">
        <v>0.0</v>
      </c>
      <c r="F39" s="57">
        <v>0.0</v>
      </c>
      <c r="G39" s="57">
        <v>0.0</v>
      </c>
      <c r="H39" s="58">
        <f>IFERROR(__xludf.DUMMYFUNCTION("""COMPUTED_VALUE"""),12100.0)</f>
        <v>12100</v>
      </c>
      <c r="I39" s="59">
        <f t="shared" si="1"/>
        <v>0</v>
      </c>
      <c r="J39" s="12"/>
      <c r="K39" s="1"/>
      <c r="L39" s="1"/>
      <c r="M39" s="1"/>
      <c r="N39" s="1"/>
      <c r="O39" s="1"/>
      <c r="P39" s="1"/>
      <c r="Q39" s="1"/>
      <c r="R39" s="1"/>
      <c r="S39" s="1"/>
      <c r="T39" s="1"/>
      <c r="U39" s="1"/>
      <c r="V39" s="1"/>
      <c r="W39" s="1"/>
      <c r="X39" s="1"/>
      <c r="Y39" s="1"/>
      <c r="Z39" s="1"/>
    </row>
    <row r="40">
      <c r="A40" s="1"/>
      <c r="B40" s="1"/>
      <c r="C40" s="48" t="str">
        <f>IFERROR(__xludf.DUMMYFUNCTION("""COMPUTED_VALUE"""),"AAT PMR-5 G2")</f>
        <v>AAT PMR-5 G2</v>
      </c>
      <c r="D40" s="49" t="str">
        <f>IFERROR(__xludf.DUMMYFUNCTION("IMPORTRANGE(""https://docs.google.com/spreadsheets/d/1DsdxsrBJOk75sDGmXMsLLa15LHA7JaMlvKBZACG-RHY/edit?gid=1280887965#gid=1280887965"",""TESTE!A5"")"),"AAT")</f>
        <v>AAT</v>
      </c>
      <c r="E40" s="50">
        <v>0.0</v>
      </c>
      <c r="F40" s="51">
        <v>0.0</v>
      </c>
      <c r="G40" s="51">
        <v>0.0</v>
      </c>
      <c r="H40" s="52">
        <f>IFERROR(__xludf.DUMMYFUNCTION("""COMPUTED_VALUE"""),12100.0)</f>
        <v>12100</v>
      </c>
      <c r="I40" s="53">
        <f t="shared" si="1"/>
        <v>0</v>
      </c>
      <c r="J40" s="12"/>
      <c r="K40" s="1"/>
      <c r="L40" s="1"/>
      <c r="M40" s="1"/>
      <c r="N40" s="1"/>
      <c r="O40" s="1"/>
      <c r="P40" s="1"/>
      <c r="Q40" s="1"/>
      <c r="R40" s="1"/>
      <c r="S40" s="1"/>
      <c r="T40" s="1"/>
      <c r="U40" s="1"/>
      <c r="V40" s="1"/>
      <c r="W40" s="1"/>
      <c r="X40" s="1"/>
      <c r="Y40" s="1"/>
      <c r="Z40" s="1"/>
    </row>
    <row r="41">
      <c r="A41" s="1"/>
      <c r="B41" s="1"/>
      <c r="C41" s="54" t="str">
        <f>IFERROR(__xludf.DUMMYFUNCTION("""COMPUTED_VALUE"""),"AAT PMR-6")</f>
        <v>AAT PMR-6</v>
      </c>
      <c r="D41" s="55" t="str">
        <f>IFERROR(__xludf.DUMMYFUNCTION("IMPORTRANGE(""https://docs.google.com/spreadsheets/d/1DsdxsrBJOk75sDGmXMsLLa15LHA7JaMlvKBZACG-RHY/edit?gid=1280887965#gid=1280887965"",""TESTE!A5"")"),"AAT")</f>
        <v>AAT</v>
      </c>
      <c r="E41" s="56">
        <v>0.0</v>
      </c>
      <c r="F41" s="57">
        <v>0.0</v>
      </c>
      <c r="G41" s="57">
        <v>0.0</v>
      </c>
      <c r="H41" s="58">
        <f>IFERROR(__xludf.DUMMYFUNCTION("""COMPUTED_VALUE"""),10950.0)</f>
        <v>10950</v>
      </c>
      <c r="I41" s="59">
        <f t="shared" si="1"/>
        <v>0</v>
      </c>
      <c r="J41" s="12"/>
      <c r="K41" s="1"/>
      <c r="L41" s="1"/>
      <c r="M41" s="1"/>
      <c r="N41" s="1"/>
      <c r="O41" s="1"/>
      <c r="P41" s="1"/>
      <c r="Q41" s="1"/>
      <c r="R41" s="1"/>
      <c r="S41" s="1"/>
      <c r="T41" s="1"/>
      <c r="U41" s="1"/>
      <c r="V41" s="1"/>
      <c r="W41" s="1"/>
      <c r="X41" s="1"/>
      <c r="Y41" s="1"/>
      <c r="Z41" s="1"/>
    </row>
    <row r="42">
      <c r="A42" s="1"/>
      <c r="B42" s="1"/>
      <c r="C42" s="48" t="str">
        <f>IFERROR(__xludf.DUMMYFUNCTION("""COMPUTED_VALUE"""),"AAT PMR-6 G2")</f>
        <v>AAT PMR-6 G2</v>
      </c>
      <c r="D42" s="49" t="str">
        <f>IFERROR(__xludf.DUMMYFUNCTION("IMPORTRANGE(""https://docs.google.com/spreadsheets/d/1DsdxsrBJOk75sDGmXMsLLa15LHA7JaMlvKBZACG-RHY/edit?gid=1280887965#gid=1280887965"",""TESTE!A5"")"),"AAT")</f>
        <v>AAT</v>
      </c>
      <c r="E42" s="50">
        <v>0.0</v>
      </c>
      <c r="F42" s="51">
        <v>0.0</v>
      </c>
      <c r="G42" s="51">
        <v>0.0</v>
      </c>
      <c r="H42" s="52">
        <f>IFERROR(__xludf.DUMMYFUNCTION("""COMPUTED_VALUE"""),10950.0)</f>
        <v>10950</v>
      </c>
      <c r="I42" s="53">
        <f t="shared" si="1"/>
        <v>0</v>
      </c>
      <c r="J42" s="12"/>
      <c r="K42" s="1"/>
      <c r="L42" s="1"/>
      <c r="M42" s="1"/>
      <c r="N42" s="1"/>
      <c r="O42" s="1"/>
      <c r="P42" s="1"/>
      <c r="Q42" s="1"/>
      <c r="R42" s="1"/>
      <c r="S42" s="1"/>
      <c r="T42" s="1"/>
      <c r="U42" s="1"/>
      <c r="V42" s="1"/>
      <c r="W42" s="1"/>
      <c r="X42" s="1"/>
      <c r="Y42" s="1"/>
      <c r="Z42" s="1"/>
    </row>
    <row r="43">
      <c r="A43" s="1"/>
      <c r="B43" s="1"/>
      <c r="C43" s="54" t="str">
        <f>IFERROR(__xludf.DUMMYFUNCTION("""COMPUTED_VALUE"""),"AAT PMR-7 G2")</f>
        <v>AAT PMR-7 G2</v>
      </c>
      <c r="D43" s="55" t="str">
        <f>IFERROR(__xludf.DUMMYFUNCTION("IMPORTRANGE(""https://docs.google.com/spreadsheets/d/1DsdxsrBJOk75sDGmXMsLLa15LHA7JaMlvKBZACG-RHY/edit?gid=1280887965#gid=1280887965"",""TESTE!A5"")"),"AAT")</f>
        <v>AAT</v>
      </c>
      <c r="E43" s="56">
        <v>0.0</v>
      </c>
      <c r="F43" s="57">
        <v>0.0</v>
      </c>
      <c r="G43" s="57">
        <v>0.0</v>
      </c>
      <c r="H43" s="58">
        <f>IFERROR(__xludf.DUMMYFUNCTION("""COMPUTED_VALUE"""),12950.0)</f>
        <v>12950</v>
      </c>
      <c r="I43" s="59">
        <f t="shared" si="1"/>
        <v>0</v>
      </c>
      <c r="J43" s="12"/>
      <c r="K43" s="1"/>
      <c r="L43" s="1"/>
      <c r="M43" s="1"/>
      <c r="N43" s="1"/>
      <c r="O43" s="1"/>
      <c r="P43" s="1"/>
      <c r="Q43" s="1"/>
      <c r="R43" s="1"/>
      <c r="S43" s="1"/>
      <c r="T43" s="1"/>
      <c r="U43" s="1"/>
      <c r="V43" s="1"/>
      <c r="W43" s="1"/>
      <c r="X43" s="1"/>
      <c r="Y43" s="1"/>
      <c r="Z43" s="1"/>
    </row>
    <row r="44">
      <c r="A44" s="1"/>
      <c r="B44" s="1"/>
      <c r="C44" s="48" t="str">
        <f>IFERROR(__xludf.DUMMYFUNCTION("""COMPUTED_VALUE"""),"AAT PMR-8 G2")</f>
        <v>AAT PMR-8 G2</v>
      </c>
      <c r="D44" s="49" t="str">
        <f>IFERROR(__xludf.DUMMYFUNCTION("IMPORTRANGE(""https://docs.google.com/spreadsheets/d/1DsdxsrBJOk75sDGmXMsLLa15LHA7JaMlvKBZACG-RHY/edit?gid=1280887965#gid=1280887965"",""TESTE!A5"")"),"AAT")</f>
        <v>AAT</v>
      </c>
      <c r="E44" s="50">
        <v>0.0</v>
      </c>
      <c r="F44" s="51">
        <v>0.0</v>
      </c>
      <c r="G44" s="51">
        <v>0.0</v>
      </c>
      <c r="H44" s="52">
        <f>IFERROR(__xludf.DUMMYFUNCTION("""COMPUTED_VALUE"""),7500.0)</f>
        <v>7500</v>
      </c>
      <c r="I44" s="53">
        <f t="shared" si="1"/>
        <v>0</v>
      </c>
      <c r="J44" s="12"/>
      <c r="K44" s="1"/>
      <c r="L44" s="1"/>
      <c r="M44" s="1"/>
      <c r="N44" s="1"/>
      <c r="O44" s="1"/>
      <c r="P44" s="1"/>
      <c r="Q44" s="1"/>
      <c r="R44" s="1"/>
      <c r="S44" s="1"/>
      <c r="T44" s="1"/>
      <c r="U44" s="1"/>
      <c r="V44" s="1"/>
      <c r="W44" s="1"/>
      <c r="X44" s="1"/>
      <c r="Y44" s="1"/>
      <c r="Z44" s="1"/>
    </row>
    <row r="45">
      <c r="A45" s="1"/>
      <c r="B45" s="1"/>
      <c r="C45" s="54" t="str">
        <f>IFERROR(__xludf.DUMMYFUNCTION("""COMPUTED_VALUE"""),"AAT PMR-9")</f>
        <v>AAT PMR-9</v>
      </c>
      <c r="D45" s="55" t="str">
        <f>IFERROR(__xludf.DUMMYFUNCTION("IMPORTRANGE(""https://docs.google.com/spreadsheets/d/1DsdxsrBJOk75sDGmXMsLLa15LHA7JaMlvKBZACG-RHY/edit?gid=1280887965#gid=1280887965"",""TESTE!A5"")"),"AAT")</f>
        <v>AAT</v>
      </c>
      <c r="E45" s="56">
        <v>0.0</v>
      </c>
      <c r="F45" s="57">
        <v>0.0</v>
      </c>
      <c r="G45" s="57">
        <v>0.0</v>
      </c>
      <c r="H45" s="58">
        <f>IFERROR(__xludf.DUMMYFUNCTION("""COMPUTED_VALUE"""),12500.0)</f>
        <v>12500</v>
      </c>
      <c r="I45" s="59">
        <f t="shared" si="1"/>
        <v>0</v>
      </c>
      <c r="J45" s="12"/>
      <c r="K45" s="1"/>
      <c r="L45" s="1"/>
      <c r="M45" s="1"/>
      <c r="N45" s="1"/>
      <c r="O45" s="1"/>
      <c r="P45" s="1"/>
      <c r="Q45" s="1"/>
      <c r="R45" s="1"/>
      <c r="S45" s="1"/>
      <c r="T45" s="1"/>
      <c r="U45" s="1"/>
      <c r="V45" s="1"/>
      <c r="W45" s="1"/>
      <c r="X45" s="1"/>
      <c r="Y45" s="1"/>
      <c r="Z45" s="1"/>
    </row>
    <row r="46">
      <c r="A46" s="1"/>
      <c r="B46" s="1"/>
      <c r="C46" s="48" t="str">
        <f>IFERROR(__xludf.DUMMYFUNCTION("""COMPUTED_VALUE"""),"AAT PMR-9 G2")</f>
        <v>AAT PMR-9 G2</v>
      </c>
      <c r="D46" s="49" t="str">
        <f>IFERROR(__xludf.DUMMYFUNCTION("IMPORTRANGE(""https://docs.google.com/spreadsheets/d/1DsdxsrBJOk75sDGmXMsLLa15LHA7JaMlvKBZACG-RHY/edit?gid=1280887965#gid=1280887965"",""TESTE!A5"")"),"AAT")</f>
        <v>AAT</v>
      </c>
      <c r="E46" s="50">
        <v>0.0</v>
      </c>
      <c r="F46" s="51">
        <v>0.0</v>
      </c>
      <c r="G46" s="51">
        <v>0.0</v>
      </c>
      <c r="H46" s="52">
        <f>IFERROR(__xludf.DUMMYFUNCTION("""COMPUTED_VALUE"""),12500.0)</f>
        <v>12500</v>
      </c>
      <c r="I46" s="53">
        <f t="shared" si="1"/>
        <v>0</v>
      </c>
      <c r="J46" s="12"/>
      <c r="K46" s="1"/>
      <c r="L46" s="1"/>
      <c r="M46" s="1"/>
      <c r="N46" s="1"/>
      <c r="O46" s="1"/>
      <c r="P46" s="1"/>
      <c r="Q46" s="1"/>
      <c r="R46" s="1"/>
      <c r="S46" s="1"/>
      <c r="T46" s="1"/>
      <c r="U46" s="1"/>
      <c r="V46" s="1"/>
      <c r="W46" s="1"/>
      <c r="X46" s="1"/>
      <c r="Y46" s="1"/>
      <c r="Z46" s="1"/>
    </row>
    <row r="47">
      <c r="A47" s="1"/>
      <c r="B47" s="1"/>
      <c r="C47" s="54" t="str">
        <f>IFERROR(__xludf.DUMMYFUNCTION("""COMPUTED_VALUE"""),"AAT PMS-100")</f>
        <v>AAT PMS-100</v>
      </c>
      <c r="D47" s="55" t="str">
        <f>IFERROR(__xludf.DUMMYFUNCTION("IMPORTRANGE(""https://docs.google.com/spreadsheets/d/1DsdxsrBJOk75sDGmXMsLLa15LHA7JaMlvKBZACG-RHY/edit?gid=1280887965#gid=1280887965"",""TESTE!A5"")"),"AAT")</f>
        <v>AAT</v>
      </c>
      <c r="E47" s="56">
        <v>0.0</v>
      </c>
      <c r="F47" s="57">
        <v>0.0</v>
      </c>
      <c r="G47" s="57">
        <v>0.0</v>
      </c>
      <c r="H47" s="58">
        <f>IFERROR(__xludf.DUMMYFUNCTION("""COMPUTED_VALUE"""),2990.0)</f>
        <v>2990</v>
      </c>
      <c r="I47" s="59">
        <f t="shared" si="1"/>
        <v>0</v>
      </c>
      <c r="J47" s="12"/>
      <c r="K47" s="1"/>
      <c r="L47" s="1"/>
      <c r="M47" s="1"/>
      <c r="N47" s="1"/>
      <c r="O47" s="1"/>
      <c r="P47" s="1"/>
      <c r="Q47" s="1"/>
      <c r="R47" s="1"/>
      <c r="S47" s="1"/>
      <c r="T47" s="1"/>
      <c r="U47" s="1"/>
      <c r="V47" s="1"/>
      <c r="W47" s="1"/>
      <c r="X47" s="1"/>
      <c r="Y47" s="1"/>
      <c r="Z47" s="1"/>
    </row>
    <row r="48">
      <c r="A48" s="1"/>
      <c r="B48" s="1"/>
      <c r="C48" s="48" t="str">
        <f>IFERROR(__xludf.DUMMYFUNCTION("""COMPUTED_VALUE"""),"AAT PMS-200")</f>
        <v>AAT PMS-200</v>
      </c>
      <c r="D48" s="49" t="str">
        <f>IFERROR(__xludf.DUMMYFUNCTION("IMPORTRANGE(""https://docs.google.com/spreadsheets/d/1DsdxsrBJOk75sDGmXMsLLa15LHA7JaMlvKBZACG-RHY/edit?gid=1280887965#gid=1280887965"",""TESTE!A5"")"),"AAT")</f>
        <v>AAT</v>
      </c>
      <c r="E48" s="50">
        <v>0.0</v>
      </c>
      <c r="F48" s="51">
        <v>0.0</v>
      </c>
      <c r="G48" s="51">
        <v>0.0</v>
      </c>
      <c r="H48" s="52">
        <f>IFERROR(__xludf.DUMMYFUNCTION("""COMPUTED_VALUE"""),3450.0)</f>
        <v>3450</v>
      </c>
      <c r="I48" s="53">
        <f t="shared" si="1"/>
        <v>0</v>
      </c>
      <c r="J48" s="12"/>
      <c r="K48" s="1"/>
      <c r="L48" s="1"/>
      <c r="M48" s="1"/>
      <c r="N48" s="1"/>
      <c r="O48" s="1"/>
      <c r="P48" s="1"/>
      <c r="Q48" s="1"/>
      <c r="R48" s="1"/>
      <c r="S48" s="1"/>
      <c r="T48" s="1"/>
      <c r="U48" s="1"/>
      <c r="V48" s="1"/>
      <c r="W48" s="1"/>
      <c r="X48" s="1"/>
      <c r="Y48" s="1"/>
      <c r="Z48" s="1"/>
    </row>
    <row r="49">
      <c r="A49" s="1"/>
      <c r="B49" s="1"/>
      <c r="C49" s="54" t="str">
        <f>IFERROR(__xludf.DUMMYFUNCTION("""COMPUTED_VALUE"""),"AAT PMS-300")</f>
        <v>AAT PMS-300</v>
      </c>
      <c r="D49" s="55" t="str">
        <f>IFERROR(__xludf.DUMMYFUNCTION("IMPORTRANGE(""https://docs.google.com/spreadsheets/d/1DsdxsrBJOk75sDGmXMsLLa15LHA7JaMlvKBZACG-RHY/edit?gid=1280887965#gid=1280887965"",""TESTE!A5"")"),"AAT")</f>
        <v>AAT</v>
      </c>
      <c r="E49" s="56">
        <v>0.0</v>
      </c>
      <c r="F49" s="57">
        <v>0.0</v>
      </c>
      <c r="G49" s="57">
        <v>0.0</v>
      </c>
      <c r="H49" s="58">
        <f>IFERROR(__xludf.DUMMYFUNCTION("""COMPUTED_VALUE"""),4200.0)</f>
        <v>4200</v>
      </c>
      <c r="I49" s="59">
        <f t="shared" si="1"/>
        <v>0</v>
      </c>
      <c r="J49" s="12"/>
      <c r="K49" s="1"/>
      <c r="L49" s="1"/>
      <c r="M49" s="1"/>
      <c r="N49" s="1"/>
      <c r="O49" s="1"/>
      <c r="P49" s="1"/>
      <c r="Q49" s="1"/>
      <c r="R49" s="1"/>
      <c r="S49" s="1"/>
      <c r="T49" s="1"/>
      <c r="U49" s="1"/>
      <c r="V49" s="1"/>
      <c r="W49" s="1"/>
      <c r="X49" s="1"/>
      <c r="Y49" s="1"/>
      <c r="Z49" s="1"/>
    </row>
    <row r="50">
      <c r="A50" s="1"/>
      <c r="B50" s="1"/>
      <c r="C50" s="48" t="str">
        <f>IFERROR(__xludf.DUMMYFUNCTION("""COMPUTED_VALUE"""),"AAT PWC-2 G2 120V")</f>
        <v>AAT PWC-2 G2 120V</v>
      </c>
      <c r="D50" s="49" t="str">
        <f>IFERROR(__xludf.DUMMYFUNCTION("IMPORTRANGE(""https://docs.google.com/spreadsheets/d/1DsdxsrBJOk75sDGmXMsLLa15LHA7JaMlvKBZACG-RHY/edit?gid=1280887965#gid=1280887965"",""TESTE!A5"")"),"AAT")</f>
        <v>AAT</v>
      </c>
      <c r="E50" s="50">
        <v>0.0</v>
      </c>
      <c r="F50" s="51">
        <v>0.0</v>
      </c>
      <c r="G50" s="51">
        <v>0.0</v>
      </c>
      <c r="H50" s="52">
        <f>IFERROR(__xludf.DUMMYFUNCTION("""COMPUTED_VALUE"""),1980.0)</f>
        <v>1980</v>
      </c>
      <c r="I50" s="53">
        <f t="shared" si="1"/>
        <v>0</v>
      </c>
      <c r="J50" s="12"/>
      <c r="K50" s="1"/>
      <c r="L50" s="1"/>
      <c r="M50" s="1"/>
      <c r="N50" s="1"/>
      <c r="O50" s="1"/>
      <c r="P50" s="1"/>
      <c r="Q50" s="1"/>
      <c r="R50" s="1"/>
      <c r="S50" s="1"/>
      <c r="T50" s="1"/>
      <c r="U50" s="1"/>
      <c r="V50" s="1"/>
      <c r="W50" s="1"/>
      <c r="X50" s="1"/>
      <c r="Y50" s="1"/>
      <c r="Z50" s="1"/>
    </row>
    <row r="51">
      <c r="A51" s="1"/>
      <c r="B51" s="1"/>
      <c r="C51" s="54" t="str">
        <f>IFERROR(__xludf.DUMMYFUNCTION("""COMPUTED_VALUE"""),"AAT PWC-2 G2 220V")</f>
        <v>AAT PWC-2 G2 220V</v>
      </c>
      <c r="D51" s="55" t="str">
        <f>IFERROR(__xludf.DUMMYFUNCTION("IMPORTRANGE(""https://docs.google.com/spreadsheets/d/1DsdxsrBJOk75sDGmXMsLLa15LHA7JaMlvKBZACG-RHY/edit?gid=1280887965#gid=1280887965"",""TESTE!A5"")"),"AAT")</f>
        <v>AAT</v>
      </c>
      <c r="E51" s="56">
        <v>0.0</v>
      </c>
      <c r="F51" s="57">
        <v>0.0</v>
      </c>
      <c r="G51" s="57">
        <v>0.0</v>
      </c>
      <c r="H51" s="58">
        <f>IFERROR(__xludf.DUMMYFUNCTION("""COMPUTED_VALUE"""),1980.0)</f>
        <v>1980</v>
      </c>
      <c r="I51" s="59">
        <f t="shared" si="1"/>
        <v>0</v>
      </c>
      <c r="J51" s="12"/>
      <c r="K51" s="1"/>
      <c r="L51" s="1"/>
      <c r="M51" s="1"/>
      <c r="N51" s="1"/>
      <c r="O51" s="1"/>
      <c r="P51" s="1"/>
      <c r="Q51" s="1"/>
      <c r="R51" s="1"/>
      <c r="S51" s="1"/>
      <c r="T51" s="1"/>
      <c r="U51" s="1"/>
      <c r="V51" s="1"/>
      <c r="W51" s="1"/>
      <c r="X51" s="1"/>
      <c r="Y51" s="1"/>
      <c r="Z51" s="1"/>
    </row>
    <row r="52">
      <c r="A52" s="1"/>
      <c r="B52" s="1"/>
      <c r="C52" s="48" t="str">
        <f>IFERROR(__xludf.DUMMYFUNCTION("""COMPUTED_VALUE"""),"AAT PWC-3 G2")</f>
        <v>AAT PWC-3 G2</v>
      </c>
      <c r="D52" s="49" t="str">
        <f>IFERROR(__xludf.DUMMYFUNCTION("IMPORTRANGE(""https://docs.google.com/spreadsheets/d/1DsdxsrBJOk75sDGmXMsLLa15LHA7JaMlvKBZACG-RHY/edit?gid=1280887965#gid=1280887965"",""TESTE!A5"")"),"AAT")</f>
        <v>AAT</v>
      </c>
      <c r="E52" s="50">
        <v>0.0</v>
      </c>
      <c r="F52" s="51">
        <v>0.0</v>
      </c>
      <c r="G52" s="51">
        <v>0.0</v>
      </c>
      <c r="H52" s="52">
        <f>IFERROR(__xludf.DUMMYFUNCTION("""COMPUTED_VALUE"""),3100.0)</f>
        <v>3100</v>
      </c>
      <c r="I52" s="53">
        <f t="shared" si="1"/>
        <v>0</v>
      </c>
      <c r="J52" s="12"/>
      <c r="K52" s="1"/>
      <c r="L52" s="1"/>
      <c r="M52" s="1"/>
      <c r="N52" s="1"/>
      <c r="O52" s="1"/>
      <c r="P52" s="1"/>
      <c r="Q52" s="1"/>
      <c r="R52" s="1"/>
      <c r="S52" s="1"/>
      <c r="T52" s="1"/>
      <c r="U52" s="1"/>
      <c r="V52" s="1"/>
      <c r="W52" s="1"/>
      <c r="X52" s="1"/>
      <c r="Y52" s="1"/>
      <c r="Z52" s="1"/>
    </row>
    <row r="53">
      <c r="A53" s="1"/>
      <c r="B53" s="1"/>
      <c r="C53" s="54" t="str">
        <f>IFERROR(__xludf.DUMMYFUNCTION("""COMPUTED_VALUE"""),"AAT PWC-4 G2")</f>
        <v>AAT PWC-4 G2</v>
      </c>
      <c r="D53" s="55" t="str">
        <f>IFERROR(__xludf.DUMMYFUNCTION("IMPORTRANGE(""https://docs.google.com/spreadsheets/d/1DsdxsrBJOk75sDGmXMsLLa15LHA7JaMlvKBZACG-RHY/edit?gid=1280887965#gid=1280887965"",""TESTE!A5"")"),"AAT")</f>
        <v>AAT</v>
      </c>
      <c r="E53" s="56">
        <v>0.0</v>
      </c>
      <c r="F53" s="57">
        <v>0.0</v>
      </c>
      <c r="G53" s="57">
        <v>0.0</v>
      </c>
      <c r="H53" s="58">
        <f>IFERROR(__xludf.DUMMYFUNCTION("""COMPUTED_VALUE"""),3700.0)</f>
        <v>3700</v>
      </c>
      <c r="I53" s="59">
        <f t="shared" si="1"/>
        <v>0</v>
      </c>
      <c r="J53" s="12"/>
      <c r="K53" s="1"/>
      <c r="L53" s="1"/>
      <c r="M53" s="1"/>
      <c r="N53" s="1"/>
      <c r="O53" s="1"/>
      <c r="P53" s="1"/>
      <c r="Q53" s="1"/>
      <c r="R53" s="1"/>
      <c r="S53" s="1"/>
      <c r="T53" s="1"/>
      <c r="U53" s="1"/>
      <c r="V53" s="1"/>
      <c r="W53" s="1"/>
      <c r="X53" s="1"/>
      <c r="Y53" s="1"/>
      <c r="Z53" s="1"/>
    </row>
    <row r="54">
      <c r="A54" s="1"/>
      <c r="B54" s="1"/>
      <c r="C54" s="48" t="str">
        <f>IFERROR(__xludf.DUMMYFUNCTION("""COMPUTED_VALUE"""),"AAT PWC-6")</f>
        <v>AAT PWC-6</v>
      </c>
      <c r="D54" s="49" t="str">
        <f>IFERROR(__xludf.DUMMYFUNCTION("IMPORTRANGE(""https://docs.google.com/spreadsheets/d/1DsdxsrBJOk75sDGmXMsLLa15LHA7JaMlvKBZACG-RHY/edit?gid=1280887965#gid=1280887965"",""TESTE!A5"")"),"AAT")</f>
        <v>AAT</v>
      </c>
      <c r="E54" s="50">
        <v>0.0</v>
      </c>
      <c r="F54" s="51">
        <v>0.0</v>
      </c>
      <c r="G54" s="51">
        <v>0.0</v>
      </c>
      <c r="H54" s="52">
        <f>IFERROR(__xludf.DUMMYFUNCTION("""COMPUTED_VALUE"""),3480.0)</f>
        <v>3480</v>
      </c>
      <c r="I54" s="53">
        <f t="shared" si="1"/>
        <v>0</v>
      </c>
      <c r="J54" s="12"/>
      <c r="K54" s="1"/>
      <c r="L54" s="1"/>
      <c r="M54" s="1"/>
      <c r="N54" s="1"/>
      <c r="O54" s="1"/>
      <c r="P54" s="1"/>
      <c r="Q54" s="1"/>
      <c r="R54" s="1"/>
      <c r="S54" s="1"/>
      <c r="T54" s="1"/>
      <c r="U54" s="1"/>
      <c r="V54" s="1"/>
      <c r="W54" s="1"/>
      <c r="X54" s="1"/>
      <c r="Y54" s="1"/>
      <c r="Z54" s="1"/>
    </row>
    <row r="55">
      <c r="A55" s="1"/>
      <c r="B55" s="1"/>
      <c r="C55" s="54" t="str">
        <f>IFERROR(__xludf.DUMMYFUNCTION("""COMPUTED_VALUE"""),"AAT PWC-7")</f>
        <v>AAT PWC-7</v>
      </c>
      <c r="D55" s="55" t="str">
        <f>IFERROR(__xludf.DUMMYFUNCTION("IMPORTRANGE(""https://docs.google.com/spreadsheets/d/1DsdxsrBJOk75sDGmXMsLLa15LHA7JaMlvKBZACG-RHY/edit?gid=1280887965#gid=1280887965"",""TESTE!A5"")"),"AAT")</f>
        <v>AAT</v>
      </c>
      <c r="E55" s="56">
        <v>0.0</v>
      </c>
      <c r="F55" s="57">
        <v>0.0</v>
      </c>
      <c r="G55" s="57">
        <v>0.0</v>
      </c>
      <c r="H55" s="58">
        <f>IFERROR(__xludf.DUMMYFUNCTION("""COMPUTED_VALUE"""),4200.0)</f>
        <v>4200</v>
      </c>
      <c r="I55" s="59">
        <f t="shared" si="1"/>
        <v>0</v>
      </c>
      <c r="J55" s="12"/>
      <c r="K55" s="1"/>
      <c r="L55" s="1"/>
      <c r="M55" s="1"/>
      <c r="N55" s="1"/>
      <c r="O55" s="1"/>
      <c r="P55" s="1"/>
      <c r="Q55" s="1"/>
      <c r="R55" s="1"/>
      <c r="S55" s="1"/>
      <c r="T55" s="1"/>
      <c r="U55" s="1"/>
      <c r="V55" s="1"/>
      <c r="W55" s="1"/>
      <c r="X55" s="1"/>
      <c r="Y55" s="1"/>
      <c r="Z55" s="1"/>
    </row>
    <row r="56">
      <c r="A56" s="1"/>
      <c r="B56" s="1"/>
      <c r="C56" s="48" t="str">
        <f>IFERROR(__xludf.DUMMYFUNCTION("""COMPUTED_VALUE"""),"AAT PWC-7 G2")</f>
        <v>AAT PWC-7 G2</v>
      </c>
      <c r="D56" s="49" t="str">
        <f>IFERROR(__xludf.DUMMYFUNCTION("IMPORTRANGE(""https://docs.google.com/spreadsheets/d/1DsdxsrBJOk75sDGmXMsLLa15LHA7JaMlvKBZACG-RHY/edit?gid=1280887965#gid=1280887965"",""TESTE!A5"")"),"AAT")</f>
        <v>AAT</v>
      </c>
      <c r="E56" s="50">
        <v>0.0</v>
      </c>
      <c r="F56" s="51">
        <v>0.0</v>
      </c>
      <c r="G56" s="51">
        <v>0.0</v>
      </c>
      <c r="H56" s="52">
        <f>IFERROR(__xludf.DUMMYFUNCTION("""COMPUTED_VALUE"""),4200.0)</f>
        <v>4200</v>
      </c>
      <c r="I56" s="53">
        <f t="shared" si="1"/>
        <v>0</v>
      </c>
      <c r="J56" s="12"/>
      <c r="K56" s="1"/>
      <c r="L56" s="1"/>
      <c r="M56" s="1"/>
      <c r="N56" s="1"/>
      <c r="O56" s="1"/>
      <c r="P56" s="1"/>
      <c r="Q56" s="1"/>
      <c r="R56" s="1"/>
      <c r="S56" s="1"/>
      <c r="T56" s="1"/>
      <c r="U56" s="1"/>
      <c r="V56" s="1"/>
      <c r="W56" s="1"/>
      <c r="X56" s="1"/>
      <c r="Y56" s="1"/>
      <c r="Z56" s="1"/>
    </row>
    <row r="57">
      <c r="A57" s="1"/>
      <c r="B57" s="1"/>
      <c r="C57" s="54" t="str">
        <f>IFERROR(__xludf.DUMMYFUNCTION("""COMPUTED_VALUE"""),"AAT PWC-8 220V")</f>
        <v>AAT PWC-8 220V</v>
      </c>
      <c r="D57" s="55" t="str">
        <f>IFERROR(__xludf.DUMMYFUNCTION("IMPORTRANGE(""https://docs.google.com/spreadsheets/d/1DsdxsrBJOk75sDGmXMsLLa15LHA7JaMlvKBZACG-RHY/edit?gid=1280887965#gid=1280887965"",""TESTE!A5"")"),"AAT")</f>
        <v>AAT</v>
      </c>
      <c r="E57" s="56">
        <v>0.0</v>
      </c>
      <c r="F57" s="57">
        <v>0.0</v>
      </c>
      <c r="G57" s="57">
        <v>0.0</v>
      </c>
      <c r="H57" s="58">
        <f>IFERROR(__xludf.DUMMYFUNCTION("""COMPUTED_VALUE"""),6600.0)</f>
        <v>6600</v>
      </c>
      <c r="I57" s="59">
        <f t="shared" si="1"/>
        <v>0</v>
      </c>
      <c r="J57" s="12"/>
      <c r="K57" s="1"/>
      <c r="L57" s="1"/>
      <c r="M57" s="1"/>
      <c r="N57" s="1"/>
      <c r="O57" s="1"/>
      <c r="P57" s="1"/>
      <c r="Q57" s="1"/>
      <c r="R57" s="1"/>
      <c r="S57" s="1"/>
      <c r="T57" s="1"/>
      <c r="U57" s="1"/>
      <c r="V57" s="1"/>
      <c r="W57" s="1"/>
      <c r="X57" s="1"/>
      <c r="Y57" s="1"/>
      <c r="Z57" s="1"/>
    </row>
    <row r="58">
      <c r="A58" s="1"/>
      <c r="B58" s="1"/>
      <c r="C58" s="48" t="str">
        <f>IFERROR(__xludf.DUMMYFUNCTION("""COMPUTED_VALUE"""),"AAT SLIM 6")</f>
        <v>AAT SLIM 6</v>
      </c>
      <c r="D58" s="49" t="str">
        <f>IFERROR(__xludf.DUMMYFUNCTION("IMPORTRANGE(""https://docs.google.com/spreadsheets/d/1DsdxsrBJOk75sDGmXMsLLa15LHA7JaMlvKBZACG-RHY/edit?gid=1280887965#gid=1280887965"",""TESTE!A5"")"),"AAT")</f>
        <v>AAT</v>
      </c>
      <c r="E58" s="50">
        <v>0.0</v>
      </c>
      <c r="F58" s="51">
        <v>0.0</v>
      </c>
      <c r="G58" s="51">
        <v>0.0</v>
      </c>
      <c r="H58" s="52">
        <f>IFERROR(__xludf.DUMMYFUNCTION("""COMPUTED_VALUE"""),780.0)</f>
        <v>780</v>
      </c>
      <c r="I58" s="53">
        <f t="shared" si="1"/>
        <v>0</v>
      </c>
      <c r="J58" s="12"/>
      <c r="K58" s="1"/>
      <c r="L58" s="1"/>
      <c r="M58" s="1"/>
      <c r="N58" s="1"/>
      <c r="O58" s="1"/>
      <c r="P58" s="1"/>
      <c r="Q58" s="1"/>
      <c r="R58" s="1"/>
      <c r="S58" s="1"/>
      <c r="T58" s="1"/>
      <c r="U58" s="1"/>
      <c r="V58" s="1"/>
      <c r="W58" s="1"/>
      <c r="X58" s="1"/>
      <c r="Y58" s="1"/>
      <c r="Z58" s="1"/>
    </row>
    <row r="59">
      <c r="A59" s="1"/>
      <c r="B59" s="1"/>
      <c r="C59" s="54" t="str">
        <f>IFERROR(__xludf.DUMMYFUNCTION("""COMPUTED_VALUE"""),"AAT SLIM 6”")</f>
        <v>AAT SLIM 6”</v>
      </c>
      <c r="D59" s="55" t="str">
        <f>IFERROR(__xludf.DUMMYFUNCTION("IMPORTRANGE(""https://docs.google.com/spreadsheets/d/1DsdxsrBJOk75sDGmXMsLLa15LHA7JaMlvKBZACG-RHY/edit?gid=1280887965#gid=1280887965"",""TESTE!A5"")"),"AAT")</f>
        <v>AAT</v>
      </c>
      <c r="E59" s="56">
        <v>0.0</v>
      </c>
      <c r="F59" s="57">
        <v>0.0</v>
      </c>
      <c r="G59" s="57">
        <v>0.0</v>
      </c>
      <c r="H59" s="58">
        <f>IFERROR(__xludf.DUMMYFUNCTION("""COMPUTED_VALUE"""),780.0)</f>
        <v>780</v>
      </c>
      <c r="I59" s="59">
        <f t="shared" si="1"/>
        <v>0</v>
      </c>
      <c r="J59" s="12"/>
      <c r="K59" s="1"/>
      <c r="L59" s="1"/>
      <c r="M59" s="1"/>
      <c r="N59" s="1"/>
      <c r="O59" s="1"/>
      <c r="P59" s="1"/>
      <c r="Q59" s="1"/>
      <c r="R59" s="1"/>
      <c r="S59" s="1"/>
      <c r="T59" s="1"/>
      <c r="U59" s="1"/>
      <c r="V59" s="1"/>
      <c r="W59" s="1"/>
      <c r="X59" s="1"/>
      <c r="Y59" s="1"/>
      <c r="Z59" s="1"/>
    </row>
    <row r="60">
      <c r="A60" s="1"/>
      <c r="B60" s="1"/>
      <c r="C60" s="60" t="str">
        <f>IFERROR(__xludf.DUMMYFUNCTION("IMPORTRANGE(""https://docs.google.com/spreadsheets/d/17pV1h3QXEhKsouzqT-wmZrwWCzREFYcQVORu3OKO97k/edit?gid=250502500#gid=250502500"",""PRODUTOS!C2:C101"")"),"Acoplador para respiro modelos TS")</f>
        <v>Acoplador para respiro modelos TS</v>
      </c>
      <c r="D60" s="61" t="str">
        <f>IFERROR(__xludf.DUMMYFUNCTION("IMPORTRANGE(""https://docs.google.com/spreadsheets/d/17pV1h3QXEhKsouzqT-wmZrwWCzREFYcQVORu3OKO97k/edit?gid=250502500#gid=250502500"",""PRODUTOS!F2"")"),"AERTECNICA")</f>
        <v>AERTECNICA</v>
      </c>
      <c r="E60" s="50">
        <v>0.0</v>
      </c>
      <c r="F60" s="51">
        <v>0.0</v>
      </c>
      <c r="G60" s="51">
        <v>0.0</v>
      </c>
      <c r="H60" s="62">
        <f>IFERROR(__xludf.DUMMYFUNCTION("IMPORTRANGE(""https://docs.google.com/spreadsheets/d/17pV1h3QXEhKsouzqT-wmZrwWCzREFYcQVORu3OKO97k/edit?gid=250502500#gid=250502500"",""PRODUTOS!E2:E101"")"),110.94)</f>
        <v>110.94</v>
      </c>
      <c r="I60" s="53">
        <f t="shared" si="1"/>
        <v>0</v>
      </c>
      <c r="J60" s="12"/>
      <c r="K60" s="1"/>
      <c r="L60" s="1"/>
      <c r="M60" s="1"/>
      <c r="N60" s="1"/>
      <c r="O60" s="1"/>
      <c r="P60" s="1"/>
      <c r="Q60" s="1"/>
      <c r="R60" s="1"/>
      <c r="S60" s="1"/>
      <c r="T60" s="1"/>
      <c r="U60" s="1"/>
      <c r="V60" s="1"/>
      <c r="W60" s="1"/>
      <c r="X60" s="1"/>
      <c r="Y60" s="1"/>
      <c r="Z60" s="1"/>
    </row>
    <row r="61">
      <c r="A61" s="1"/>
      <c r="B61" s="1"/>
      <c r="C61" s="63" t="str">
        <f>IFERROR(__xludf.DUMMYFUNCTION("""COMPUTED_VALUE"""),"Base de Tomada Eclettis com conexão")</f>
        <v>Base de Tomada Eclettis com conexão</v>
      </c>
      <c r="D61" s="64" t="str">
        <f>IFERROR(__xludf.DUMMYFUNCTION("IMPORTRANGE(""https://docs.google.com/spreadsheets/d/17pV1h3QXEhKsouzqT-wmZrwWCzREFYcQVORu3OKO97k/edit?gid=250502500#gid=250502500"",""PRODUTOS!F2"")"),"AERTECNICA")</f>
        <v>AERTECNICA</v>
      </c>
      <c r="E61" s="56">
        <v>0.0</v>
      </c>
      <c r="F61" s="57">
        <v>0.0</v>
      </c>
      <c r="G61" s="57">
        <v>0.0</v>
      </c>
      <c r="H61" s="57">
        <f>IFERROR(__xludf.DUMMYFUNCTION("""COMPUTED_VALUE"""),480.06)</f>
        <v>480.06</v>
      </c>
      <c r="I61" s="59">
        <f t="shared" si="1"/>
        <v>0</v>
      </c>
      <c r="J61" s="12"/>
      <c r="K61" s="1"/>
      <c r="L61" s="1"/>
      <c r="M61" s="1"/>
      <c r="N61" s="1"/>
      <c r="O61" s="1"/>
      <c r="P61" s="1"/>
      <c r="Q61" s="1"/>
      <c r="R61" s="1"/>
      <c r="S61" s="1"/>
      <c r="T61" s="1"/>
      <c r="U61" s="1"/>
      <c r="V61" s="1"/>
      <c r="W61" s="1"/>
      <c r="X61" s="1"/>
      <c r="Y61" s="1"/>
      <c r="Z61" s="1"/>
    </row>
    <row r="62">
      <c r="A62" s="1"/>
      <c r="B62" s="1"/>
      <c r="C62" s="60" t="str">
        <f>IFERROR(__xludf.DUMMYFUNCTION("""COMPUTED_VALUE"""),"Base de Tomada New Air com conexão Curva")</f>
        <v>Base de Tomada New Air com conexão Curva</v>
      </c>
      <c r="D62" s="61" t="str">
        <f>IFERROR(__xludf.DUMMYFUNCTION("IMPORTRANGE(""https://docs.google.com/spreadsheets/d/17pV1h3QXEhKsouzqT-wmZrwWCzREFYcQVORu3OKO97k/edit?gid=250502500#gid=250502500"",""PRODUTOS!F2"")"),"AERTECNICA")</f>
        <v>AERTECNICA</v>
      </c>
      <c r="E62" s="50">
        <v>0.0</v>
      </c>
      <c r="F62" s="51">
        <v>0.0</v>
      </c>
      <c r="G62" s="51">
        <v>0.0</v>
      </c>
      <c r="H62" s="51">
        <f>IFERROR(__xludf.DUMMYFUNCTION("""COMPUTED_VALUE"""),61.38)</f>
        <v>61.38</v>
      </c>
      <c r="I62" s="53">
        <f t="shared" si="1"/>
        <v>0</v>
      </c>
      <c r="J62" s="12"/>
      <c r="K62" s="1"/>
      <c r="L62" s="1"/>
      <c r="M62" s="1"/>
      <c r="N62" s="1"/>
      <c r="O62" s="1"/>
      <c r="P62" s="1"/>
      <c r="Q62" s="1"/>
      <c r="R62" s="1"/>
      <c r="S62" s="1"/>
      <c r="T62" s="1"/>
      <c r="U62" s="1"/>
      <c r="V62" s="1"/>
      <c r="W62" s="1"/>
      <c r="X62" s="1"/>
      <c r="Y62" s="1"/>
      <c r="Z62" s="1"/>
    </row>
    <row r="63">
      <c r="A63" s="1"/>
      <c r="B63" s="1"/>
      <c r="C63" s="63" t="str">
        <f>IFERROR(__xludf.DUMMYFUNCTION("""COMPUTED_VALUE"""),"Base de tomada PRATICO com 2"" para parede de alvenaria")</f>
        <v>Base de tomada PRATICO com 2" para parede de alvenaria</v>
      </c>
      <c r="D63" s="64" t="str">
        <f>IFERROR(__xludf.DUMMYFUNCTION("IMPORTRANGE(""https://docs.google.com/spreadsheets/d/17pV1h3QXEhKsouzqT-wmZrwWCzREFYcQVORu3OKO97k/edit?gid=250502500#gid=250502500"",""PRODUTOS!F2"")"),"AERTECNICA")</f>
        <v>AERTECNICA</v>
      </c>
      <c r="E63" s="56">
        <v>0.0</v>
      </c>
      <c r="F63" s="57">
        <v>0.0</v>
      </c>
      <c r="G63" s="57">
        <v>0.0</v>
      </c>
      <c r="H63" s="57">
        <f>IFERROR(__xludf.DUMMYFUNCTION("""COMPUTED_VALUE"""),533.33)</f>
        <v>533.33</v>
      </c>
      <c r="I63" s="59">
        <f t="shared" si="1"/>
        <v>0</v>
      </c>
      <c r="J63" s="12"/>
      <c r="K63" s="1"/>
      <c r="L63" s="1"/>
      <c r="M63" s="1"/>
      <c r="N63" s="1"/>
      <c r="O63" s="1"/>
      <c r="P63" s="1"/>
      <c r="Q63" s="1"/>
      <c r="R63" s="1"/>
      <c r="S63" s="1"/>
      <c r="T63" s="1"/>
      <c r="U63" s="1"/>
      <c r="V63" s="1"/>
      <c r="W63" s="1"/>
      <c r="X63" s="1"/>
      <c r="Y63" s="1"/>
      <c r="Z63" s="1"/>
    </row>
    <row r="64">
      <c r="A64" s="1"/>
      <c r="B64" s="1"/>
      <c r="C64" s="60" t="str">
        <f>IFERROR(__xludf.DUMMYFUNCTION("""COMPUTED_VALUE"""),"Caixa com Porta de Embutir")</f>
        <v>Caixa com Porta de Embutir</v>
      </c>
      <c r="D64" s="61" t="str">
        <f>IFERROR(__xludf.DUMMYFUNCTION("IMPORTRANGE(""https://docs.google.com/spreadsheets/d/17pV1h3QXEhKsouzqT-wmZrwWCzREFYcQVORu3OKO97k/edit?gid=250502500#gid=250502500"",""PRODUTOS!F2"")"),"AERTECNICA")</f>
        <v>AERTECNICA</v>
      </c>
      <c r="E64" s="50">
        <v>0.0</v>
      </c>
      <c r="F64" s="51">
        <v>0.0</v>
      </c>
      <c r="G64" s="51">
        <v>0.0</v>
      </c>
      <c r="H64" s="51">
        <f>IFERROR(__xludf.DUMMYFUNCTION("""COMPUTED_VALUE"""),785.73)</f>
        <v>785.73</v>
      </c>
      <c r="I64" s="53">
        <f t="shared" si="1"/>
        <v>0</v>
      </c>
      <c r="J64" s="12"/>
      <c r="K64" s="1"/>
      <c r="L64" s="1"/>
      <c r="M64" s="1"/>
      <c r="N64" s="1"/>
      <c r="O64" s="1"/>
      <c r="P64" s="1"/>
      <c r="Q64" s="1"/>
      <c r="R64" s="1"/>
      <c r="S64" s="1"/>
      <c r="T64" s="1"/>
      <c r="U64" s="1"/>
      <c r="V64" s="1"/>
      <c r="W64" s="1"/>
      <c r="X64" s="1"/>
      <c r="Y64" s="1"/>
      <c r="Z64" s="1"/>
    </row>
    <row r="65">
      <c r="A65" s="1"/>
      <c r="B65" s="1"/>
      <c r="C65" s="63" t="str">
        <f>IFERROR(__xludf.DUMMYFUNCTION("""COMPUTED_VALUE"""),"CAPA DE FECHAMENTO EM PVC")</f>
        <v>CAPA DE FECHAMENTO EM PVC</v>
      </c>
      <c r="D65" s="64" t="str">
        <f>IFERROR(__xludf.DUMMYFUNCTION("IMPORTRANGE(""https://docs.google.com/spreadsheets/d/17pV1h3QXEhKsouzqT-wmZrwWCzREFYcQVORu3OKO97k/edit?gid=250502500#gid=250502500"",""PRODUTOS!F2"")"),"AERTECNICA")</f>
        <v>AERTECNICA</v>
      </c>
      <c r="E65" s="56">
        <v>0.0</v>
      </c>
      <c r="F65" s="57">
        <v>0.0</v>
      </c>
      <c r="G65" s="57">
        <v>0.0</v>
      </c>
      <c r="H65" s="57">
        <f>IFERROR(__xludf.DUMMYFUNCTION("""COMPUTED_VALUE"""),55.56)</f>
        <v>55.56</v>
      </c>
      <c r="I65" s="59">
        <f t="shared" si="1"/>
        <v>0</v>
      </c>
      <c r="J65" s="12"/>
      <c r="K65" s="1"/>
      <c r="L65" s="1"/>
      <c r="M65" s="1"/>
      <c r="N65" s="1"/>
      <c r="O65" s="1"/>
      <c r="P65" s="1"/>
      <c r="Q65" s="1"/>
      <c r="R65" s="1"/>
      <c r="S65" s="1"/>
      <c r="T65" s="1"/>
      <c r="U65" s="1"/>
      <c r="V65" s="1"/>
      <c r="W65" s="1"/>
      <c r="X65" s="1"/>
      <c r="Y65" s="1"/>
      <c r="Z65" s="1"/>
    </row>
    <row r="66">
      <c r="A66" s="1"/>
      <c r="B66" s="1"/>
      <c r="C66" s="60" t="str">
        <f>IFERROR(__xludf.DUMMYFUNCTION("""COMPUTED_VALUE"""),"CENTRAL  PERFETTO - CLASSIC")</f>
        <v>CENTRAL  PERFETTO - CLASSIC</v>
      </c>
      <c r="D66" s="61" t="str">
        <f>IFERROR(__xludf.DUMMYFUNCTION("IMPORTRANGE(""https://docs.google.com/spreadsheets/d/17pV1h3QXEhKsouzqT-wmZrwWCzREFYcQVORu3OKO97k/edit?gid=250502500#gid=250502500"",""PRODUTOS!F2"")"),"AERTECNICA")</f>
        <v>AERTECNICA</v>
      </c>
      <c r="E66" s="50">
        <v>0.0</v>
      </c>
      <c r="F66" s="51">
        <v>0.0</v>
      </c>
      <c r="G66" s="51">
        <v>0.0</v>
      </c>
      <c r="H66" s="51">
        <f>IFERROR(__xludf.DUMMYFUNCTION("""COMPUTED_VALUE"""),6651.52)</f>
        <v>6651.52</v>
      </c>
      <c r="I66" s="53">
        <f t="shared" si="1"/>
        <v>0</v>
      </c>
      <c r="J66" s="12"/>
      <c r="K66" s="1"/>
      <c r="L66" s="1"/>
      <c r="M66" s="1"/>
      <c r="N66" s="1"/>
      <c r="O66" s="1"/>
      <c r="P66" s="1"/>
      <c r="Q66" s="1"/>
      <c r="R66" s="1"/>
      <c r="S66" s="1"/>
      <c r="T66" s="1"/>
      <c r="U66" s="1"/>
      <c r="V66" s="1"/>
      <c r="W66" s="1"/>
      <c r="X66" s="1"/>
      <c r="Y66" s="1"/>
      <c r="Z66" s="1"/>
    </row>
    <row r="67">
      <c r="A67" s="1"/>
      <c r="B67" s="1"/>
      <c r="C67" s="63" t="str">
        <f>IFERROR(__xludf.DUMMYFUNCTION("""COMPUTED_VALUE"""),"Central de Aspiração de Embutir Q200 - 6 pontos (area recomendada de aproximadamente 300 m2) - distancia maxima 25 metros")</f>
        <v>Central de Aspiração de Embutir Q200 - 6 pontos (area recomendada de aproximadamente 300 m2) - distancia maxima 25 metros</v>
      </c>
      <c r="D67" s="64" t="str">
        <f>IFERROR(__xludf.DUMMYFUNCTION("IMPORTRANGE(""https://docs.google.com/spreadsheets/d/17pV1h3QXEhKsouzqT-wmZrwWCzREFYcQVORu3OKO97k/edit?gid=250502500#gid=250502500"",""PRODUTOS!F2"")"),"AERTECNICA")</f>
        <v>AERTECNICA</v>
      </c>
      <c r="E67" s="56">
        <v>0.0</v>
      </c>
      <c r="F67" s="57">
        <v>0.0</v>
      </c>
      <c r="G67" s="57">
        <v>0.0</v>
      </c>
      <c r="H67" s="57">
        <f>IFERROR(__xludf.DUMMYFUNCTION("""COMPUTED_VALUE"""),4530.3)</f>
        <v>4530.3</v>
      </c>
      <c r="I67" s="59">
        <f t="shared" si="1"/>
        <v>0</v>
      </c>
      <c r="J67" s="12"/>
      <c r="K67" s="1"/>
      <c r="L67" s="1"/>
      <c r="M67" s="1"/>
      <c r="N67" s="1"/>
      <c r="O67" s="1"/>
      <c r="P67" s="1"/>
      <c r="Q67" s="1"/>
      <c r="R67" s="1"/>
      <c r="S67" s="1"/>
      <c r="T67" s="1"/>
      <c r="U67" s="1"/>
      <c r="V67" s="1"/>
      <c r="W67" s="1"/>
      <c r="X67" s="1"/>
      <c r="Y67" s="1"/>
      <c r="Z67" s="1"/>
    </row>
    <row r="68">
      <c r="A68" s="1"/>
      <c r="B68" s="1"/>
      <c r="C68" s="60" t="str">
        <f>IFERROR(__xludf.DUMMYFUNCTION("""COMPUTED_VALUE"""),"Central Perfetto Classic TC3 - 16 pontos
(área recomendade de aproximadamente 800 m2) - distância máxima 45 metros")</f>
        <v>Central Perfetto Classic TC3 - 16 pontos
(área recomendade de aproximadamente 800 m2) - distância máxima 45 metros</v>
      </c>
      <c r="D68" s="61" t="str">
        <f>IFERROR(__xludf.DUMMYFUNCTION("IMPORTRANGE(""https://docs.google.com/spreadsheets/d/17pV1h3QXEhKsouzqT-wmZrwWCzREFYcQVORu3OKO97k/edit?gid=250502500#gid=250502500"",""PRODUTOS!F2"")"),"AERTECNICA")</f>
        <v>AERTECNICA</v>
      </c>
      <c r="E68" s="50">
        <v>0.0</v>
      </c>
      <c r="F68" s="51">
        <v>0.0</v>
      </c>
      <c r="G68" s="51">
        <v>0.0</v>
      </c>
      <c r="H68" s="51">
        <f>IFERROR(__xludf.DUMMYFUNCTION("""COMPUTED_VALUE"""),15909.09)</f>
        <v>15909.09</v>
      </c>
      <c r="I68" s="53">
        <f t="shared" si="1"/>
        <v>0</v>
      </c>
      <c r="J68" s="12"/>
      <c r="K68" s="1"/>
      <c r="L68" s="1"/>
      <c r="M68" s="1"/>
      <c r="N68" s="1"/>
      <c r="O68" s="1"/>
      <c r="P68" s="1"/>
      <c r="Q68" s="1"/>
      <c r="R68" s="1"/>
      <c r="S68" s="1"/>
      <c r="T68" s="1"/>
      <c r="U68" s="1"/>
      <c r="V68" s="1"/>
      <c r="W68" s="1"/>
      <c r="X68" s="1"/>
      <c r="Y68" s="1"/>
      <c r="Z68" s="1"/>
    </row>
    <row r="69">
      <c r="A69" s="1"/>
      <c r="B69" s="1"/>
      <c r="C69" s="63" t="str">
        <f>IFERROR(__xludf.DUMMYFUNCTION("""COMPUTED_VALUE"""),"Central Perfetto Classic TC4 - 25 pontos
(área recomendada de aproximadamente 1250 m2) - distância máxima 55 metros")</f>
        <v>Central Perfetto Classic TC4 - 25 pontos
(área recomendada de aproximadamente 1250 m2) - distância máxima 55 metros</v>
      </c>
      <c r="D69" s="64" t="str">
        <f>IFERROR(__xludf.DUMMYFUNCTION("IMPORTRANGE(""https://docs.google.com/spreadsheets/d/17pV1h3QXEhKsouzqT-wmZrwWCzREFYcQVORu3OKO97k/edit?gid=250502500#gid=250502500"",""PRODUTOS!F2"")"),"AERTECNICA")</f>
        <v>AERTECNICA</v>
      </c>
      <c r="E69" s="56">
        <v>0.0</v>
      </c>
      <c r="F69" s="57">
        <v>0.0</v>
      </c>
      <c r="G69" s="57">
        <v>0.0</v>
      </c>
      <c r="H69" s="57">
        <f>IFERROR(__xludf.DUMMYFUNCTION("""COMPUTED_VALUE"""),18939.39)</f>
        <v>18939.39</v>
      </c>
      <c r="I69" s="59">
        <f t="shared" si="1"/>
        <v>0</v>
      </c>
      <c r="J69" s="12"/>
      <c r="K69" s="1"/>
      <c r="L69" s="1"/>
      <c r="M69" s="1"/>
      <c r="N69" s="1"/>
      <c r="O69" s="1"/>
      <c r="P69" s="1"/>
      <c r="Q69" s="1"/>
      <c r="R69" s="1"/>
      <c r="S69" s="1"/>
      <c r="T69" s="1"/>
      <c r="U69" s="1"/>
      <c r="V69" s="1"/>
      <c r="W69" s="1"/>
      <c r="X69" s="1"/>
      <c r="Y69" s="1"/>
      <c r="Z69" s="1"/>
    </row>
    <row r="70">
      <c r="A70" s="1"/>
      <c r="B70" s="1"/>
      <c r="C70" s="60" t="str">
        <f>IFERROR(__xludf.DUMMYFUNCTION("""COMPUTED_VALUE"""),"Central Perfetto Inox TX2 - 10 pontos
(área recomendada de aproximadamente 500 m2) - distância máxima 35 metros   SOB ENCOMENDA")</f>
        <v>Central Perfetto Inox TX2 - 10 pontos
(área recomendada de aproximadamente 500 m2) - distância máxima 35 metros   SOB ENCOMENDA</v>
      </c>
      <c r="D70" s="61" t="str">
        <f>IFERROR(__xludf.DUMMYFUNCTION("IMPORTRANGE(""https://docs.google.com/spreadsheets/d/17pV1h3QXEhKsouzqT-wmZrwWCzREFYcQVORu3OKO97k/edit?gid=250502500#gid=250502500"",""PRODUTOS!F2"")"),"AERTECNICA")</f>
        <v>AERTECNICA</v>
      </c>
      <c r="E70" s="50">
        <v>0.0</v>
      </c>
      <c r="F70" s="51">
        <v>0.0</v>
      </c>
      <c r="G70" s="51">
        <v>0.0</v>
      </c>
      <c r="H70" s="51">
        <f>IFERROR(__xludf.DUMMYFUNCTION("""COMPUTED_VALUE"""),10874.24)</f>
        <v>10874.24</v>
      </c>
      <c r="I70" s="53">
        <f t="shared" si="1"/>
        <v>0</v>
      </c>
      <c r="J70" s="12"/>
      <c r="K70" s="1"/>
      <c r="L70" s="1"/>
      <c r="M70" s="1"/>
      <c r="N70" s="1"/>
      <c r="O70" s="1"/>
      <c r="P70" s="1"/>
      <c r="Q70" s="1"/>
      <c r="R70" s="1"/>
      <c r="S70" s="1"/>
      <c r="T70" s="1"/>
      <c r="U70" s="1"/>
      <c r="V70" s="1"/>
      <c r="W70" s="1"/>
      <c r="X70" s="1"/>
      <c r="Y70" s="1"/>
      <c r="Z70" s="1"/>
    </row>
    <row r="71">
      <c r="A71" s="1"/>
      <c r="B71" s="1"/>
      <c r="C71" s="63" t="str">
        <f>IFERROR(__xludf.DUMMYFUNCTION("""COMPUTED_VALUE"""),"Central Perfetto Inox TX3 - 16 pontos
(área recomendada de aproximadamente 800 m2) - distância máxima 45 metros       SOB ENCOMENDA")</f>
        <v>Central Perfetto Inox TX3 - 16 pontos
(área recomendada de aproximadamente 800 m2) - distância máxima 45 metros       SOB ENCOMENDA</v>
      </c>
      <c r="D71" s="64" t="str">
        <f>IFERROR(__xludf.DUMMYFUNCTION("IMPORTRANGE(""https://docs.google.com/spreadsheets/d/17pV1h3QXEhKsouzqT-wmZrwWCzREFYcQVORu3OKO97k/edit?gid=250502500#gid=250502500"",""PRODUTOS!F2"")"),"AERTECNICA")</f>
        <v>AERTECNICA</v>
      </c>
      <c r="E71" s="56">
        <v>0.0</v>
      </c>
      <c r="F71" s="57">
        <v>0.0</v>
      </c>
      <c r="G71" s="57">
        <v>0.0</v>
      </c>
      <c r="H71" s="57">
        <f>IFERROR(__xludf.DUMMYFUNCTION("""COMPUTED_VALUE"""),11496.97)</f>
        <v>11496.97</v>
      </c>
      <c r="I71" s="59">
        <f t="shared" si="1"/>
        <v>0</v>
      </c>
      <c r="J71" s="12"/>
      <c r="K71" s="1"/>
      <c r="L71" s="1"/>
      <c r="M71" s="1"/>
      <c r="N71" s="1"/>
      <c r="O71" s="1"/>
      <c r="P71" s="1"/>
      <c r="Q71" s="1"/>
      <c r="R71" s="1"/>
      <c r="S71" s="1"/>
      <c r="T71" s="1"/>
      <c r="U71" s="1"/>
      <c r="V71" s="1"/>
      <c r="W71" s="1"/>
      <c r="X71" s="1"/>
      <c r="Y71" s="1"/>
      <c r="Z71" s="1"/>
    </row>
    <row r="72">
      <c r="A72" s="1"/>
      <c r="B72" s="1"/>
      <c r="C72" s="60" t="str">
        <f>IFERROR(__xludf.DUMMYFUNCTION("""COMPUTED_VALUE"""),"Central Perfetto Inox TX4 - 25 pontos
(área recomendada de aproximadamente 1250 m2) - distância máxima 55 metros")</f>
        <v>Central Perfetto Inox TX4 - 25 pontos
(área recomendada de aproximadamente 1250 m2) - distância máxima 55 metros</v>
      </c>
      <c r="D72" s="61" t="str">
        <f>IFERROR(__xludf.DUMMYFUNCTION("IMPORTRANGE(""https://docs.google.com/spreadsheets/d/17pV1h3QXEhKsouzqT-wmZrwWCzREFYcQVORu3OKO97k/edit?gid=250502500#gid=250502500"",""PRODUTOS!F2"")"),"AERTECNICA")</f>
        <v>AERTECNICA</v>
      </c>
      <c r="E72" s="50">
        <v>0.0</v>
      </c>
      <c r="F72" s="51">
        <v>0.0</v>
      </c>
      <c r="G72" s="51">
        <v>0.0</v>
      </c>
      <c r="H72" s="51">
        <f>IFERROR(__xludf.DUMMYFUNCTION("""COMPUTED_VALUE"""),15819.7)</f>
        <v>15819.7</v>
      </c>
      <c r="I72" s="53">
        <f t="shared" si="1"/>
        <v>0</v>
      </c>
      <c r="J72" s="12"/>
      <c r="K72" s="1"/>
      <c r="L72" s="1"/>
      <c r="M72" s="1"/>
      <c r="N72" s="1"/>
      <c r="O72" s="1"/>
      <c r="P72" s="1"/>
      <c r="Q72" s="1"/>
      <c r="R72" s="1"/>
      <c r="S72" s="1"/>
      <c r="T72" s="1"/>
      <c r="U72" s="1"/>
      <c r="V72" s="1"/>
      <c r="W72" s="1"/>
      <c r="X72" s="1"/>
      <c r="Y72" s="1"/>
      <c r="Z72" s="1"/>
    </row>
    <row r="73">
      <c r="A73" s="1"/>
      <c r="B73" s="1"/>
      <c r="C73" s="63" t="str">
        <f>IFERROR(__xludf.DUMMYFUNCTION("""COMPUTED_VALUE"""),"CENTRAL STUDIO - QB")</f>
        <v>CENTRAL STUDIO - QB</v>
      </c>
      <c r="D73" s="64" t="str">
        <f>IFERROR(__xludf.DUMMYFUNCTION("IMPORTRANGE(""https://docs.google.com/spreadsheets/d/17pV1h3QXEhKsouzqT-wmZrwWCzREFYcQVORu3OKO97k/edit?gid=250502500#gid=250502500"",""PRODUTOS!F2"")"),"AERTECNICA")</f>
        <v>AERTECNICA</v>
      </c>
      <c r="E73" s="56">
        <v>0.0</v>
      </c>
      <c r="F73" s="57">
        <v>0.0</v>
      </c>
      <c r="G73" s="57">
        <v>0.0</v>
      </c>
      <c r="H73" s="57">
        <f>IFERROR(__xludf.DUMMYFUNCTION("""COMPUTED_VALUE"""),2060.61)</f>
        <v>2060.61</v>
      </c>
      <c r="I73" s="59">
        <f t="shared" si="1"/>
        <v>0</v>
      </c>
      <c r="J73" s="12"/>
      <c r="K73" s="1"/>
      <c r="L73" s="1"/>
      <c r="M73" s="1"/>
      <c r="N73" s="1"/>
      <c r="O73" s="1"/>
      <c r="P73" s="1"/>
      <c r="Q73" s="1"/>
      <c r="R73" s="1"/>
      <c r="S73" s="1"/>
      <c r="T73" s="1"/>
      <c r="U73" s="1"/>
      <c r="V73" s="1"/>
      <c r="W73" s="1"/>
      <c r="X73" s="1"/>
      <c r="Y73" s="1"/>
      <c r="Z73" s="1"/>
    </row>
    <row r="74">
      <c r="A74" s="1"/>
      <c r="B74" s="1"/>
      <c r="C74" s="48" t="str">
        <f>IFERROR(__xludf.DUMMYFUNCTION("""COMPUTED_VALUE"""),"Central Studio TC2 - 10 pontos
(área recomendada de aproximadamente 500 m2) - distÂncia máxima 35 metros
SEM ESTOQUE")</f>
        <v>Central Studio TC2 - 10 pontos
(área recomendada de aproximadamente 500 m2) - distÂncia máxima 35 metros
SEM ESTOQUE</v>
      </c>
      <c r="D74" s="61" t="str">
        <f>IFERROR(__xludf.DUMMYFUNCTION("IMPORTRANGE(""https://docs.google.com/spreadsheets/d/17pV1h3QXEhKsouzqT-wmZrwWCzREFYcQVORu3OKO97k/edit?gid=250502500#gid=250502500"",""PRODUTOS!F2"")"),"AERTECNICA")</f>
        <v>AERTECNICA</v>
      </c>
      <c r="E74" s="50">
        <v>0.0</v>
      </c>
      <c r="F74" s="51">
        <v>0.0</v>
      </c>
      <c r="G74" s="51">
        <v>0.0</v>
      </c>
      <c r="H74" s="52">
        <f>IFERROR(__xludf.DUMMYFUNCTION("""COMPUTED_VALUE"""),5861.27)</f>
        <v>5861.27</v>
      </c>
      <c r="I74" s="53">
        <f t="shared" si="1"/>
        <v>0</v>
      </c>
      <c r="J74" s="12"/>
      <c r="K74" s="1"/>
      <c r="L74" s="1"/>
      <c r="M74" s="1"/>
      <c r="N74" s="1"/>
      <c r="O74" s="1"/>
      <c r="P74" s="1"/>
      <c r="Q74" s="1"/>
      <c r="R74" s="1"/>
      <c r="S74" s="1"/>
      <c r="T74" s="1"/>
      <c r="U74" s="1"/>
      <c r="V74" s="1"/>
      <c r="W74" s="1"/>
      <c r="X74" s="1"/>
      <c r="Y74" s="1"/>
      <c r="Z74" s="1"/>
    </row>
    <row r="75">
      <c r="A75" s="1"/>
      <c r="B75" s="1"/>
      <c r="C75" s="54" t="str">
        <f>IFERROR(__xludf.DUMMYFUNCTION("""COMPUTED_VALUE"""),"Central Studio TS1 - 6 pontos
(área recomendada de aproximadamente 300 m2) - distância máxima 25 metros")</f>
        <v>Central Studio TS1 - 6 pontos
(área recomendada de aproximadamente 300 m2) - distância máxima 25 metros</v>
      </c>
      <c r="D75" s="64" t="str">
        <f>IFERROR(__xludf.DUMMYFUNCTION("IMPORTRANGE(""https://docs.google.com/spreadsheets/d/17pV1h3QXEhKsouzqT-wmZrwWCzREFYcQVORu3OKO97k/edit?gid=250502500#gid=250502500"",""PRODUTOS!F2"")"),"AERTECNICA")</f>
        <v>AERTECNICA</v>
      </c>
      <c r="E75" s="56">
        <v>0.0</v>
      </c>
      <c r="F75" s="57">
        <v>0.0</v>
      </c>
      <c r="G75" s="57">
        <v>0.0</v>
      </c>
      <c r="H75" s="58">
        <f>IFERROR(__xludf.DUMMYFUNCTION("""COMPUTED_VALUE"""),5227.27)</f>
        <v>5227.27</v>
      </c>
      <c r="I75" s="59">
        <f t="shared" si="1"/>
        <v>0</v>
      </c>
      <c r="J75" s="12"/>
      <c r="K75" s="1"/>
      <c r="L75" s="1"/>
      <c r="M75" s="1"/>
      <c r="N75" s="1"/>
      <c r="O75" s="1"/>
      <c r="P75" s="1"/>
      <c r="Q75" s="1"/>
      <c r="R75" s="1"/>
      <c r="S75" s="1"/>
      <c r="T75" s="1"/>
      <c r="U75" s="1"/>
      <c r="V75" s="1"/>
      <c r="W75" s="1"/>
      <c r="X75" s="1"/>
      <c r="Y75" s="1"/>
      <c r="Z75" s="1"/>
    </row>
    <row r="76">
      <c r="A76" s="1"/>
      <c r="B76" s="1"/>
      <c r="C76" s="48" t="str">
        <f>IFERROR(__xludf.DUMMYFUNCTION("""COMPUTED_VALUE"""),"Central Studio TS2 - 10 pontos
(área recomendada de aproximadamente 500 m2) - distância máxima 35 metros")</f>
        <v>Central Studio TS2 - 10 pontos
(área recomendada de aproximadamente 500 m2) - distância máxima 35 metros</v>
      </c>
      <c r="D76" s="61" t="str">
        <f>IFERROR(__xludf.DUMMYFUNCTION("IMPORTRANGE(""https://docs.google.com/spreadsheets/d/17pV1h3QXEhKsouzqT-wmZrwWCzREFYcQVORu3OKO97k/edit?gid=250502500#gid=250502500"",""PRODUTOS!F2"")"),"AERTECNICA")</f>
        <v>AERTECNICA</v>
      </c>
      <c r="E76" s="50">
        <v>0.0</v>
      </c>
      <c r="F76" s="51">
        <v>0.0</v>
      </c>
      <c r="G76" s="51">
        <v>0.0</v>
      </c>
      <c r="H76" s="52">
        <f>IFERROR(__xludf.DUMMYFUNCTION("""COMPUTED_VALUE"""),6857.58)</f>
        <v>6857.58</v>
      </c>
      <c r="I76" s="53">
        <f t="shared" si="1"/>
        <v>0</v>
      </c>
      <c r="J76" s="12"/>
      <c r="K76" s="1"/>
      <c r="L76" s="1"/>
      <c r="M76" s="1"/>
      <c r="N76" s="1"/>
      <c r="O76" s="1"/>
      <c r="P76" s="1"/>
      <c r="Q76" s="1"/>
      <c r="R76" s="1"/>
      <c r="S76" s="1"/>
      <c r="T76" s="1"/>
      <c r="U76" s="1"/>
      <c r="V76" s="1"/>
      <c r="W76" s="1"/>
      <c r="X76" s="1"/>
      <c r="Y76" s="1"/>
      <c r="Z76" s="1"/>
    </row>
    <row r="77">
      <c r="A77" s="1"/>
      <c r="B77" s="1"/>
      <c r="C77" s="54" t="str">
        <f>IFERROR(__xludf.DUMMYFUNCTION("""COMPUTED_VALUE"""),"Central Studio TS4 - 25 pontos
(área recomendada de aproximadamente 1250 m2) - distância máxima 45 metros")</f>
        <v>Central Studio TS4 - 25 pontos
(área recomendada de aproximadamente 1250 m2) - distância máxima 45 metros</v>
      </c>
      <c r="D77" s="64" t="str">
        <f>IFERROR(__xludf.DUMMYFUNCTION("IMPORTRANGE(""https://docs.google.com/spreadsheets/d/17pV1h3QXEhKsouzqT-wmZrwWCzREFYcQVORu3OKO97k/edit?gid=250502500#gid=250502500"",""PRODUTOS!F2"")"),"AERTECNICA")</f>
        <v>AERTECNICA</v>
      </c>
      <c r="E77" s="56">
        <v>0.0</v>
      </c>
      <c r="F77" s="57">
        <v>0.0</v>
      </c>
      <c r="G77" s="57">
        <v>0.0</v>
      </c>
      <c r="H77" s="58">
        <f>IFERROR(__xludf.DUMMYFUNCTION("""COMPUTED_VALUE"""),7454.55)</f>
        <v>7454.55</v>
      </c>
      <c r="I77" s="59">
        <f t="shared" si="1"/>
        <v>0</v>
      </c>
      <c r="J77" s="12"/>
      <c r="K77" s="1"/>
      <c r="L77" s="1"/>
      <c r="M77" s="1"/>
      <c r="N77" s="1"/>
      <c r="O77" s="1"/>
      <c r="P77" s="1"/>
      <c r="Q77" s="1"/>
      <c r="R77" s="1"/>
      <c r="S77" s="1"/>
      <c r="T77" s="1"/>
      <c r="U77" s="1"/>
      <c r="V77" s="1"/>
      <c r="W77" s="1"/>
      <c r="X77" s="1"/>
      <c r="Y77" s="1"/>
      <c r="Z77" s="1"/>
    </row>
    <row r="78">
      <c r="A78" s="1"/>
      <c r="B78" s="1"/>
      <c r="C78" s="48" t="str">
        <f>IFERROR(__xludf.DUMMYFUNCTION("""COMPUTED_VALUE"""),"Conexão activador giratório mangueira-tomada Ø 32")</f>
        <v>Conexão activador giratório mangueira-tomada Ø 32</v>
      </c>
      <c r="D78" s="61" t="str">
        <f>IFERROR(__xludf.DUMMYFUNCTION("IMPORTRANGE(""https://docs.google.com/spreadsheets/d/17pV1h3QXEhKsouzqT-wmZrwWCzREFYcQVORu3OKO97k/edit?gid=250502500#gid=250502500"",""PRODUTOS!F2"")"),"AERTECNICA")</f>
        <v>AERTECNICA</v>
      </c>
      <c r="E78" s="50">
        <v>0.0</v>
      </c>
      <c r="F78" s="51">
        <v>0.0</v>
      </c>
      <c r="G78" s="51">
        <v>0.0</v>
      </c>
      <c r="H78" s="52">
        <f>IFERROR(__xludf.DUMMYFUNCTION("""COMPUTED_VALUE"""),148.33)</f>
        <v>148.33</v>
      </c>
      <c r="I78" s="53">
        <f t="shared" si="1"/>
        <v>0</v>
      </c>
      <c r="J78" s="12"/>
      <c r="K78" s="1"/>
      <c r="L78" s="1"/>
      <c r="M78" s="1"/>
      <c r="N78" s="1"/>
      <c r="O78" s="1"/>
      <c r="P78" s="1"/>
      <c r="Q78" s="1"/>
      <c r="R78" s="1"/>
      <c r="S78" s="1"/>
      <c r="T78" s="1"/>
      <c r="U78" s="1"/>
      <c r="V78" s="1"/>
      <c r="W78" s="1"/>
      <c r="X78" s="1"/>
      <c r="Y78" s="1"/>
      <c r="Z78" s="1"/>
    </row>
    <row r="79">
      <c r="A79" s="1"/>
      <c r="B79" s="1"/>
      <c r="C79" s="54" t="str">
        <f>IFERROR(__xludf.DUMMYFUNCTION("""COMPUTED_VALUE"""),"Conexão curva de plástico com regulador de pressão, Ø 32")</f>
        <v>Conexão curva de plástico com regulador de pressão, Ø 32</v>
      </c>
      <c r="D79" s="64" t="str">
        <f>IFERROR(__xludf.DUMMYFUNCTION("IMPORTRANGE(""https://docs.google.com/spreadsheets/d/17pV1h3QXEhKsouzqT-wmZrwWCzREFYcQVORu3OKO97k/edit?gid=250502500#gid=250502500"",""PRODUTOS!F2"")"),"AERTECNICA")</f>
        <v>AERTECNICA</v>
      </c>
      <c r="E79" s="56">
        <v>0.0</v>
      </c>
      <c r="F79" s="57">
        <v>0.0</v>
      </c>
      <c r="G79" s="57">
        <v>0.0</v>
      </c>
      <c r="H79" s="58">
        <f>IFERROR(__xludf.DUMMYFUNCTION("""COMPUTED_VALUE"""),175.0)</f>
        <v>175</v>
      </c>
      <c r="I79" s="59">
        <f t="shared" si="1"/>
        <v>0</v>
      </c>
      <c r="J79" s="12"/>
      <c r="K79" s="1"/>
      <c r="L79" s="1"/>
      <c r="M79" s="1"/>
      <c r="N79" s="1"/>
      <c r="O79" s="1"/>
      <c r="P79" s="1"/>
      <c r="Q79" s="1"/>
      <c r="R79" s="1"/>
      <c r="S79" s="1"/>
      <c r="T79" s="1"/>
      <c r="U79" s="1"/>
      <c r="V79" s="1"/>
      <c r="W79" s="1"/>
      <c r="X79" s="1"/>
      <c r="Y79" s="1"/>
      <c r="Z79" s="1"/>
    </row>
    <row r="80">
      <c r="A80" s="1"/>
      <c r="B80" s="1"/>
      <c r="C80" s="48" t="str">
        <f>IFERROR(__xludf.DUMMYFUNCTION("""COMPUTED_VALUE"""),"Conexão para aplicar as escovas para animais directamente na mangueira Ø 32")</f>
        <v>Conexão para aplicar as escovas para animais directamente na mangueira Ø 32</v>
      </c>
      <c r="D80" s="61" t="str">
        <f>IFERROR(__xludf.DUMMYFUNCTION("IMPORTRANGE(""https://docs.google.com/spreadsheets/d/17pV1h3QXEhKsouzqT-wmZrwWCzREFYcQVORu3OKO97k/edit?gid=250502500#gid=250502500"",""PRODUTOS!F2"")"),"AERTECNICA")</f>
        <v>AERTECNICA</v>
      </c>
      <c r="E80" s="50">
        <v>0.0</v>
      </c>
      <c r="F80" s="51">
        <v>0.0</v>
      </c>
      <c r="G80" s="51">
        <v>0.0</v>
      </c>
      <c r="H80" s="52">
        <f>IFERROR(__xludf.DUMMYFUNCTION("""COMPUTED_VALUE"""),314.33)</f>
        <v>314.33</v>
      </c>
      <c r="I80" s="53">
        <f t="shared" si="1"/>
        <v>0</v>
      </c>
      <c r="J80" s="12"/>
      <c r="K80" s="1"/>
      <c r="L80" s="1"/>
      <c r="M80" s="1"/>
      <c r="N80" s="1"/>
      <c r="O80" s="1"/>
      <c r="P80" s="1"/>
      <c r="Q80" s="1"/>
      <c r="R80" s="1"/>
      <c r="S80" s="1"/>
      <c r="T80" s="1"/>
      <c r="U80" s="1"/>
      <c r="V80" s="1"/>
      <c r="W80" s="1"/>
      <c r="X80" s="1"/>
      <c r="Y80" s="1"/>
      <c r="Z80" s="1"/>
    </row>
    <row r="81">
      <c r="A81" s="1"/>
      <c r="B81" s="1"/>
      <c r="C81" s="54" t="str">
        <f>IFERROR(__xludf.DUMMYFUNCTION("""COMPUTED_VALUE"""),"CONEXÃO PARA EXAUTÃO DO AR EM PVC")</f>
        <v>CONEXÃO PARA EXAUTÃO DO AR EM PVC</v>
      </c>
      <c r="D81" s="64" t="str">
        <f>IFERROR(__xludf.DUMMYFUNCTION("IMPORTRANGE(""https://docs.google.com/spreadsheets/d/17pV1h3QXEhKsouzqT-wmZrwWCzREFYcQVORu3OKO97k/edit?gid=250502500#gid=250502500"",""PRODUTOS!F2"")"),"AERTECNICA")</f>
        <v>AERTECNICA</v>
      </c>
      <c r="E81" s="56">
        <v>0.0</v>
      </c>
      <c r="F81" s="57">
        <v>0.0</v>
      </c>
      <c r="G81" s="57">
        <v>0.0</v>
      </c>
      <c r="H81" s="58">
        <f>IFERROR(__xludf.DUMMYFUNCTION("""COMPUTED_VALUE"""),13.36)</f>
        <v>13.36</v>
      </c>
      <c r="I81" s="59">
        <f t="shared" si="1"/>
        <v>0</v>
      </c>
      <c r="J81" s="12"/>
      <c r="K81" s="1"/>
      <c r="L81" s="1"/>
      <c r="M81" s="1"/>
      <c r="N81" s="1"/>
      <c r="O81" s="1"/>
      <c r="P81" s="1"/>
      <c r="Q81" s="1"/>
      <c r="R81" s="1"/>
      <c r="S81" s="1"/>
      <c r="T81" s="1"/>
      <c r="U81" s="1"/>
      <c r="V81" s="1"/>
      <c r="W81" s="1"/>
      <c r="X81" s="1"/>
      <c r="Y81" s="1"/>
      <c r="Z81" s="1"/>
    </row>
    <row r="82">
      <c r="A82" s="1"/>
      <c r="B82" s="1"/>
      <c r="C82" s="48" t="str">
        <f>IFERROR(__xludf.DUMMYFUNCTION("""COMPUTED_VALUE"""),"Conjunto de pré-instalação 1 Ponto de tomada PRATICO com 2"" para gesso cartonado")</f>
        <v>Conjunto de pré-instalação 1 Ponto de tomada PRATICO com 2" para gesso cartonado</v>
      </c>
      <c r="D82" s="61" t="str">
        <f>IFERROR(__xludf.DUMMYFUNCTION("IMPORTRANGE(""https://docs.google.com/spreadsheets/d/17pV1h3QXEhKsouzqT-wmZrwWCzREFYcQVORu3OKO97k/edit?gid=250502500#gid=250502500"",""PRODUTOS!F2"")"),"AERTECNICA")</f>
        <v>AERTECNICA</v>
      </c>
      <c r="E82" s="50">
        <v>0.0</v>
      </c>
      <c r="F82" s="51">
        <v>0.0</v>
      </c>
      <c r="G82" s="51">
        <v>0.0</v>
      </c>
      <c r="H82" s="52">
        <f>IFERROR(__xludf.DUMMYFUNCTION("""COMPUTED_VALUE"""),1933.33)</f>
        <v>1933.33</v>
      </c>
      <c r="I82" s="53">
        <f t="shared" si="1"/>
        <v>0</v>
      </c>
      <c r="J82" s="12"/>
      <c r="K82" s="1"/>
      <c r="L82" s="1"/>
      <c r="M82" s="1"/>
      <c r="N82" s="1"/>
      <c r="O82" s="1"/>
      <c r="P82" s="1"/>
      <c r="Q82" s="1"/>
      <c r="R82" s="1"/>
      <c r="S82" s="1"/>
      <c r="T82" s="1"/>
      <c r="U82" s="1"/>
      <c r="V82" s="1"/>
      <c r="W82" s="1"/>
      <c r="X82" s="1"/>
      <c r="Y82" s="1"/>
      <c r="Z82" s="1"/>
    </row>
    <row r="83">
      <c r="A83" s="1"/>
      <c r="B83" s="1"/>
      <c r="C83" s="54" t="str">
        <f>IFERROR(__xludf.DUMMYFUNCTION("""COMPUTED_VALUE"""),"Conjunto de pré-instalação 1 Ponto de tomada PRATICO com 2"" para parede de alvenaria")</f>
        <v>Conjunto de pré-instalação 1 Ponto de tomada PRATICO com 2" para parede de alvenaria</v>
      </c>
      <c r="D83" s="64" t="str">
        <f>IFERROR(__xludf.DUMMYFUNCTION("IMPORTRANGE(""https://docs.google.com/spreadsheets/d/17pV1h3QXEhKsouzqT-wmZrwWCzREFYcQVORu3OKO97k/edit?gid=250502500#gid=250502500"",""PRODUTOS!F2"")"),"AERTECNICA")</f>
        <v>AERTECNICA</v>
      </c>
      <c r="E83" s="56">
        <v>0.0</v>
      </c>
      <c r="F83" s="57">
        <v>0.0</v>
      </c>
      <c r="G83" s="57">
        <v>0.0</v>
      </c>
      <c r="H83" s="58">
        <f>IFERROR(__xludf.DUMMYFUNCTION("""COMPUTED_VALUE"""),3081.82)</f>
        <v>3081.82</v>
      </c>
      <c r="I83" s="59">
        <f t="shared" si="1"/>
        <v>0</v>
      </c>
      <c r="J83" s="12"/>
      <c r="K83" s="1"/>
      <c r="L83" s="1"/>
      <c r="M83" s="1"/>
      <c r="N83" s="1"/>
      <c r="O83" s="1"/>
      <c r="P83" s="1"/>
      <c r="Q83" s="1"/>
      <c r="R83" s="1"/>
      <c r="S83" s="1"/>
      <c r="T83" s="1"/>
      <c r="U83" s="1"/>
      <c r="V83" s="1"/>
      <c r="W83" s="1"/>
      <c r="X83" s="1"/>
      <c r="Y83" s="1"/>
      <c r="Z83" s="1"/>
    </row>
    <row r="84">
      <c r="A84" s="1"/>
      <c r="B84" s="1"/>
      <c r="C84" s="48" t="str">
        <f>IFERROR(__xludf.DUMMYFUNCTION("""COMPUTED_VALUE"""),"Curva  tomada Vac  Pan")</f>
        <v>Curva  tomada Vac  Pan</v>
      </c>
      <c r="D84" s="61" t="str">
        <f>IFERROR(__xludf.DUMMYFUNCTION("IMPORTRANGE(""https://docs.google.com/spreadsheets/d/17pV1h3QXEhKsouzqT-wmZrwWCzREFYcQVORu3OKO97k/edit?gid=250502500#gid=250502500"",""PRODUTOS!F2"")"),"AERTECNICA")</f>
        <v>AERTECNICA</v>
      </c>
      <c r="E84" s="50">
        <v>0.0</v>
      </c>
      <c r="F84" s="51">
        <v>0.0</v>
      </c>
      <c r="G84" s="51">
        <v>0.0</v>
      </c>
      <c r="H84" s="52">
        <f>IFERROR(__xludf.DUMMYFUNCTION("""COMPUTED_VALUE"""),34.61)</f>
        <v>34.61</v>
      </c>
      <c r="I84" s="53">
        <f t="shared" si="1"/>
        <v>0</v>
      </c>
      <c r="J84" s="12"/>
      <c r="K84" s="1"/>
      <c r="L84" s="1"/>
      <c r="M84" s="1"/>
      <c r="N84" s="1"/>
      <c r="O84" s="1"/>
      <c r="P84" s="1"/>
      <c r="Q84" s="1"/>
      <c r="R84" s="1"/>
      <c r="S84" s="1"/>
      <c r="T84" s="1"/>
      <c r="U84" s="1"/>
      <c r="V84" s="1"/>
      <c r="W84" s="1"/>
      <c r="X84" s="1"/>
      <c r="Y84" s="1"/>
      <c r="Z84" s="1"/>
    </row>
    <row r="85">
      <c r="A85" s="1"/>
      <c r="B85" s="1"/>
      <c r="C85" s="54" t="str">
        <f>IFERROR(__xludf.DUMMYFUNCTION("""COMPUTED_VALUE"""),"Curva Longa PVC 90o  FF - 50 mm")</f>
        <v>Curva Longa PVC 90o  FF - 50 mm</v>
      </c>
      <c r="D85" s="64" t="str">
        <f>IFERROR(__xludf.DUMMYFUNCTION("IMPORTRANGE(""https://docs.google.com/spreadsheets/d/17pV1h3QXEhKsouzqT-wmZrwWCzREFYcQVORu3OKO97k/edit?gid=250502500#gid=250502500"",""PRODUTOS!F2"")"),"AERTECNICA")</f>
        <v>AERTECNICA</v>
      </c>
      <c r="E85" s="56">
        <v>0.0</v>
      </c>
      <c r="F85" s="57">
        <v>0.0</v>
      </c>
      <c r="G85" s="57">
        <v>0.0</v>
      </c>
      <c r="H85" s="58">
        <f>IFERROR(__xludf.DUMMYFUNCTION("""COMPUTED_VALUE"""),8.45)</f>
        <v>8.45</v>
      </c>
      <c r="I85" s="59">
        <f t="shared" si="1"/>
        <v>0</v>
      </c>
      <c r="J85" s="12"/>
      <c r="K85" s="1"/>
      <c r="L85" s="1"/>
      <c r="M85" s="1"/>
      <c r="N85" s="1"/>
      <c r="O85" s="1"/>
      <c r="P85" s="1"/>
      <c r="Q85" s="1"/>
      <c r="R85" s="1"/>
      <c r="S85" s="1"/>
      <c r="T85" s="1"/>
      <c r="U85" s="1"/>
      <c r="V85" s="1"/>
      <c r="W85" s="1"/>
      <c r="X85" s="1"/>
      <c r="Y85" s="1"/>
      <c r="Z85" s="1"/>
    </row>
    <row r="86">
      <c r="A86" s="1"/>
      <c r="B86" s="1"/>
      <c r="C86" s="48" t="str">
        <f>IFERROR(__xludf.DUMMYFUNCTION("""COMPUTED_VALUE"""),"Curva Longa PVC 90o FF - 50 mm - Caixa com 80 peças")</f>
        <v>Curva Longa PVC 90o FF - 50 mm - Caixa com 80 peças</v>
      </c>
      <c r="D86" s="61" t="str">
        <f>IFERROR(__xludf.DUMMYFUNCTION("IMPORTRANGE(""https://docs.google.com/spreadsheets/d/17pV1h3QXEhKsouzqT-wmZrwWCzREFYcQVORu3OKO97k/edit?gid=250502500#gid=250502500"",""PRODUTOS!F2"")"),"AERTECNICA")</f>
        <v>AERTECNICA</v>
      </c>
      <c r="E86" s="50">
        <v>0.0</v>
      </c>
      <c r="F86" s="51">
        <v>0.0</v>
      </c>
      <c r="G86" s="51">
        <v>0.0</v>
      </c>
      <c r="H86" s="52">
        <f>IFERROR(__xludf.DUMMYFUNCTION("""COMPUTED_VALUE"""),579.26)</f>
        <v>579.26</v>
      </c>
      <c r="I86" s="53">
        <f t="shared" si="1"/>
        <v>0</v>
      </c>
      <c r="J86" s="12"/>
      <c r="K86" s="1"/>
      <c r="L86" s="1"/>
      <c r="M86" s="1"/>
      <c r="N86" s="1"/>
      <c r="O86" s="1"/>
      <c r="P86" s="1"/>
      <c r="Q86" s="1"/>
      <c r="R86" s="1"/>
      <c r="S86" s="1"/>
      <c r="T86" s="1"/>
      <c r="U86" s="1"/>
      <c r="V86" s="1"/>
      <c r="W86" s="1"/>
      <c r="X86" s="1"/>
      <c r="Y86" s="1"/>
      <c r="Z86" s="1"/>
    </row>
    <row r="87">
      <c r="A87" s="1"/>
      <c r="B87" s="1"/>
      <c r="C87" s="54" t="str">
        <f>IFERROR(__xludf.DUMMYFUNCTION("""COMPUTED_VALUE"""),"Curva PVC Ø 50 a 45° FF")</f>
        <v>Curva PVC Ø 50 a 45° FF</v>
      </c>
      <c r="D87" s="64" t="str">
        <f>IFERROR(__xludf.DUMMYFUNCTION("IMPORTRANGE(""https://docs.google.com/spreadsheets/d/17pV1h3QXEhKsouzqT-wmZrwWCzREFYcQVORu3OKO97k/edit?gid=250502500#gid=250502500"",""PRODUTOS!F2"")"),"AERTECNICA")</f>
        <v>AERTECNICA</v>
      </c>
      <c r="E87" s="56">
        <v>0.0</v>
      </c>
      <c r="F87" s="57">
        <v>0.0</v>
      </c>
      <c r="G87" s="57">
        <v>0.0</v>
      </c>
      <c r="H87" s="58">
        <f>IFERROR(__xludf.DUMMYFUNCTION("""COMPUTED_VALUE"""),6.88)</f>
        <v>6.88</v>
      </c>
      <c r="I87" s="59">
        <f t="shared" si="1"/>
        <v>0</v>
      </c>
      <c r="J87" s="12"/>
      <c r="K87" s="1"/>
      <c r="L87" s="1"/>
      <c r="M87" s="1"/>
      <c r="N87" s="1"/>
      <c r="O87" s="1"/>
      <c r="P87" s="1"/>
      <c r="Q87" s="1"/>
      <c r="R87" s="1"/>
      <c r="S87" s="1"/>
      <c r="T87" s="1"/>
      <c r="U87" s="1"/>
      <c r="V87" s="1"/>
      <c r="W87" s="1"/>
      <c r="X87" s="1"/>
      <c r="Y87" s="1"/>
      <c r="Z87" s="1"/>
    </row>
    <row r="88">
      <c r="A88" s="1"/>
      <c r="B88" s="1"/>
      <c r="C88" s="48" t="str">
        <f>IFERROR(__xludf.DUMMYFUNCTION("""COMPUTED_VALUE"""),"Curva PVC Ø 50 a 45° FF  - Caixa com 92 peças")</f>
        <v>Curva PVC Ø 50 a 45° FF  - Caixa com 92 peças</v>
      </c>
      <c r="D88" s="61" t="str">
        <f>IFERROR(__xludf.DUMMYFUNCTION("IMPORTRANGE(""https://docs.google.com/spreadsheets/d/17pV1h3QXEhKsouzqT-wmZrwWCzREFYcQVORu3OKO97k/edit?gid=250502500#gid=250502500"",""PRODUTOS!F2"")"),"AERTECNICA")</f>
        <v>AERTECNICA</v>
      </c>
      <c r="E88" s="50">
        <v>0.0</v>
      </c>
      <c r="F88" s="51">
        <v>0.0</v>
      </c>
      <c r="G88" s="51">
        <v>0.0</v>
      </c>
      <c r="H88" s="52">
        <f>IFERROR(__xludf.DUMMYFUNCTION("""COMPUTED_VALUE"""),537.5)</f>
        <v>537.5</v>
      </c>
      <c r="I88" s="53">
        <f t="shared" si="1"/>
        <v>0</v>
      </c>
      <c r="J88" s="12"/>
      <c r="K88" s="1"/>
      <c r="L88" s="1"/>
      <c r="M88" s="1"/>
      <c r="N88" s="1"/>
      <c r="O88" s="1"/>
      <c r="P88" s="1"/>
      <c r="Q88" s="1"/>
      <c r="R88" s="1"/>
      <c r="S88" s="1"/>
      <c r="T88" s="1"/>
      <c r="U88" s="1"/>
      <c r="V88" s="1"/>
      <c r="W88" s="1"/>
      <c r="X88" s="1"/>
      <c r="Y88" s="1"/>
      <c r="Z88" s="1"/>
    </row>
    <row r="89">
      <c r="A89" s="1"/>
      <c r="B89" s="1"/>
      <c r="C89" s="54" t="str">
        <f>IFERROR(__xludf.DUMMYFUNCTION("""COMPUTED_VALUE"""),"Derivação PVC 45o FF - 50 mm")</f>
        <v>Derivação PVC 45o FF - 50 mm</v>
      </c>
      <c r="D89" s="64" t="str">
        <f>IFERROR(__xludf.DUMMYFUNCTION("IMPORTRANGE(""https://docs.google.com/spreadsheets/d/17pV1h3QXEhKsouzqT-wmZrwWCzREFYcQVORu3OKO97k/edit?gid=250502500#gid=250502500"",""PRODUTOS!F2"")"),"AERTECNICA")</f>
        <v>AERTECNICA</v>
      </c>
      <c r="E89" s="56">
        <v>0.0</v>
      </c>
      <c r="F89" s="57">
        <v>0.0</v>
      </c>
      <c r="G89" s="57">
        <v>0.0</v>
      </c>
      <c r="H89" s="58">
        <f>IFERROR(__xludf.DUMMYFUNCTION("""COMPUTED_VALUE"""),11.77)</f>
        <v>11.77</v>
      </c>
      <c r="I89" s="59">
        <f t="shared" si="1"/>
        <v>0</v>
      </c>
      <c r="J89" s="12"/>
      <c r="K89" s="1"/>
      <c r="L89" s="1"/>
      <c r="M89" s="1"/>
      <c r="N89" s="1"/>
      <c r="O89" s="1"/>
      <c r="P89" s="1"/>
      <c r="Q89" s="1"/>
      <c r="R89" s="1"/>
      <c r="S89" s="1"/>
      <c r="T89" s="1"/>
      <c r="U89" s="1"/>
      <c r="V89" s="1"/>
      <c r="W89" s="1"/>
      <c r="X89" s="1"/>
      <c r="Y89" s="1"/>
      <c r="Z89" s="1"/>
    </row>
    <row r="90">
      <c r="A90" s="1"/>
      <c r="B90" s="1"/>
      <c r="C90" s="48" t="str">
        <f>IFERROR(__xludf.DUMMYFUNCTION("""COMPUTED_VALUE"""),"Derivação PVC 45o FF - 50 mm - Caixa com 74 peças")</f>
        <v>Derivação PVC 45o FF - 50 mm - Caixa com 74 peças</v>
      </c>
      <c r="D90" s="61" t="str">
        <f>IFERROR(__xludf.DUMMYFUNCTION("IMPORTRANGE(""https://docs.google.com/spreadsheets/d/17pV1h3QXEhKsouzqT-wmZrwWCzREFYcQVORu3OKO97k/edit?gid=250502500#gid=250502500"",""PRODUTOS!F2"")"),"AERTECNICA")</f>
        <v>AERTECNICA</v>
      </c>
      <c r="E90" s="50">
        <v>0.0</v>
      </c>
      <c r="F90" s="51">
        <v>0.0</v>
      </c>
      <c r="G90" s="51">
        <v>0.0</v>
      </c>
      <c r="H90" s="52">
        <f>IFERROR(__xludf.DUMMYFUNCTION("""COMPUTED_VALUE"""),781.35)</f>
        <v>781.35</v>
      </c>
      <c r="I90" s="53">
        <f t="shared" si="1"/>
        <v>0</v>
      </c>
      <c r="J90" s="12"/>
      <c r="K90" s="1"/>
      <c r="L90" s="1"/>
      <c r="M90" s="1"/>
      <c r="N90" s="1"/>
      <c r="O90" s="1"/>
      <c r="P90" s="1"/>
      <c r="Q90" s="1"/>
      <c r="R90" s="1"/>
      <c r="S90" s="1"/>
      <c r="T90" s="1"/>
      <c r="U90" s="1"/>
      <c r="V90" s="1"/>
      <c r="W90" s="1"/>
      <c r="X90" s="1"/>
      <c r="Y90" s="1"/>
      <c r="Z90" s="1"/>
    </row>
    <row r="91">
      <c r="A91" s="1"/>
      <c r="B91" s="1"/>
      <c r="C91" s="54" t="str">
        <f>IFERROR(__xludf.DUMMYFUNCTION("""COMPUTED_VALUE"""),"Derivação PVC 90o FF - 50 mm")</f>
        <v>Derivação PVC 90o FF - 50 mm</v>
      </c>
      <c r="D91" s="64" t="str">
        <f>IFERROR(__xludf.DUMMYFUNCTION("IMPORTRANGE(""https://docs.google.com/spreadsheets/d/17pV1h3QXEhKsouzqT-wmZrwWCzREFYcQVORu3OKO97k/edit?gid=250502500#gid=250502500"",""PRODUTOS!F2"")"),"AERTECNICA")</f>
        <v>AERTECNICA</v>
      </c>
      <c r="E91" s="56">
        <v>0.0</v>
      </c>
      <c r="F91" s="57">
        <v>0.0</v>
      </c>
      <c r="G91" s="57">
        <v>0.0</v>
      </c>
      <c r="H91" s="58">
        <f>IFERROR(__xludf.DUMMYFUNCTION("""COMPUTED_VALUE"""),11.11)</f>
        <v>11.11</v>
      </c>
      <c r="I91" s="59">
        <f t="shared" si="1"/>
        <v>0</v>
      </c>
      <c r="J91" s="12"/>
      <c r="K91" s="1"/>
      <c r="L91" s="1"/>
      <c r="M91" s="1"/>
      <c r="N91" s="1"/>
      <c r="O91" s="1"/>
      <c r="P91" s="1"/>
      <c r="Q91" s="1"/>
      <c r="R91" s="1"/>
      <c r="S91" s="1"/>
      <c r="T91" s="1"/>
      <c r="U91" s="1"/>
      <c r="V91" s="1"/>
      <c r="W91" s="1"/>
      <c r="X91" s="1"/>
      <c r="Y91" s="1"/>
      <c r="Z91" s="1"/>
    </row>
    <row r="92">
      <c r="A92" s="1"/>
      <c r="B92" s="1"/>
      <c r="C92" s="48" t="str">
        <f>IFERROR(__xludf.DUMMYFUNCTION("""COMPUTED_VALUE"""),"Derivação PVC 90o FF - 50 mm - Caixa com 60 peças")</f>
        <v>Derivação PVC 90o FF - 50 mm - Caixa com 60 peças</v>
      </c>
      <c r="D92" s="61" t="str">
        <f>IFERROR(__xludf.DUMMYFUNCTION("IMPORTRANGE(""https://docs.google.com/spreadsheets/d/17pV1h3QXEhKsouzqT-wmZrwWCzREFYcQVORu3OKO97k/edit?gid=250502500#gid=250502500"",""PRODUTOS!F2"")"),"AERTECNICA")</f>
        <v>AERTECNICA</v>
      </c>
      <c r="E92" s="50">
        <v>0.0</v>
      </c>
      <c r="F92" s="51">
        <v>0.0</v>
      </c>
      <c r="G92" s="51">
        <v>0.0</v>
      </c>
      <c r="H92" s="52">
        <f>IFERROR(__xludf.DUMMYFUNCTION("""COMPUTED_VALUE"""),566.7)</f>
        <v>566.7</v>
      </c>
      <c r="I92" s="53">
        <f t="shared" si="1"/>
        <v>0</v>
      </c>
      <c r="J92" s="12"/>
      <c r="K92" s="1"/>
      <c r="L92" s="1"/>
      <c r="M92" s="1"/>
      <c r="N92" s="1"/>
      <c r="O92" s="1"/>
      <c r="P92" s="1"/>
      <c r="Q92" s="1"/>
      <c r="R92" s="1"/>
      <c r="S92" s="1"/>
      <c r="T92" s="1"/>
      <c r="U92" s="1"/>
      <c r="V92" s="1"/>
      <c r="W92" s="1"/>
      <c r="X92" s="1"/>
      <c r="Y92" s="1"/>
      <c r="Z92" s="1"/>
    </row>
    <row r="93">
      <c r="A93" s="1"/>
      <c r="B93" s="1"/>
      <c r="C93" s="54" t="str">
        <f>IFERROR(__xludf.DUMMYFUNCTION("""COMPUTED_VALUE"""),"Escova articulada d.32 “flexible curves” 30 cm, de uso duplo aspira e dá lustro")</f>
        <v>Escova articulada d.32 “flexible curves” 30 cm, de uso duplo aspira e dá lustro</v>
      </c>
      <c r="D93" s="64" t="str">
        <f>IFERROR(__xludf.DUMMYFUNCTION("IMPORTRANGE(""https://docs.google.com/spreadsheets/d/17pV1h3QXEhKsouzqT-wmZrwWCzREFYcQVORu3OKO97k/edit?gid=250502500#gid=250502500"",""PRODUTOS!F2"")"),"AERTECNICA")</f>
        <v>AERTECNICA</v>
      </c>
      <c r="E93" s="56">
        <v>0.0</v>
      </c>
      <c r="F93" s="57">
        <v>0.0</v>
      </c>
      <c r="G93" s="57">
        <v>0.0</v>
      </c>
      <c r="H93" s="58">
        <f>IFERROR(__xludf.DUMMYFUNCTION("""COMPUTED_VALUE"""),295.41)</f>
        <v>295.41</v>
      </c>
      <c r="I93" s="59">
        <f t="shared" si="1"/>
        <v>0</v>
      </c>
      <c r="J93" s="12"/>
      <c r="K93" s="1"/>
      <c r="L93" s="1"/>
      <c r="M93" s="1"/>
      <c r="N93" s="1"/>
      <c r="O93" s="1"/>
      <c r="P93" s="1"/>
      <c r="Q93" s="1"/>
      <c r="R93" s="1"/>
      <c r="S93" s="1"/>
      <c r="T93" s="1"/>
      <c r="U93" s="1"/>
      <c r="V93" s="1"/>
      <c r="W93" s="1"/>
      <c r="X93" s="1"/>
      <c r="Y93" s="1"/>
      <c r="Z93" s="1"/>
    </row>
    <row r="94">
      <c r="A94" s="1"/>
      <c r="B94" s="1"/>
      <c r="C94" s="48" t="str">
        <f>IFERROR(__xludf.DUMMYFUNCTION("""COMPUTED_VALUE"""),"Escova com cerdas para animais, Ø32, KA")</f>
        <v>Escova com cerdas para animais, Ø32, KA</v>
      </c>
      <c r="D94" s="61" t="str">
        <f>IFERROR(__xludf.DUMMYFUNCTION("IMPORTRANGE(""https://docs.google.com/spreadsheets/d/17pV1h3QXEhKsouzqT-wmZrwWCzREFYcQVORu3OKO97k/edit?gid=250502500#gid=250502500"",""PRODUTOS!F2"")"),"AERTECNICA")</f>
        <v>AERTECNICA</v>
      </c>
      <c r="E94" s="50">
        <v>0.0</v>
      </c>
      <c r="F94" s="51">
        <v>0.0</v>
      </c>
      <c r="G94" s="51">
        <v>0.0</v>
      </c>
      <c r="H94" s="52">
        <f>IFERROR(__xludf.DUMMYFUNCTION("""COMPUTED_VALUE"""),411.36)</f>
        <v>411.36</v>
      </c>
      <c r="I94" s="53">
        <f t="shared" si="1"/>
        <v>0</v>
      </c>
      <c r="J94" s="12"/>
      <c r="K94" s="1"/>
      <c r="L94" s="1"/>
      <c r="M94" s="1"/>
      <c r="N94" s="1"/>
      <c r="O94" s="1"/>
      <c r="P94" s="1"/>
      <c r="Q94" s="1"/>
      <c r="R94" s="1"/>
      <c r="S94" s="1"/>
      <c r="T94" s="1"/>
      <c r="U94" s="1"/>
      <c r="V94" s="1"/>
      <c r="W94" s="1"/>
      <c r="X94" s="1"/>
      <c r="Y94" s="1"/>
      <c r="Z94" s="1"/>
    </row>
    <row r="95">
      <c r="A95" s="1"/>
      <c r="B95" s="1"/>
      <c r="C95" s="54" t="str">
        <f>IFERROR(__xludf.DUMMYFUNCTION("""COMPUTED_VALUE"""),"Escova Ø 32 para pavimento de madeira 30 cm, com cerdas em crina natural e rodas de feltro")</f>
        <v>Escova Ø 32 para pavimento de madeira 30 cm, com cerdas em crina natural e rodas de feltro</v>
      </c>
      <c r="D95" s="64" t="str">
        <f>IFERROR(__xludf.DUMMYFUNCTION("IMPORTRANGE(""https://docs.google.com/spreadsheets/d/17pV1h3QXEhKsouzqT-wmZrwWCzREFYcQVORu3OKO97k/edit?gid=250502500#gid=250502500"",""PRODUTOS!F2"")"),"AERTECNICA")</f>
        <v>AERTECNICA</v>
      </c>
      <c r="E95" s="56">
        <v>0.0</v>
      </c>
      <c r="F95" s="57">
        <v>0.0</v>
      </c>
      <c r="G95" s="57">
        <v>0.0</v>
      </c>
      <c r="H95" s="58">
        <f>IFERROR(__xludf.DUMMYFUNCTION("""COMPUTED_VALUE"""),258.67)</f>
        <v>258.67</v>
      </c>
      <c r="I95" s="59">
        <f t="shared" si="1"/>
        <v>0</v>
      </c>
      <c r="J95" s="12"/>
      <c r="K95" s="1"/>
      <c r="L95" s="1"/>
      <c r="M95" s="1"/>
      <c r="N95" s="1"/>
      <c r="O95" s="1"/>
      <c r="P95" s="1"/>
      <c r="Q95" s="1"/>
      <c r="R95" s="1"/>
      <c r="S95" s="1"/>
      <c r="T95" s="1"/>
      <c r="U95" s="1"/>
      <c r="V95" s="1"/>
      <c r="W95" s="1"/>
      <c r="X95" s="1"/>
      <c r="Y95" s="1"/>
      <c r="Z95" s="1"/>
    </row>
    <row r="96">
      <c r="A96" s="1"/>
      <c r="B96" s="1"/>
      <c r="C96" s="48" t="str">
        <f>IFERROR(__xludf.DUMMYFUNCTION("""COMPUTED_VALUE"""),"Escova para pavimento-tapete com rodas, Ø32")</f>
        <v>Escova para pavimento-tapete com rodas, Ø32</v>
      </c>
      <c r="D96" s="61" t="str">
        <f>IFERROR(__xludf.DUMMYFUNCTION("IMPORTRANGE(""https://docs.google.com/spreadsheets/d/17pV1h3QXEhKsouzqT-wmZrwWCzREFYcQVORu3OKO97k/edit?gid=250502500#gid=250502500"",""PRODUTOS!F2"")"),"AERTECNICA")</f>
        <v>AERTECNICA</v>
      </c>
      <c r="E96" s="50">
        <v>0.0</v>
      </c>
      <c r="F96" s="51">
        <v>0.0</v>
      </c>
      <c r="G96" s="51">
        <v>0.0</v>
      </c>
      <c r="H96" s="52">
        <f>IFERROR(__xludf.DUMMYFUNCTION("""COMPUTED_VALUE"""),266.67)</f>
        <v>266.67</v>
      </c>
      <c r="I96" s="53">
        <f t="shared" si="1"/>
        <v>0</v>
      </c>
      <c r="J96" s="12"/>
      <c r="K96" s="1"/>
      <c r="L96" s="1"/>
      <c r="M96" s="1"/>
      <c r="N96" s="1"/>
      <c r="O96" s="1"/>
      <c r="P96" s="1"/>
      <c r="Q96" s="1"/>
      <c r="R96" s="1"/>
      <c r="S96" s="1"/>
      <c r="T96" s="1"/>
      <c r="U96" s="1"/>
      <c r="V96" s="1"/>
      <c r="W96" s="1"/>
      <c r="X96" s="1"/>
      <c r="Y96" s="1"/>
      <c r="Z96" s="1"/>
    </row>
    <row r="97">
      <c r="A97" s="1"/>
      <c r="B97" s="1"/>
      <c r="C97" s="54" t="str">
        <f>IFERROR(__xludf.DUMMYFUNCTION("""COMPUTED_VALUE"""),"Escova turbo bate tapeçaria, Ø32")</f>
        <v>Escova turbo bate tapeçaria, Ø32</v>
      </c>
      <c r="D97" s="64" t="str">
        <f>IFERROR(__xludf.DUMMYFUNCTION("IMPORTRANGE(""https://docs.google.com/spreadsheets/d/17pV1h3QXEhKsouzqT-wmZrwWCzREFYcQVORu3OKO97k/edit?gid=250502500#gid=250502500"",""PRODUTOS!F2"")"),"AERTECNICA")</f>
        <v>AERTECNICA</v>
      </c>
      <c r="E97" s="56">
        <v>0.0</v>
      </c>
      <c r="F97" s="57">
        <v>0.0</v>
      </c>
      <c r="G97" s="57">
        <v>0.0</v>
      </c>
      <c r="H97" s="58">
        <f>IFERROR(__xludf.DUMMYFUNCTION("""COMPUTED_VALUE"""),411.36)</f>
        <v>411.36</v>
      </c>
      <c r="I97" s="59">
        <f t="shared" si="1"/>
        <v>0</v>
      </c>
      <c r="J97" s="12"/>
      <c r="K97" s="1"/>
      <c r="L97" s="1"/>
      <c r="M97" s="1"/>
      <c r="N97" s="1"/>
      <c r="O97" s="1"/>
      <c r="P97" s="1"/>
      <c r="Q97" s="1"/>
      <c r="R97" s="1"/>
      <c r="S97" s="1"/>
      <c r="T97" s="1"/>
      <c r="U97" s="1"/>
      <c r="V97" s="1"/>
      <c r="W97" s="1"/>
      <c r="X97" s="1"/>
      <c r="Y97" s="1"/>
      <c r="Z97" s="1"/>
    </row>
    <row r="98">
      <c r="A98" s="1"/>
      <c r="B98" s="1"/>
      <c r="C98" s="48" t="str">
        <f>IFERROR(__xludf.DUMMYFUNCTION("""COMPUTED_VALUE"""),"Escova turbo bate tapete-alcatifa com rodas, Ø32")</f>
        <v>Escova turbo bate tapete-alcatifa com rodas, Ø32</v>
      </c>
      <c r="D98" s="61" t="str">
        <f>IFERROR(__xludf.DUMMYFUNCTION("IMPORTRANGE(""https://docs.google.com/spreadsheets/d/17pV1h3QXEhKsouzqT-wmZrwWCzREFYcQVORu3OKO97k/edit?gid=250502500#gid=250502500"",""PRODUTOS!F2"")"),"AERTECNICA")</f>
        <v>AERTECNICA</v>
      </c>
      <c r="E98" s="50">
        <v>0.0</v>
      </c>
      <c r="F98" s="51">
        <v>0.0</v>
      </c>
      <c r="G98" s="51">
        <v>0.0</v>
      </c>
      <c r="H98" s="52">
        <f>IFERROR(__xludf.DUMMYFUNCTION("""COMPUTED_VALUE"""),641.82)</f>
        <v>641.82</v>
      </c>
      <c r="I98" s="53">
        <f t="shared" si="1"/>
        <v>0</v>
      </c>
      <c r="J98" s="12"/>
      <c r="K98" s="1"/>
      <c r="L98" s="1"/>
      <c r="M98" s="1"/>
      <c r="N98" s="1"/>
      <c r="O98" s="1"/>
      <c r="P98" s="1"/>
      <c r="Q98" s="1"/>
      <c r="R98" s="1"/>
      <c r="S98" s="1"/>
      <c r="T98" s="1"/>
      <c r="U98" s="1"/>
      <c r="V98" s="1"/>
      <c r="W98" s="1"/>
      <c r="X98" s="1"/>
      <c r="Y98" s="1"/>
      <c r="Z98" s="1"/>
    </row>
    <row r="99">
      <c r="A99" s="1"/>
      <c r="B99" s="1"/>
      <c r="C99" s="54" t="str">
        <f>IFERROR(__xludf.DUMMYFUNCTION("""COMPUTED_VALUE"""),"ESPAÇADOR TURBINA")</f>
        <v>ESPAÇADOR TURBINA</v>
      </c>
      <c r="D99" s="64" t="str">
        <f>IFERROR(__xludf.DUMMYFUNCTION("IMPORTRANGE(""https://docs.google.com/spreadsheets/d/17pV1h3QXEhKsouzqT-wmZrwWCzREFYcQVORu3OKO97k/edit?gid=250502500#gid=250502500"",""PRODUTOS!F2"")"),"AERTECNICA")</f>
        <v>AERTECNICA</v>
      </c>
      <c r="E99" s="56">
        <v>0.0</v>
      </c>
      <c r="F99" s="57">
        <v>0.0</v>
      </c>
      <c r="G99" s="57">
        <v>0.0</v>
      </c>
      <c r="H99" s="58">
        <f>IFERROR(__xludf.DUMMYFUNCTION("""COMPUTED_VALUE"""),13.3)</f>
        <v>13.3</v>
      </c>
      <c r="I99" s="59">
        <f t="shared" si="1"/>
        <v>0</v>
      </c>
      <c r="J99" s="12"/>
      <c r="K99" s="1"/>
      <c r="L99" s="1"/>
      <c r="M99" s="1"/>
      <c r="N99" s="1"/>
      <c r="O99" s="1"/>
      <c r="P99" s="1"/>
      <c r="Q99" s="1"/>
      <c r="R99" s="1"/>
      <c r="S99" s="1"/>
      <c r="T99" s="1"/>
      <c r="U99" s="1"/>
      <c r="V99" s="1"/>
      <c r="W99" s="1"/>
      <c r="X99" s="1"/>
      <c r="Y99" s="1"/>
      <c r="Z99" s="1"/>
    </row>
    <row r="100">
      <c r="A100" s="1"/>
      <c r="B100" s="1"/>
      <c r="C100" s="48" t="str">
        <f>IFERROR(__xludf.DUMMYFUNCTION("""COMPUTED_VALUE"""),"Extensão Modular para tomadas New Air - Unidade")</f>
        <v>Extensão Modular para tomadas New Air - Unidade</v>
      </c>
      <c r="D100" s="61" t="str">
        <f>IFERROR(__xludf.DUMMYFUNCTION("IMPORTRANGE(""https://docs.google.com/spreadsheets/d/17pV1h3QXEhKsouzqT-wmZrwWCzREFYcQVORu3OKO97k/edit?gid=250502500#gid=250502500"",""PRODUTOS!F2"")"),"AERTECNICA")</f>
        <v>AERTECNICA</v>
      </c>
      <c r="E100" s="50">
        <v>0.0</v>
      </c>
      <c r="F100" s="51">
        <v>0.0</v>
      </c>
      <c r="G100" s="51">
        <v>0.0</v>
      </c>
      <c r="H100" s="52">
        <f>IFERROR(__xludf.DUMMYFUNCTION("""COMPUTED_VALUE"""),77.83)</f>
        <v>77.83</v>
      </c>
      <c r="I100" s="53">
        <f t="shared" si="1"/>
        <v>0</v>
      </c>
      <c r="J100" s="12"/>
      <c r="K100" s="1"/>
      <c r="L100" s="1"/>
      <c r="M100" s="1"/>
      <c r="N100" s="1"/>
      <c r="O100" s="1"/>
      <c r="P100" s="1"/>
      <c r="Q100" s="1"/>
      <c r="R100" s="1"/>
      <c r="S100" s="1"/>
      <c r="T100" s="1"/>
      <c r="U100" s="1"/>
      <c r="V100" s="1"/>
      <c r="W100" s="1"/>
      <c r="X100" s="1"/>
      <c r="Y100" s="1"/>
      <c r="Z100" s="1"/>
    </row>
    <row r="101">
      <c r="A101" s="1"/>
      <c r="B101" s="1"/>
      <c r="C101" s="54" t="str">
        <f>IFERROR(__xludf.DUMMYFUNCTION("""COMPUTED_VALUE"""),"Extensão telescópica cromada Advanced Ø32")</f>
        <v>Extensão telescópica cromada Advanced Ø32</v>
      </c>
      <c r="D101" s="64" t="str">
        <f>IFERROR(__xludf.DUMMYFUNCTION("IMPORTRANGE(""https://docs.google.com/spreadsheets/d/17pV1h3QXEhKsouzqT-wmZrwWCzREFYcQVORu3OKO97k/edit?gid=250502500#gid=250502500"",""PRODUTOS!F2"")"),"AERTECNICA")</f>
        <v>AERTECNICA</v>
      </c>
      <c r="E101" s="56">
        <v>0.0</v>
      </c>
      <c r="F101" s="57">
        <v>0.0</v>
      </c>
      <c r="G101" s="57">
        <v>0.0</v>
      </c>
      <c r="H101" s="58">
        <f>IFERROR(__xludf.DUMMYFUNCTION("""COMPUTED_VALUE"""),287.88)</f>
        <v>287.88</v>
      </c>
      <c r="I101" s="59">
        <f t="shared" si="1"/>
        <v>0</v>
      </c>
      <c r="J101" s="12"/>
      <c r="K101" s="1"/>
      <c r="L101" s="1"/>
      <c r="M101" s="1"/>
      <c r="N101" s="1"/>
      <c r="O101" s="1"/>
      <c r="P101" s="1"/>
      <c r="Q101" s="1"/>
      <c r="R101" s="1"/>
      <c r="S101" s="1"/>
      <c r="T101" s="1"/>
      <c r="U101" s="1"/>
      <c r="V101" s="1"/>
      <c r="W101" s="1"/>
      <c r="X101" s="1"/>
      <c r="Y101" s="1"/>
      <c r="Z101" s="1"/>
    </row>
    <row r="102">
      <c r="A102" s="1"/>
      <c r="B102" s="1"/>
      <c r="C102" s="48" t="str">
        <f>IFERROR(__xludf.DUMMYFUNCTION("""COMPUTED_VALUE"""),"filtro lavavel para central Perfetto 1")</f>
        <v>filtro lavavel para central Perfetto 1</v>
      </c>
      <c r="D102" s="61" t="str">
        <f>IFERROR(__xludf.DUMMYFUNCTION("IMPORTRANGE(""https://docs.google.com/spreadsheets/d/17pV1h3QXEhKsouzqT-wmZrwWCzREFYcQVORu3OKO97k/edit?gid=250502500#gid=250502500"",""PRODUTOS!F2"")"),"AERTECNICA")</f>
        <v>AERTECNICA</v>
      </c>
      <c r="E102" s="50">
        <v>0.0</v>
      </c>
      <c r="F102" s="51">
        <v>0.0</v>
      </c>
      <c r="G102" s="51">
        <v>0.0</v>
      </c>
      <c r="H102" s="52">
        <f>IFERROR(__xludf.DUMMYFUNCTION("""COMPUTED_VALUE"""),496.44)</f>
        <v>496.44</v>
      </c>
      <c r="I102" s="53">
        <f t="shared" si="1"/>
        <v>0</v>
      </c>
      <c r="J102" s="12"/>
      <c r="K102" s="1"/>
      <c r="L102" s="1"/>
      <c r="M102" s="1"/>
      <c r="N102" s="1"/>
      <c r="O102" s="1"/>
      <c r="P102" s="1"/>
      <c r="Q102" s="1"/>
      <c r="R102" s="1"/>
      <c r="S102" s="1"/>
      <c r="T102" s="1"/>
      <c r="U102" s="1"/>
      <c r="V102" s="1"/>
      <c r="W102" s="1"/>
      <c r="X102" s="1"/>
      <c r="Y102" s="1"/>
      <c r="Z102" s="1"/>
    </row>
    <row r="103">
      <c r="A103" s="1"/>
      <c r="B103" s="1"/>
      <c r="C103" s="54" t="str">
        <f>IFERROR(__xludf.DUMMYFUNCTION("""COMPUTED_VALUE"""),"filtro lavavel para central Perfetto 2")</f>
        <v>filtro lavavel para central Perfetto 2</v>
      </c>
      <c r="D103" s="64" t="str">
        <f>IFERROR(__xludf.DUMMYFUNCTION("IMPORTRANGE(""https://docs.google.com/spreadsheets/d/17pV1h3QXEhKsouzqT-wmZrwWCzREFYcQVORu3OKO97k/edit?gid=250502500#gid=250502500"",""PRODUTOS!F2"")"),"AERTECNICA")</f>
        <v>AERTECNICA</v>
      </c>
      <c r="E103" s="56">
        <v>0.0</v>
      </c>
      <c r="F103" s="57">
        <v>0.0</v>
      </c>
      <c r="G103" s="57">
        <v>0.0</v>
      </c>
      <c r="H103" s="58">
        <f>IFERROR(__xludf.DUMMYFUNCTION("""COMPUTED_VALUE"""),673.23)</f>
        <v>673.23</v>
      </c>
      <c r="I103" s="59">
        <f t="shared" si="1"/>
        <v>0</v>
      </c>
      <c r="J103" s="12"/>
      <c r="K103" s="1"/>
      <c r="L103" s="1"/>
      <c r="M103" s="1"/>
      <c r="N103" s="1"/>
      <c r="O103" s="1"/>
      <c r="P103" s="1"/>
      <c r="Q103" s="1"/>
      <c r="R103" s="1"/>
      <c r="S103" s="1"/>
      <c r="T103" s="1"/>
      <c r="U103" s="1"/>
      <c r="V103" s="1"/>
      <c r="W103" s="1"/>
      <c r="X103" s="1"/>
      <c r="Y103" s="1"/>
      <c r="Z103" s="1"/>
    </row>
    <row r="104">
      <c r="A104" s="1"/>
      <c r="B104" s="1"/>
      <c r="C104" s="48" t="str">
        <f>IFERROR(__xludf.DUMMYFUNCTION("""COMPUTED_VALUE"""),"filtro lavavel para central Perfetto 3 - 4")</f>
        <v>filtro lavavel para central Perfetto 3 - 4</v>
      </c>
      <c r="D104" s="61" t="str">
        <f>IFERROR(__xludf.DUMMYFUNCTION("IMPORTRANGE(""https://docs.google.com/spreadsheets/d/17pV1h3QXEhKsouzqT-wmZrwWCzREFYcQVORu3OKO97k/edit?gid=250502500#gid=250502500"",""PRODUTOS!F2"")"),"AERTECNICA")</f>
        <v>AERTECNICA</v>
      </c>
      <c r="E104" s="50">
        <v>0.0</v>
      </c>
      <c r="F104" s="51">
        <v>0.0</v>
      </c>
      <c r="G104" s="51">
        <v>0.0</v>
      </c>
      <c r="H104" s="52">
        <f>IFERROR(__xludf.DUMMYFUNCTION("""COMPUTED_VALUE"""),818.53)</f>
        <v>818.53</v>
      </c>
      <c r="I104" s="53">
        <f t="shared" si="1"/>
        <v>0</v>
      </c>
      <c r="J104" s="12"/>
      <c r="K104" s="1"/>
      <c r="L104" s="1"/>
      <c r="M104" s="1"/>
      <c r="N104" s="1"/>
      <c r="O104" s="1"/>
      <c r="P104" s="1"/>
      <c r="Q104" s="1"/>
      <c r="R104" s="1"/>
      <c r="S104" s="1"/>
      <c r="T104" s="1"/>
      <c r="U104" s="1"/>
      <c r="V104" s="1"/>
      <c r="W104" s="1"/>
      <c r="X104" s="1"/>
      <c r="Y104" s="1"/>
      <c r="Z104" s="1"/>
    </row>
    <row r="105">
      <c r="A105" s="1"/>
      <c r="B105" s="1"/>
      <c r="C105" s="54" t="str">
        <f>IFERROR(__xludf.DUMMYFUNCTION("""COMPUTED_VALUE"""),"Filtro Lavavel para central QB")</f>
        <v>Filtro Lavavel para central QB</v>
      </c>
      <c r="D105" s="64" t="str">
        <f>IFERROR(__xludf.DUMMYFUNCTION("IMPORTRANGE(""https://docs.google.com/spreadsheets/d/17pV1h3QXEhKsouzqT-wmZrwWCzREFYcQVORu3OKO97k/edit?gid=250502500#gid=250502500"",""PRODUTOS!F2"")"),"AERTECNICA")</f>
        <v>AERTECNICA</v>
      </c>
      <c r="E105" s="56">
        <v>0.0</v>
      </c>
      <c r="F105" s="57">
        <v>0.0</v>
      </c>
      <c r="G105" s="57">
        <v>0.0</v>
      </c>
      <c r="H105" s="58">
        <f>IFERROR(__xludf.DUMMYFUNCTION("""COMPUTED_VALUE"""),496.44)</f>
        <v>496.44</v>
      </c>
      <c r="I105" s="59">
        <f t="shared" si="1"/>
        <v>0</v>
      </c>
      <c r="J105" s="12"/>
      <c r="K105" s="1"/>
      <c r="L105" s="1"/>
      <c r="M105" s="1"/>
      <c r="N105" s="1"/>
      <c r="O105" s="1"/>
      <c r="P105" s="1"/>
      <c r="Q105" s="1"/>
      <c r="R105" s="1"/>
      <c r="S105" s="1"/>
      <c r="T105" s="1"/>
      <c r="U105" s="1"/>
      <c r="V105" s="1"/>
      <c r="W105" s="1"/>
      <c r="X105" s="1"/>
      <c r="Y105" s="1"/>
      <c r="Z105" s="1"/>
    </row>
    <row r="106">
      <c r="A106" s="1"/>
      <c r="B106" s="1"/>
      <c r="C106" s="48" t="str">
        <f>IFERROR(__xludf.DUMMYFUNCTION("""COMPUTED_VALUE"""),"Filtro lavavel para central TS 1")</f>
        <v>Filtro lavavel para central TS 1</v>
      </c>
      <c r="D106" s="61" t="str">
        <f>IFERROR(__xludf.DUMMYFUNCTION("IMPORTRANGE(""https://docs.google.com/spreadsheets/d/17pV1h3QXEhKsouzqT-wmZrwWCzREFYcQVORu3OKO97k/edit?gid=250502500#gid=250502500"",""PRODUTOS!F2"")"),"AERTECNICA")</f>
        <v>AERTECNICA</v>
      </c>
      <c r="E106" s="50">
        <v>0.0</v>
      </c>
      <c r="F106" s="51">
        <v>0.0</v>
      </c>
      <c r="G106" s="51">
        <v>0.0</v>
      </c>
      <c r="H106" s="52">
        <f>IFERROR(__xludf.DUMMYFUNCTION("""COMPUTED_VALUE"""),631.67)</f>
        <v>631.67</v>
      </c>
      <c r="I106" s="53">
        <f t="shared" si="1"/>
        <v>0</v>
      </c>
      <c r="J106" s="12"/>
      <c r="K106" s="1"/>
      <c r="L106" s="1"/>
      <c r="M106" s="1"/>
      <c r="N106" s="1"/>
      <c r="O106" s="1"/>
      <c r="P106" s="1"/>
      <c r="Q106" s="1"/>
      <c r="R106" s="1"/>
      <c r="S106" s="1"/>
      <c r="T106" s="1"/>
      <c r="U106" s="1"/>
      <c r="V106" s="1"/>
      <c r="W106" s="1"/>
      <c r="X106" s="1"/>
      <c r="Y106" s="1"/>
      <c r="Z106" s="1"/>
    </row>
    <row r="107">
      <c r="A107" s="1"/>
      <c r="B107" s="1"/>
      <c r="C107" s="54" t="str">
        <f>IFERROR(__xludf.DUMMYFUNCTION("""COMPUTED_VALUE"""),"Filtro lavavel para central TS 2 - 4")</f>
        <v>Filtro lavavel para central TS 2 - 4</v>
      </c>
      <c r="D107" s="64" t="str">
        <f>IFERROR(__xludf.DUMMYFUNCTION("IMPORTRANGE(""https://docs.google.com/spreadsheets/d/17pV1h3QXEhKsouzqT-wmZrwWCzREFYcQVORu3OKO97k/edit?gid=250502500#gid=250502500"",""PRODUTOS!F2"")"),"AERTECNICA")</f>
        <v>AERTECNICA</v>
      </c>
      <c r="E107" s="56">
        <v>0.0</v>
      </c>
      <c r="F107" s="57">
        <v>0.0</v>
      </c>
      <c r="G107" s="57">
        <v>0.0</v>
      </c>
      <c r="H107" s="58">
        <f>IFERROR(__xludf.DUMMYFUNCTION("""COMPUTED_VALUE"""),789.7)</f>
        <v>789.7</v>
      </c>
      <c r="I107" s="59">
        <f t="shared" si="1"/>
        <v>0</v>
      </c>
      <c r="J107" s="12"/>
      <c r="K107" s="1"/>
      <c r="L107" s="1"/>
      <c r="M107" s="1"/>
      <c r="N107" s="1"/>
      <c r="O107" s="1"/>
      <c r="P107" s="1"/>
      <c r="Q107" s="1"/>
      <c r="R107" s="1"/>
      <c r="S107" s="1"/>
      <c r="T107" s="1"/>
      <c r="U107" s="1"/>
      <c r="V107" s="1"/>
      <c r="W107" s="1"/>
      <c r="X107" s="1"/>
      <c r="Y107" s="1"/>
      <c r="Z107" s="1"/>
    </row>
    <row r="108">
      <c r="A108" s="1"/>
      <c r="B108" s="1"/>
      <c r="C108" s="48" t="str">
        <f>IFERROR(__xludf.DUMMYFUNCTION("""COMPUTED_VALUE"""),"FIXADOR PARA TURBINA")</f>
        <v>FIXADOR PARA TURBINA</v>
      </c>
      <c r="D108" s="61" t="str">
        <f>IFERROR(__xludf.DUMMYFUNCTION("IMPORTRANGE(""https://docs.google.com/spreadsheets/d/17pV1h3QXEhKsouzqT-wmZrwWCzREFYcQVORu3OKO97k/edit?gid=250502500#gid=250502500"",""PRODUTOS!F2"")"),"AERTECNICA")</f>
        <v>AERTECNICA</v>
      </c>
      <c r="E108" s="50">
        <v>0.0</v>
      </c>
      <c r="F108" s="51">
        <v>0.0</v>
      </c>
      <c r="G108" s="51">
        <v>0.0</v>
      </c>
      <c r="H108" s="52">
        <f>IFERROR(__xludf.DUMMYFUNCTION("""COMPUTED_VALUE"""),31.68)</f>
        <v>31.68</v>
      </c>
      <c r="I108" s="53">
        <f t="shared" si="1"/>
        <v>0</v>
      </c>
      <c r="J108" s="12"/>
      <c r="K108" s="1"/>
      <c r="L108" s="1"/>
      <c r="M108" s="1"/>
      <c r="N108" s="1"/>
      <c r="O108" s="1"/>
      <c r="P108" s="1"/>
      <c r="Q108" s="1"/>
      <c r="R108" s="1"/>
      <c r="S108" s="1"/>
      <c r="T108" s="1"/>
      <c r="U108" s="1"/>
      <c r="V108" s="1"/>
      <c r="W108" s="1"/>
      <c r="X108" s="1"/>
      <c r="Y108" s="1"/>
      <c r="Z108" s="1"/>
    </row>
    <row r="109">
      <c r="A109" s="1"/>
      <c r="B109" s="1"/>
      <c r="C109" s="54" t="str">
        <f>IFERROR(__xludf.DUMMYFUNCTION("""COMPUTED_VALUE"""),"Gancho de metal para mangueira e para Tubò Easy Sack")</f>
        <v>Gancho de metal para mangueira e para Tubò Easy Sack</v>
      </c>
      <c r="D109" s="64" t="str">
        <f>IFERROR(__xludf.DUMMYFUNCTION("IMPORTRANGE(""https://docs.google.com/spreadsheets/d/17pV1h3QXEhKsouzqT-wmZrwWCzREFYcQVORu3OKO97k/edit?gid=250502500#gid=250502500"",""PRODUTOS!F2"")"),"AERTECNICA")</f>
        <v>AERTECNICA</v>
      </c>
      <c r="E109" s="56">
        <v>0.0</v>
      </c>
      <c r="F109" s="57">
        <v>0.0</v>
      </c>
      <c r="G109" s="57">
        <v>0.0</v>
      </c>
      <c r="H109" s="58">
        <f>IFERROR(__xludf.DUMMYFUNCTION("""COMPUTED_VALUE"""),171.36)</f>
        <v>171.36</v>
      </c>
      <c r="I109" s="59">
        <f t="shared" si="1"/>
        <v>0</v>
      </c>
      <c r="J109" s="12"/>
      <c r="K109" s="1"/>
      <c r="L109" s="1"/>
      <c r="M109" s="1"/>
      <c r="N109" s="1"/>
      <c r="O109" s="1"/>
      <c r="P109" s="1"/>
      <c r="Q109" s="1"/>
      <c r="R109" s="1"/>
      <c r="S109" s="1"/>
      <c r="T109" s="1"/>
      <c r="U109" s="1"/>
      <c r="V109" s="1"/>
      <c r="W109" s="1"/>
      <c r="X109" s="1"/>
      <c r="Y109" s="1"/>
      <c r="Z109" s="1"/>
    </row>
    <row r="110">
      <c r="A110" s="1"/>
      <c r="B110" s="1"/>
      <c r="C110" s="48" t="str">
        <f>IFERROR(__xludf.DUMMYFUNCTION("""COMPUTED_VALUE"""),"Kit base de tomada de aço para parede tomada Vac Pan")</f>
        <v>Kit base de tomada de aço para parede tomada Vac Pan</v>
      </c>
      <c r="D110" s="61" t="str">
        <f>IFERROR(__xludf.DUMMYFUNCTION("IMPORTRANGE(""https://docs.google.com/spreadsheets/d/17pV1h3QXEhKsouzqT-wmZrwWCzREFYcQVORu3OKO97k/edit?gid=250502500#gid=250502500"",""PRODUTOS!F2"")"),"AERTECNICA")</f>
        <v>AERTECNICA</v>
      </c>
      <c r="E110" s="50">
        <v>0.0</v>
      </c>
      <c r="F110" s="51">
        <v>0.0</v>
      </c>
      <c r="G110" s="51">
        <v>0.0</v>
      </c>
      <c r="H110" s="52">
        <f>IFERROR(__xludf.DUMMYFUNCTION("""COMPUTED_VALUE"""),261.55)</f>
        <v>261.55</v>
      </c>
      <c r="I110" s="53">
        <f t="shared" si="1"/>
        <v>0</v>
      </c>
      <c r="J110" s="12"/>
      <c r="K110" s="1"/>
      <c r="L110" s="1"/>
      <c r="M110" s="1"/>
      <c r="N110" s="1"/>
      <c r="O110" s="1"/>
      <c r="P110" s="1"/>
      <c r="Q110" s="1"/>
      <c r="R110" s="1"/>
      <c r="S110" s="1"/>
      <c r="T110" s="1"/>
      <c r="U110" s="1"/>
      <c r="V110" s="1"/>
      <c r="W110" s="1"/>
      <c r="X110" s="1"/>
      <c r="Y110" s="1"/>
      <c r="Z110" s="1"/>
    </row>
    <row r="111">
      <c r="A111" s="1"/>
      <c r="B111" s="1"/>
      <c r="C111" s="54" t="str">
        <f>IFERROR(__xludf.DUMMYFUNCTION("""COMPUTED_VALUE"""),"Kit de acabamento PRATICO de 12ml")</f>
        <v>Kit de acabamento PRATICO de 12ml</v>
      </c>
      <c r="D111" s="64" t="str">
        <f>IFERROR(__xludf.DUMMYFUNCTION("IMPORTRANGE(""https://docs.google.com/spreadsheets/d/17pV1h3QXEhKsouzqT-wmZrwWCzREFYcQVORu3OKO97k/edit?gid=250502500#gid=250502500"",""PRODUTOS!F2"")"),"AERTECNICA")</f>
        <v>AERTECNICA</v>
      </c>
      <c r="E111" s="56">
        <v>0.0</v>
      </c>
      <c r="F111" s="57">
        <v>0.0</v>
      </c>
      <c r="G111" s="57">
        <v>0.0</v>
      </c>
      <c r="H111" s="58">
        <f>IFERROR(__xludf.DUMMYFUNCTION("""COMPUTED_VALUE"""),6059.09)</f>
        <v>6059.09</v>
      </c>
      <c r="I111" s="59">
        <f t="shared" si="1"/>
        <v>0</v>
      </c>
      <c r="J111" s="12"/>
      <c r="K111" s="1"/>
      <c r="L111" s="1"/>
      <c r="M111" s="1"/>
      <c r="N111" s="1"/>
      <c r="O111" s="1"/>
      <c r="P111" s="1"/>
      <c r="Q111" s="1"/>
      <c r="R111" s="1"/>
      <c r="S111" s="1"/>
      <c r="T111" s="1"/>
      <c r="U111" s="1"/>
      <c r="V111" s="1"/>
      <c r="W111" s="1"/>
      <c r="X111" s="1"/>
      <c r="Y111" s="1"/>
      <c r="Z111" s="1"/>
    </row>
    <row r="112">
      <c r="A112" s="1"/>
      <c r="B112" s="1"/>
      <c r="C112" s="48" t="str">
        <f>IFERROR(__xludf.DUMMYFUNCTION("""COMPUTED_VALUE"""),"Kit de Acessórios Básico composto por:
Tubò Bag, conjunto de escovas para limpar: cantos, vestuário, colchões, escova universal com cerdas para pavimento com 30 cm, extensão telescópica cromada Advanced e suporte de parede.")</f>
        <v>Kit de Acessórios Básico composto por:
Tubò Bag, conjunto de escovas para limpar: cantos, vestuário, colchões, escova universal com cerdas para pavimento com 30 cm, extensão telescópica cromada Advanced e suporte de parede.</v>
      </c>
      <c r="D112" s="61" t="str">
        <f>IFERROR(__xludf.DUMMYFUNCTION("IMPORTRANGE(""https://docs.google.com/spreadsheets/d/17pV1h3QXEhKsouzqT-wmZrwWCzREFYcQVORu3OKO97k/edit?gid=250502500#gid=250502500"",""PRODUTOS!F2"")"),"AERTECNICA")</f>
        <v>AERTECNICA</v>
      </c>
      <c r="E112" s="50">
        <v>0.0</v>
      </c>
      <c r="F112" s="51">
        <v>0.0</v>
      </c>
      <c r="G112" s="51">
        <v>0.0</v>
      </c>
      <c r="H112" s="52">
        <f>IFERROR(__xludf.DUMMYFUNCTION("""COMPUTED_VALUE"""),666.67)</f>
        <v>666.67</v>
      </c>
      <c r="I112" s="53">
        <f t="shared" si="1"/>
        <v>0</v>
      </c>
      <c r="J112" s="12"/>
      <c r="K112" s="1"/>
      <c r="L112" s="1"/>
      <c r="M112" s="1"/>
      <c r="N112" s="1"/>
      <c r="O112" s="1"/>
      <c r="P112" s="1"/>
      <c r="Q112" s="1"/>
      <c r="R112" s="1"/>
      <c r="S112" s="1"/>
      <c r="T112" s="1"/>
      <c r="U112" s="1"/>
      <c r="V112" s="1"/>
      <c r="W112" s="1"/>
      <c r="X112" s="1"/>
      <c r="Y112" s="1"/>
      <c r="Z112" s="1"/>
    </row>
    <row r="113">
      <c r="A113" s="1"/>
      <c r="B113" s="1"/>
      <c r="C113" s="54" t="str">
        <f>IFERROR(__xludf.DUMMYFUNCTION("""COMPUTED_VALUE"""),"Kit de Acessórios Deluxe composto por:
Tubò Bag Extensão telescópica cromada, Set de escovas para: tirar o pó articulada, cantos, radiadores, roupas, colchões-tapeçaria com feltro, Escova universal com cerdas para pavimentos de 30 cm, com rodas, Escova de"&amp;" uso duplo pavimento e tapete, com rodas")</f>
        <v>Kit de Acessórios Deluxe composto por:
Tubò Bag Extensão telescópica cromada, Set de escovas para: tirar o pó articulada, cantos, radiadores, roupas, colchões-tapeçaria com feltro, Escova universal com cerdas para pavimentos de 30 cm, com rodas, Escova de uso duplo pavimento e tapete, com rodas</v>
      </c>
      <c r="D113" s="64" t="str">
        <f>IFERROR(__xludf.DUMMYFUNCTION("IMPORTRANGE(""https://docs.google.com/spreadsheets/d/17pV1h3QXEhKsouzqT-wmZrwWCzREFYcQVORu3OKO97k/edit?gid=250502500#gid=250502500"",""PRODUTOS!F2"")"),"AERTECNICA")</f>
        <v>AERTECNICA</v>
      </c>
      <c r="E113" s="56">
        <v>0.0</v>
      </c>
      <c r="F113" s="57">
        <v>0.0</v>
      </c>
      <c r="G113" s="57">
        <v>0.0</v>
      </c>
      <c r="H113" s="58">
        <f>IFERROR(__xludf.DUMMYFUNCTION("""COMPUTED_VALUE"""),2196.97)</f>
        <v>2196.97</v>
      </c>
      <c r="I113" s="59">
        <f t="shared" si="1"/>
        <v>0</v>
      </c>
      <c r="J113" s="12"/>
      <c r="K113" s="1"/>
      <c r="L113" s="1"/>
      <c r="M113" s="1"/>
      <c r="N113" s="1"/>
      <c r="O113" s="1"/>
      <c r="P113" s="1"/>
      <c r="Q113" s="1"/>
      <c r="R113" s="1"/>
      <c r="S113" s="1"/>
      <c r="T113" s="1"/>
      <c r="U113" s="1"/>
      <c r="V113" s="1"/>
      <c r="W113" s="1"/>
      <c r="X113" s="1"/>
      <c r="Y113" s="1"/>
      <c r="Z113" s="1"/>
    </row>
    <row r="114">
      <c r="A114" s="1"/>
      <c r="B114" s="1"/>
      <c r="C114" s="48" t="str">
        <f>IFERROR(__xludf.DUMMYFUNCTION("""COMPUTED_VALUE"""),"Kit de Acessórios Porto composto por: Conjuntos de escovas para limpar : cantos , equipamentos e vestuario, escova universal com serdas para pavimento com 30 cm, extensão telescópica cromada Advanced e suporte de parede.")</f>
        <v>Kit de Acessórios Porto composto por: Conjuntos de escovas para limpar : cantos , equipamentos e vestuario, escova universal com serdas para pavimento com 30 cm, extensão telescópica cromada Advanced e suporte de parede.</v>
      </c>
      <c r="D114" s="61" t="str">
        <f>IFERROR(__xludf.DUMMYFUNCTION("IMPORTRANGE(""https://docs.google.com/spreadsheets/d/17pV1h3QXEhKsouzqT-wmZrwWCzREFYcQVORu3OKO97k/edit?gid=250502500#gid=250502500"",""PRODUTOS!F2"")"),"AERTECNICA")</f>
        <v>AERTECNICA</v>
      </c>
      <c r="E114" s="50">
        <v>0.0</v>
      </c>
      <c r="F114" s="51">
        <v>0.0</v>
      </c>
      <c r="G114" s="51">
        <v>0.0</v>
      </c>
      <c r="H114" s="52">
        <f>IFERROR(__xludf.DUMMYFUNCTION("""COMPUTED_VALUE"""),477.09)</f>
        <v>477.09</v>
      </c>
      <c r="I114" s="53">
        <f t="shared" si="1"/>
        <v>0</v>
      </c>
      <c r="J114" s="12"/>
      <c r="K114" s="1"/>
      <c r="L114" s="1"/>
      <c r="M114" s="1"/>
      <c r="N114" s="1"/>
      <c r="O114" s="1"/>
      <c r="P114" s="1"/>
      <c r="Q114" s="1"/>
      <c r="R114" s="1"/>
      <c r="S114" s="1"/>
      <c r="T114" s="1"/>
      <c r="U114" s="1"/>
      <c r="V114" s="1"/>
      <c r="W114" s="1"/>
      <c r="X114" s="1"/>
      <c r="Y114" s="1"/>
      <c r="Z114" s="1"/>
    </row>
    <row r="115">
      <c r="A115" s="1"/>
      <c r="B115" s="1"/>
      <c r="C115" s="54" t="str">
        <f>IFERROR(__xludf.DUMMYFUNCTION("""COMPUTED_VALUE"""),"Kit de Acessórios Standard composto por:
Tubò Easy Sack, conjunto de escovas para limpar: o pó articulada, cantos, radiadores, vestuário, colchões- tapeçaria com feltro, escova universal com cerdas para pavimento com 30 cm com rodas, extensão telescópica "&amp;"cromada Advanced e suporte de parede.")</f>
        <v>Kit de Acessórios Standard composto por:
Tubò Easy Sack, conjunto de escovas para limpar: o pó articulada, cantos, radiadores, vestuário, colchões- tapeçaria com feltro, escova universal com cerdas para pavimento com 30 cm com rodas, extensão telescópica cromada Advanced e suporte de parede.</v>
      </c>
      <c r="D115" s="64" t="str">
        <f>IFERROR(__xludf.DUMMYFUNCTION("IMPORTRANGE(""https://docs.google.com/spreadsheets/d/17pV1h3QXEhKsouzqT-wmZrwWCzREFYcQVORu3OKO97k/edit?gid=250502500#gid=250502500"",""PRODUTOS!F2"")"),"AERTECNICA")</f>
        <v>AERTECNICA</v>
      </c>
      <c r="E115" s="56">
        <v>0.0</v>
      </c>
      <c r="F115" s="57">
        <v>0.0</v>
      </c>
      <c r="G115" s="57">
        <v>0.0</v>
      </c>
      <c r="H115" s="58">
        <f>IFERROR(__xludf.DUMMYFUNCTION("""COMPUTED_VALUE"""),2094.55)</f>
        <v>2094.55</v>
      </c>
      <c r="I115" s="59">
        <f t="shared" si="1"/>
        <v>0</v>
      </c>
      <c r="J115" s="12"/>
      <c r="K115" s="1"/>
      <c r="L115" s="1"/>
      <c r="M115" s="1"/>
      <c r="N115" s="1"/>
      <c r="O115" s="1"/>
      <c r="P115" s="1"/>
      <c r="Q115" s="1"/>
      <c r="R115" s="1"/>
      <c r="S115" s="1"/>
      <c r="T115" s="1"/>
      <c r="U115" s="1"/>
      <c r="V115" s="1"/>
      <c r="W115" s="1"/>
      <c r="X115" s="1"/>
      <c r="Y115" s="1"/>
      <c r="Z115" s="1"/>
    </row>
    <row r="116">
      <c r="A116" s="1"/>
      <c r="B116" s="1"/>
      <c r="C116" s="48" t="str">
        <f>IFERROR(__xludf.DUMMYFUNCTION("""COMPUTED_VALUE"""),"Kit economico pratico - 1acab, 3 curvas 90, 2curvas 45, 2curvas de 22, 6 luvas")</f>
        <v>Kit economico pratico - 1acab, 3 curvas 90, 2curvas 45, 2curvas de 22, 6 luvas</v>
      </c>
      <c r="D116" s="61" t="str">
        <f>IFERROR(__xludf.DUMMYFUNCTION("IMPORTRANGE(""https://docs.google.com/spreadsheets/d/17pV1h3QXEhKsouzqT-wmZrwWCzREFYcQVORu3OKO97k/edit?gid=250502500#gid=250502500"",""PRODUTOS!F2"")"),"AERTECNICA")</f>
        <v>AERTECNICA</v>
      </c>
      <c r="E116" s="50">
        <v>0.0</v>
      </c>
      <c r="F116" s="51">
        <v>0.0</v>
      </c>
      <c r="G116" s="51">
        <v>0.0</v>
      </c>
      <c r="H116" s="52">
        <f>IFERROR(__xludf.DUMMYFUNCTION("""COMPUTED_VALUE"""),1827.27)</f>
        <v>1827.27</v>
      </c>
      <c r="I116" s="53">
        <f t="shared" si="1"/>
        <v>0</v>
      </c>
      <c r="J116" s="12"/>
      <c r="K116" s="1"/>
      <c r="L116" s="1"/>
      <c r="M116" s="1"/>
      <c r="N116" s="1"/>
      <c r="O116" s="1"/>
      <c r="P116" s="1"/>
      <c r="Q116" s="1"/>
      <c r="R116" s="1"/>
      <c r="S116" s="1"/>
      <c r="T116" s="1"/>
      <c r="U116" s="1"/>
      <c r="V116" s="1"/>
      <c r="W116" s="1"/>
      <c r="X116" s="1"/>
      <c r="Y116" s="1"/>
      <c r="Z116" s="1"/>
    </row>
    <row r="117">
      <c r="A117" s="1"/>
      <c r="B117" s="1"/>
      <c r="C117" s="54" t="str">
        <f>IFERROR(__xludf.DUMMYFUNCTION("""COMPUTED_VALUE"""),"Luva com batente PVC - 50 mm")</f>
        <v>Luva com batente PVC - 50 mm</v>
      </c>
      <c r="D117" s="64" t="str">
        <f>IFERROR(__xludf.DUMMYFUNCTION("IMPORTRANGE(""https://docs.google.com/spreadsheets/d/17pV1h3QXEhKsouzqT-wmZrwWCzREFYcQVORu3OKO97k/edit?gid=250502500#gid=250502500"",""PRODUTOS!F2"")"),"AERTECNICA")</f>
        <v>AERTECNICA</v>
      </c>
      <c r="E117" s="56">
        <v>0.0</v>
      </c>
      <c r="F117" s="57">
        <v>0.0</v>
      </c>
      <c r="G117" s="57">
        <v>0.0</v>
      </c>
      <c r="H117" s="58">
        <f>IFERROR(__xludf.DUMMYFUNCTION("""COMPUTED_VALUE"""),7.29)</f>
        <v>7.29</v>
      </c>
      <c r="I117" s="59">
        <f t="shared" si="1"/>
        <v>0</v>
      </c>
      <c r="J117" s="12"/>
      <c r="K117" s="1"/>
      <c r="L117" s="1"/>
      <c r="M117" s="1"/>
      <c r="N117" s="1"/>
      <c r="O117" s="1"/>
      <c r="P117" s="1"/>
      <c r="Q117" s="1"/>
      <c r="R117" s="1"/>
      <c r="S117" s="1"/>
      <c r="T117" s="1"/>
      <c r="U117" s="1"/>
      <c r="V117" s="1"/>
      <c r="W117" s="1"/>
      <c r="X117" s="1"/>
      <c r="Y117" s="1"/>
      <c r="Z117" s="1"/>
    </row>
    <row r="118">
      <c r="A118" s="1"/>
      <c r="B118" s="1"/>
      <c r="C118" s="48" t="str">
        <f>IFERROR(__xludf.DUMMYFUNCTION("""COMPUTED_VALUE"""),"Luva com batente PVC - 50 mm - Caixa com 170 peças")</f>
        <v>Luva com batente PVC - 50 mm - Caixa com 170 peças</v>
      </c>
      <c r="D118" s="61" t="str">
        <f>IFERROR(__xludf.DUMMYFUNCTION("IMPORTRANGE(""https://docs.google.com/spreadsheets/d/17pV1h3QXEhKsouzqT-wmZrwWCzREFYcQVORu3OKO97k/edit?gid=250502500#gid=250502500"",""PRODUTOS!F2"")"),"AERTECNICA")</f>
        <v>AERTECNICA</v>
      </c>
      <c r="E118" s="50">
        <v>0.0</v>
      </c>
      <c r="F118" s="51">
        <v>0.0</v>
      </c>
      <c r="G118" s="51">
        <v>0.0</v>
      </c>
      <c r="H118" s="52">
        <f>IFERROR(__xludf.DUMMYFUNCTION("""COMPUTED_VALUE"""),1119.8)</f>
        <v>1119.8</v>
      </c>
      <c r="I118" s="53">
        <f t="shared" si="1"/>
        <v>0</v>
      </c>
      <c r="J118" s="12"/>
      <c r="K118" s="1"/>
      <c r="L118" s="1"/>
      <c r="M118" s="1"/>
      <c r="N118" s="1"/>
      <c r="O118" s="1"/>
      <c r="P118" s="1"/>
      <c r="Q118" s="1"/>
      <c r="R118" s="1"/>
      <c r="S118" s="1"/>
      <c r="T118" s="1"/>
      <c r="U118" s="1"/>
      <c r="V118" s="1"/>
      <c r="W118" s="1"/>
      <c r="X118" s="1"/>
      <c r="Y118" s="1"/>
      <c r="Z118" s="1"/>
    </row>
    <row r="119">
      <c r="A119" s="1"/>
      <c r="B119" s="1"/>
      <c r="C119" s="54" t="str">
        <f>IFERROR(__xludf.DUMMYFUNCTION("""COMPUTED_VALUE"""),"Mangueira 12m com interruptor    SEM ESTOQUE")</f>
        <v>Mangueira 12m com interruptor    SEM ESTOQUE</v>
      </c>
      <c r="D119" s="64" t="str">
        <f>IFERROR(__xludf.DUMMYFUNCTION("IMPORTRANGE(""https://docs.google.com/spreadsheets/d/17pV1h3QXEhKsouzqT-wmZrwWCzREFYcQVORu3OKO97k/edit?gid=250502500#gid=250502500"",""PRODUTOS!F2"")"),"AERTECNICA")</f>
        <v>AERTECNICA</v>
      </c>
      <c r="E119" s="56">
        <v>0.0</v>
      </c>
      <c r="F119" s="57">
        <v>0.0</v>
      </c>
      <c r="G119" s="57">
        <v>0.0</v>
      </c>
      <c r="H119" s="58">
        <f>IFERROR(__xludf.DUMMYFUNCTION("""COMPUTED_VALUE"""),3390.91)</f>
        <v>3390.91</v>
      </c>
      <c r="I119" s="59">
        <f t="shared" si="1"/>
        <v>0</v>
      </c>
      <c r="J119" s="12"/>
      <c r="K119" s="1"/>
      <c r="L119" s="1"/>
      <c r="M119" s="1"/>
      <c r="N119" s="1"/>
      <c r="O119" s="1"/>
      <c r="P119" s="1"/>
      <c r="Q119" s="1"/>
      <c r="R119" s="1"/>
      <c r="S119" s="1"/>
      <c r="T119" s="1"/>
      <c r="U119" s="1"/>
      <c r="V119" s="1"/>
      <c r="W119" s="1"/>
      <c r="X119" s="1"/>
      <c r="Y119" s="1"/>
      <c r="Z119" s="1"/>
    </row>
    <row r="120">
      <c r="A120" s="1"/>
      <c r="B120" s="1"/>
      <c r="C120" s="48" t="str">
        <f>IFERROR(__xludf.DUMMYFUNCTION("""COMPUTED_VALUE"""),"MANGUEIRA KPU C 051MM=PU R")</f>
        <v>MANGUEIRA KPU C 051MM=PU R</v>
      </c>
      <c r="D120" s="61" t="str">
        <f>IFERROR(__xludf.DUMMYFUNCTION("IMPORTRANGE(""https://docs.google.com/spreadsheets/d/17pV1h3QXEhKsouzqT-wmZrwWCzREFYcQVORu3OKO97k/edit?gid=250502500#gid=250502500"",""PRODUTOS!F2"")"),"AERTECNICA")</f>
        <v>AERTECNICA</v>
      </c>
      <c r="E120" s="50">
        <v>0.0</v>
      </c>
      <c r="F120" s="51">
        <v>0.0</v>
      </c>
      <c r="G120" s="51">
        <v>0.0</v>
      </c>
      <c r="H120" s="52">
        <f>IFERROR(__xludf.DUMMYFUNCTION("""COMPUTED_VALUE"""),13.86)</f>
        <v>13.86</v>
      </c>
      <c r="I120" s="53">
        <f t="shared" si="1"/>
        <v>0</v>
      </c>
      <c r="J120" s="12"/>
      <c r="K120" s="1"/>
      <c r="L120" s="1"/>
      <c r="M120" s="1"/>
      <c r="N120" s="1"/>
      <c r="O120" s="1"/>
      <c r="P120" s="1"/>
      <c r="Q120" s="1"/>
      <c r="R120" s="1"/>
      <c r="S120" s="1"/>
      <c r="T120" s="1"/>
      <c r="U120" s="1"/>
      <c r="V120" s="1"/>
      <c r="W120" s="1"/>
      <c r="X120" s="1"/>
      <c r="Y120" s="1"/>
      <c r="Z120" s="1"/>
    </row>
    <row r="121">
      <c r="A121" s="1"/>
      <c r="B121" s="1"/>
      <c r="C121" s="54" t="str">
        <f>IFERROR(__xludf.DUMMYFUNCTION("""COMPUTED_VALUE"""),"Mangueira Ø32 embalagem de 21 m (por metro)")</f>
        <v>Mangueira Ø32 embalagem de 21 m (por metro)</v>
      </c>
      <c r="D121" s="64" t="str">
        <f>IFERROR(__xludf.DUMMYFUNCTION("IMPORTRANGE(""https://docs.google.com/spreadsheets/d/17pV1h3QXEhKsouzqT-wmZrwWCzREFYcQVORu3OKO97k/edit?gid=250502500#gid=250502500"",""PRODUTOS!F2"")"),"AERTECNICA")</f>
        <v>AERTECNICA</v>
      </c>
      <c r="E121" s="56">
        <v>0.0</v>
      </c>
      <c r="F121" s="57">
        <v>0.0</v>
      </c>
      <c r="G121" s="57">
        <v>0.0</v>
      </c>
      <c r="H121" s="58">
        <f>IFERROR(__xludf.DUMMYFUNCTION("""COMPUTED_VALUE"""),29.05)</f>
        <v>29.05</v>
      </c>
      <c r="I121" s="59">
        <f t="shared" si="1"/>
        <v>0</v>
      </c>
      <c r="J121" s="12"/>
      <c r="K121" s="1"/>
      <c r="L121" s="1"/>
      <c r="M121" s="1"/>
      <c r="N121" s="1"/>
      <c r="O121" s="1"/>
      <c r="P121" s="1"/>
      <c r="Q121" s="1"/>
      <c r="R121" s="1"/>
      <c r="S121" s="1"/>
      <c r="T121" s="1"/>
      <c r="U121" s="1"/>
      <c r="V121" s="1"/>
      <c r="W121" s="1"/>
      <c r="X121" s="1"/>
      <c r="Y121" s="1"/>
      <c r="Z121" s="1"/>
    </row>
    <row r="122">
      <c r="A122" s="1"/>
      <c r="B122" s="1"/>
      <c r="C122" s="48" t="str">
        <f>IFERROR(__xludf.DUMMYFUNCTION("""COMPUTED_VALUE"""),"Mangueira retratil Vroom")</f>
        <v>Mangueira retratil Vroom</v>
      </c>
      <c r="D122" s="61" t="str">
        <f>IFERROR(__xludf.DUMMYFUNCTION("IMPORTRANGE(""https://docs.google.com/spreadsheets/d/17pV1h3QXEhKsouzqT-wmZrwWCzREFYcQVORu3OKO97k/edit?gid=250502500#gid=250502500"",""PRODUTOS!F2"")"),"AERTECNICA")</f>
        <v>AERTECNICA</v>
      </c>
      <c r="E122" s="50">
        <v>0.0</v>
      </c>
      <c r="F122" s="51">
        <v>0.0</v>
      </c>
      <c r="G122" s="51">
        <v>0.0</v>
      </c>
      <c r="H122" s="52">
        <f>IFERROR(__xludf.DUMMYFUNCTION("""COMPUTED_VALUE"""),3303.03)</f>
        <v>3303.03</v>
      </c>
      <c r="I122" s="53">
        <f t="shared" si="1"/>
        <v>0</v>
      </c>
      <c r="J122" s="12"/>
      <c r="K122" s="1"/>
      <c r="L122" s="1"/>
      <c r="M122" s="1"/>
      <c r="N122" s="1"/>
      <c r="O122" s="1"/>
      <c r="P122" s="1"/>
      <c r="Q122" s="1"/>
      <c r="R122" s="1"/>
      <c r="S122" s="1"/>
      <c r="T122" s="1"/>
      <c r="U122" s="1"/>
      <c r="V122" s="1"/>
      <c r="W122" s="1"/>
      <c r="X122" s="1"/>
      <c r="Y122" s="1"/>
      <c r="Z122" s="1"/>
    </row>
    <row r="123">
      <c r="A123" s="1"/>
      <c r="B123" s="1"/>
      <c r="C123" s="54" t="str">
        <f>IFERROR(__xludf.DUMMYFUNCTION("""COMPUTED_VALUE"""),"Manqueira completa 32 mm de 9 mts com interruptor")</f>
        <v>Manqueira completa 32 mm de 9 mts com interruptor</v>
      </c>
      <c r="D123" s="64" t="str">
        <f>IFERROR(__xludf.DUMMYFUNCTION("IMPORTRANGE(""https://docs.google.com/spreadsheets/d/17pV1h3QXEhKsouzqT-wmZrwWCzREFYcQVORu3OKO97k/edit?gid=250502500#gid=250502500"",""PRODUTOS!F2"")"),"AERTECNICA")</f>
        <v>AERTECNICA</v>
      </c>
      <c r="E123" s="56">
        <v>0.0</v>
      </c>
      <c r="F123" s="57">
        <v>0.0</v>
      </c>
      <c r="G123" s="57">
        <v>0.0</v>
      </c>
      <c r="H123" s="58">
        <f>IFERROR(__xludf.DUMMYFUNCTION("""COMPUTED_VALUE"""),2157.58)</f>
        <v>2157.58</v>
      </c>
      <c r="I123" s="59">
        <f t="shared" si="1"/>
        <v>0</v>
      </c>
      <c r="J123" s="12"/>
      <c r="K123" s="1"/>
      <c r="L123" s="1"/>
      <c r="M123" s="1"/>
      <c r="N123" s="1"/>
      <c r="O123" s="1"/>
      <c r="P123" s="1"/>
      <c r="Q123" s="1"/>
      <c r="R123" s="1"/>
      <c r="S123" s="1"/>
      <c r="T123" s="1"/>
      <c r="U123" s="1"/>
      <c r="V123" s="1"/>
      <c r="W123" s="1"/>
      <c r="X123" s="1"/>
      <c r="Y123" s="1"/>
      <c r="Z123" s="1"/>
    </row>
    <row r="124">
      <c r="A124" s="1"/>
      <c r="B124" s="1"/>
      <c r="C124" s="48" t="str">
        <f>IFERROR(__xludf.DUMMYFUNCTION("""COMPUTED_VALUE"""),"Manqueira completa 32 mm de 9 mts com regulador de pressão")</f>
        <v>Manqueira completa 32 mm de 9 mts com regulador de pressão</v>
      </c>
      <c r="D124" s="61" t="str">
        <f>IFERROR(__xludf.DUMMYFUNCTION("IMPORTRANGE(""https://docs.google.com/spreadsheets/d/17pV1h3QXEhKsouzqT-wmZrwWCzREFYcQVORu3OKO97k/edit?gid=250502500#gid=250502500"",""PRODUTOS!F2"")"),"AERTECNICA")</f>
        <v>AERTECNICA</v>
      </c>
      <c r="E124" s="50">
        <v>0.0</v>
      </c>
      <c r="F124" s="51">
        <v>0.0</v>
      </c>
      <c r="G124" s="51">
        <v>0.0</v>
      </c>
      <c r="H124" s="52">
        <f>IFERROR(__xludf.DUMMYFUNCTION("""COMPUTED_VALUE"""),780.3)</f>
        <v>780.3</v>
      </c>
      <c r="I124" s="53">
        <f t="shared" si="1"/>
        <v>0</v>
      </c>
      <c r="J124" s="12"/>
      <c r="K124" s="1"/>
      <c r="L124" s="1"/>
      <c r="M124" s="1"/>
      <c r="N124" s="1"/>
      <c r="O124" s="1"/>
      <c r="P124" s="1"/>
      <c r="Q124" s="1"/>
      <c r="R124" s="1"/>
      <c r="S124" s="1"/>
      <c r="T124" s="1"/>
      <c r="U124" s="1"/>
      <c r="V124" s="1"/>
      <c r="W124" s="1"/>
      <c r="X124" s="1"/>
      <c r="Y124" s="1"/>
      <c r="Z124" s="1"/>
    </row>
    <row r="125">
      <c r="A125" s="1"/>
      <c r="B125" s="1"/>
      <c r="C125" s="54" t="str">
        <f>IFERROR(__xludf.DUMMYFUNCTION("""COMPUTED_VALUE"""),"Moldura de Acabamento Vac Pan")</f>
        <v>Moldura de Acabamento Vac Pan</v>
      </c>
      <c r="D125" s="64" t="str">
        <f>IFERROR(__xludf.DUMMYFUNCTION("IMPORTRANGE(""https://docs.google.com/spreadsheets/d/17pV1h3QXEhKsouzqT-wmZrwWCzREFYcQVORu3OKO97k/edit?gid=250502500#gid=250502500"",""PRODUTOS!F2"")"),"AERTECNICA")</f>
        <v>AERTECNICA</v>
      </c>
      <c r="E125" s="56">
        <v>0.0</v>
      </c>
      <c r="F125" s="57">
        <v>0.0</v>
      </c>
      <c r="G125" s="57">
        <v>0.0</v>
      </c>
      <c r="H125" s="58">
        <f>IFERROR(__xludf.DUMMYFUNCTION("""COMPUTED_VALUE"""),178.79)</f>
        <v>178.79</v>
      </c>
      <c r="I125" s="59">
        <f t="shared" si="1"/>
        <v>0</v>
      </c>
      <c r="J125" s="12"/>
      <c r="K125" s="1"/>
      <c r="L125" s="1"/>
      <c r="M125" s="1"/>
      <c r="N125" s="1"/>
      <c r="O125" s="1"/>
      <c r="P125" s="1"/>
      <c r="Q125" s="1"/>
      <c r="R125" s="1"/>
      <c r="S125" s="1"/>
      <c r="T125" s="1"/>
      <c r="U125" s="1"/>
      <c r="V125" s="1"/>
      <c r="W125" s="1"/>
      <c r="X125" s="1"/>
      <c r="Y125" s="1"/>
      <c r="Z125" s="1"/>
    </row>
    <row r="126">
      <c r="A126" s="1"/>
      <c r="B126" s="1"/>
      <c r="C126" s="48" t="str">
        <f>IFERROR(__xludf.DUMMYFUNCTION("""COMPUTED_VALUE"""),"Moldura para acabamento de reboco para bases de tomadas NEW AIR")</f>
        <v>Moldura para acabamento de reboco para bases de tomadas NEW AIR</v>
      </c>
      <c r="D126" s="61" t="str">
        <f>IFERROR(__xludf.DUMMYFUNCTION("IMPORTRANGE(""https://docs.google.com/spreadsheets/d/17pV1h3QXEhKsouzqT-wmZrwWCzREFYcQVORu3OKO97k/edit?gid=250502500#gid=250502500"",""PRODUTOS!F2"")"),"AERTECNICA")</f>
        <v>AERTECNICA</v>
      </c>
      <c r="E126" s="50">
        <v>0.0</v>
      </c>
      <c r="F126" s="51">
        <v>0.0</v>
      </c>
      <c r="G126" s="51">
        <v>0.0</v>
      </c>
      <c r="H126" s="52">
        <f>IFERROR(__xludf.DUMMYFUNCTION("""COMPUTED_VALUE"""),33.5)</f>
        <v>33.5</v>
      </c>
      <c r="I126" s="53">
        <f t="shared" si="1"/>
        <v>0</v>
      </c>
      <c r="J126" s="12"/>
      <c r="K126" s="1"/>
      <c r="L126" s="1"/>
      <c r="M126" s="1"/>
      <c r="N126" s="1"/>
      <c r="O126" s="1"/>
      <c r="P126" s="1"/>
      <c r="Q126" s="1"/>
      <c r="R126" s="1"/>
      <c r="S126" s="1"/>
      <c r="T126" s="1"/>
      <c r="U126" s="1"/>
      <c r="V126" s="1"/>
      <c r="W126" s="1"/>
      <c r="X126" s="1"/>
      <c r="Y126" s="1"/>
      <c r="Z126" s="1"/>
    </row>
    <row r="127">
      <c r="A127" s="1"/>
      <c r="B127" s="1"/>
      <c r="C127" s="54" t="str">
        <f>IFERROR(__xludf.DUMMYFUNCTION("""COMPUTED_VALUE"""),"Placa Eletronica Display TC")</f>
        <v>Placa Eletronica Display TC</v>
      </c>
      <c r="D127" s="64" t="str">
        <f>IFERROR(__xludf.DUMMYFUNCTION("IMPORTRANGE(""https://docs.google.com/spreadsheets/d/17pV1h3QXEhKsouzqT-wmZrwWCzREFYcQVORu3OKO97k/edit?gid=250502500#gid=250502500"",""PRODUTOS!F2"")"),"AERTECNICA")</f>
        <v>AERTECNICA</v>
      </c>
      <c r="E127" s="56">
        <v>0.0</v>
      </c>
      <c r="F127" s="57">
        <v>0.0</v>
      </c>
      <c r="G127" s="57">
        <v>0.0</v>
      </c>
      <c r="H127" s="58">
        <f>IFERROR(__xludf.DUMMYFUNCTION("""COMPUTED_VALUE"""),1260.45)</f>
        <v>1260.45</v>
      </c>
      <c r="I127" s="59">
        <f t="shared" si="1"/>
        <v>0</v>
      </c>
      <c r="J127" s="12"/>
      <c r="K127" s="1"/>
      <c r="L127" s="1"/>
      <c r="M127" s="1"/>
      <c r="N127" s="1"/>
      <c r="O127" s="1"/>
      <c r="P127" s="1"/>
      <c r="Q127" s="1"/>
      <c r="R127" s="1"/>
      <c r="S127" s="1"/>
      <c r="T127" s="1"/>
      <c r="U127" s="1"/>
      <c r="V127" s="1"/>
      <c r="W127" s="1"/>
      <c r="X127" s="1"/>
      <c r="Y127" s="1"/>
      <c r="Z127" s="1"/>
    </row>
    <row r="128">
      <c r="A128" s="1"/>
      <c r="B128" s="1"/>
      <c r="C128" s="48" t="str">
        <f>IFERROR(__xludf.DUMMYFUNCTION("""COMPUTED_VALUE"""),"Placa Eletronica Evolution TC e TX")</f>
        <v>Placa Eletronica Evolution TC e TX</v>
      </c>
      <c r="D128" s="61" t="str">
        <f>IFERROR(__xludf.DUMMYFUNCTION("IMPORTRANGE(""https://docs.google.com/spreadsheets/d/17pV1h3QXEhKsouzqT-wmZrwWCzREFYcQVORu3OKO97k/edit?gid=250502500#gid=250502500"",""PRODUTOS!F2"")"),"AERTECNICA")</f>
        <v>AERTECNICA</v>
      </c>
      <c r="E128" s="50">
        <v>0.0</v>
      </c>
      <c r="F128" s="51">
        <v>0.0</v>
      </c>
      <c r="G128" s="51">
        <v>0.0</v>
      </c>
      <c r="H128" s="52">
        <f>IFERROR(__xludf.DUMMYFUNCTION("""COMPUTED_VALUE"""),1978.79)</f>
        <v>1978.79</v>
      </c>
      <c r="I128" s="53">
        <f t="shared" si="1"/>
        <v>0</v>
      </c>
      <c r="J128" s="12"/>
      <c r="K128" s="1"/>
      <c r="L128" s="1"/>
      <c r="M128" s="1"/>
      <c r="N128" s="1"/>
      <c r="O128" s="1"/>
      <c r="P128" s="1"/>
      <c r="Q128" s="1"/>
      <c r="R128" s="1"/>
      <c r="S128" s="1"/>
      <c r="T128" s="1"/>
      <c r="U128" s="1"/>
      <c r="V128" s="1"/>
      <c r="W128" s="1"/>
      <c r="X128" s="1"/>
      <c r="Y128" s="1"/>
      <c r="Z128" s="1"/>
    </row>
    <row r="129">
      <c r="A129" s="1"/>
      <c r="B129" s="1"/>
      <c r="C129" s="54" t="str">
        <f>IFERROR(__xludf.DUMMYFUNCTION("""COMPUTED_VALUE"""),"Placa Eletronica QB")</f>
        <v>Placa Eletronica QB</v>
      </c>
      <c r="D129" s="64" t="str">
        <f>IFERROR(__xludf.DUMMYFUNCTION("IMPORTRANGE(""https://docs.google.com/spreadsheets/d/17pV1h3QXEhKsouzqT-wmZrwWCzREFYcQVORu3OKO97k/edit?gid=250502500#gid=250502500"",""PRODUTOS!F2"")"),"AERTECNICA")</f>
        <v>AERTECNICA</v>
      </c>
      <c r="E129" s="56">
        <v>0.0</v>
      </c>
      <c r="F129" s="57">
        <v>0.0</v>
      </c>
      <c r="G129" s="57">
        <v>0.0</v>
      </c>
      <c r="H129" s="58">
        <f>IFERROR(__xludf.DUMMYFUNCTION("""COMPUTED_VALUE"""),1180.73)</f>
        <v>1180.73</v>
      </c>
      <c r="I129" s="59">
        <f t="shared" si="1"/>
        <v>0</v>
      </c>
      <c r="J129" s="12"/>
      <c r="K129" s="1"/>
      <c r="L129" s="1"/>
      <c r="M129" s="1"/>
      <c r="N129" s="1"/>
      <c r="O129" s="1"/>
      <c r="P129" s="1"/>
      <c r="Q129" s="1"/>
      <c r="R129" s="1"/>
      <c r="S129" s="1"/>
      <c r="T129" s="1"/>
      <c r="U129" s="1"/>
      <c r="V129" s="1"/>
      <c r="W129" s="1"/>
      <c r="X129" s="1"/>
      <c r="Y129" s="1"/>
      <c r="Z129" s="1"/>
    </row>
    <row r="130">
      <c r="A130" s="1"/>
      <c r="B130" s="1"/>
      <c r="C130" s="48" t="str">
        <f>IFERROR(__xludf.DUMMYFUNCTION("""COMPUTED_VALUE"""),"Placa Eletronica TS")</f>
        <v>Placa Eletronica TS</v>
      </c>
      <c r="D130" s="61" t="str">
        <f>IFERROR(__xludf.DUMMYFUNCTION("IMPORTRANGE(""https://docs.google.com/spreadsheets/d/17pV1h3QXEhKsouzqT-wmZrwWCzREFYcQVORu3OKO97k/edit?gid=250502500#gid=250502500"",""PRODUTOS!F2"")"),"AERTECNICA")</f>
        <v>AERTECNICA</v>
      </c>
      <c r="E130" s="50">
        <v>0.0</v>
      </c>
      <c r="F130" s="51">
        <v>0.0</v>
      </c>
      <c r="G130" s="51">
        <v>0.0</v>
      </c>
      <c r="H130" s="52">
        <f>IFERROR(__xludf.DUMMYFUNCTION("""COMPUTED_VALUE"""),1315.0)</f>
        <v>1315</v>
      </c>
      <c r="I130" s="53">
        <f t="shared" si="1"/>
        <v>0</v>
      </c>
      <c r="J130" s="12"/>
      <c r="K130" s="1"/>
      <c r="L130" s="1"/>
      <c r="M130" s="1"/>
      <c r="N130" s="1"/>
      <c r="O130" s="1"/>
      <c r="P130" s="1"/>
      <c r="Q130" s="1"/>
      <c r="R130" s="1"/>
      <c r="S130" s="1"/>
      <c r="T130" s="1"/>
      <c r="U130" s="1"/>
      <c r="V130" s="1"/>
      <c r="W130" s="1"/>
      <c r="X130" s="1"/>
      <c r="Y130" s="1"/>
      <c r="Z130" s="1"/>
    </row>
    <row r="131">
      <c r="A131" s="1"/>
      <c r="B131" s="1"/>
      <c r="C131" s="54" t="str">
        <f>IFERROR(__xludf.DUMMYFUNCTION("""COMPUTED_VALUE"""),"Ponteira cromada  com interruptor ON/OFF")</f>
        <v>Ponteira cromada  com interruptor ON/OFF</v>
      </c>
      <c r="D131" s="64" t="str">
        <f>IFERROR(__xludf.DUMMYFUNCTION("IMPORTRANGE(""https://docs.google.com/spreadsheets/d/17pV1h3QXEhKsouzqT-wmZrwWCzREFYcQVORu3OKO97k/edit?gid=250502500#gid=250502500"",""PRODUTOS!F2"")"),"AERTECNICA")</f>
        <v>AERTECNICA</v>
      </c>
      <c r="E131" s="56">
        <v>0.0</v>
      </c>
      <c r="F131" s="57">
        <v>0.0</v>
      </c>
      <c r="G131" s="57">
        <v>0.0</v>
      </c>
      <c r="H131" s="58">
        <f>IFERROR(__xludf.DUMMYFUNCTION("""COMPUTED_VALUE"""),613.64)</f>
        <v>613.64</v>
      </c>
      <c r="I131" s="59">
        <f t="shared" si="1"/>
        <v>0</v>
      </c>
      <c r="J131" s="12"/>
      <c r="K131" s="1"/>
      <c r="L131" s="1"/>
      <c r="M131" s="1"/>
      <c r="N131" s="1"/>
      <c r="O131" s="1"/>
      <c r="P131" s="1"/>
      <c r="Q131" s="1"/>
      <c r="R131" s="1"/>
      <c r="S131" s="1"/>
      <c r="T131" s="1"/>
      <c r="U131" s="1"/>
      <c r="V131" s="1"/>
      <c r="W131" s="1"/>
      <c r="X131" s="1"/>
      <c r="Y131" s="1"/>
      <c r="Z131" s="1"/>
    </row>
    <row r="132">
      <c r="A132" s="1"/>
      <c r="B132" s="1"/>
      <c r="C132" s="48" t="str">
        <f>IFERROR(__xludf.DUMMYFUNCTION("""COMPUTED_VALUE"""),"Proteção de mangueira")</f>
        <v>Proteção de mangueira</v>
      </c>
      <c r="D132" s="61" t="str">
        <f>IFERROR(__xludf.DUMMYFUNCTION("IMPORTRANGE(""https://docs.google.com/spreadsheets/d/17pV1h3QXEhKsouzqT-wmZrwWCzREFYcQVORu3OKO97k/edit?gid=250502500#gid=250502500"",""PRODUTOS!F2"")"),"AERTECNICA")</f>
        <v>AERTECNICA</v>
      </c>
      <c r="E132" s="50">
        <v>0.0</v>
      </c>
      <c r="F132" s="51">
        <v>0.0</v>
      </c>
      <c r="G132" s="51">
        <v>0.0</v>
      </c>
      <c r="H132" s="52">
        <f>IFERROR(__xludf.DUMMYFUNCTION("""COMPUTED_VALUE"""),1236.21)</f>
        <v>1236.21</v>
      </c>
      <c r="I132" s="53">
        <f t="shared" si="1"/>
        <v>0</v>
      </c>
      <c r="J132" s="12"/>
      <c r="K132" s="1"/>
      <c r="L132" s="1"/>
      <c r="M132" s="1"/>
      <c r="N132" s="1"/>
      <c r="O132" s="1"/>
      <c r="P132" s="1"/>
      <c r="Q132" s="1"/>
      <c r="R132" s="1"/>
      <c r="S132" s="1"/>
      <c r="T132" s="1"/>
      <c r="U132" s="1"/>
      <c r="V132" s="1"/>
      <c r="W132" s="1"/>
      <c r="X132" s="1"/>
      <c r="Y132" s="1"/>
      <c r="Z132" s="1"/>
    </row>
    <row r="133">
      <c r="A133" s="1"/>
      <c r="B133" s="1"/>
      <c r="C133" s="54" t="str">
        <f>IFERROR(__xludf.DUMMYFUNCTION("""COMPUTED_VALUE"""),"Recepiente de pó para central QB")</f>
        <v>Recepiente de pó para central QB</v>
      </c>
      <c r="D133" s="64" t="str">
        <f>IFERROR(__xludf.DUMMYFUNCTION("IMPORTRANGE(""https://docs.google.com/spreadsheets/d/17pV1h3QXEhKsouzqT-wmZrwWCzREFYcQVORu3OKO97k/edit?gid=250502500#gid=250502500"",""PRODUTOS!F2"")"),"AERTECNICA")</f>
        <v>AERTECNICA</v>
      </c>
      <c r="E133" s="56">
        <v>0.0</v>
      </c>
      <c r="F133" s="57">
        <v>0.0</v>
      </c>
      <c r="G133" s="57">
        <v>0.0</v>
      </c>
      <c r="H133" s="58">
        <f>IFERROR(__xludf.DUMMYFUNCTION("""COMPUTED_VALUE"""),489.2)</f>
        <v>489.2</v>
      </c>
      <c r="I133" s="59">
        <f t="shared" si="1"/>
        <v>0</v>
      </c>
      <c r="J133" s="12"/>
      <c r="K133" s="1"/>
      <c r="L133" s="1"/>
      <c r="M133" s="1"/>
      <c r="N133" s="1"/>
      <c r="O133" s="1"/>
      <c r="P133" s="1"/>
      <c r="Q133" s="1"/>
      <c r="R133" s="1"/>
      <c r="S133" s="1"/>
      <c r="T133" s="1"/>
      <c r="U133" s="1"/>
      <c r="V133" s="1"/>
      <c r="W133" s="1"/>
      <c r="X133" s="1"/>
      <c r="Y133" s="1"/>
      <c r="Z133" s="1"/>
    </row>
    <row r="134">
      <c r="A134" s="1"/>
      <c r="B134" s="1"/>
      <c r="C134" s="48" t="str">
        <f>IFERROR(__xludf.DUMMYFUNCTION("""COMPUTED_VALUE"""),"Robô turbo com base de auto limpeza")</f>
        <v>Robô turbo com base de auto limpeza</v>
      </c>
      <c r="D134" s="61" t="str">
        <f>IFERROR(__xludf.DUMMYFUNCTION("IMPORTRANGE(""https://docs.google.com/spreadsheets/d/17pV1h3QXEhKsouzqT-wmZrwWCzREFYcQVORu3OKO97k/edit?gid=250502500#gid=250502500"",""PRODUTOS!F2"")"),"AERTECNICA")</f>
        <v>AERTECNICA</v>
      </c>
      <c r="E134" s="50">
        <v>0.0</v>
      </c>
      <c r="F134" s="51">
        <v>0.0</v>
      </c>
      <c r="G134" s="51">
        <v>0.0</v>
      </c>
      <c r="H134" s="52">
        <f>IFERROR(__xludf.DUMMYFUNCTION("""COMPUTED_VALUE"""),13028.79)</f>
        <v>13028.79</v>
      </c>
      <c r="I134" s="53">
        <f t="shared" si="1"/>
        <v>0</v>
      </c>
      <c r="J134" s="12"/>
      <c r="K134" s="1"/>
      <c r="L134" s="1"/>
      <c r="M134" s="1"/>
      <c r="N134" s="1"/>
      <c r="O134" s="1"/>
      <c r="P134" s="1"/>
      <c r="Q134" s="1"/>
      <c r="R134" s="1"/>
      <c r="S134" s="1"/>
      <c r="T134" s="1"/>
      <c r="U134" s="1"/>
      <c r="V134" s="1"/>
      <c r="W134" s="1"/>
      <c r="X134" s="1"/>
      <c r="Y134" s="1"/>
      <c r="Z134" s="1"/>
    </row>
    <row r="135">
      <c r="A135" s="1"/>
      <c r="B135" s="1"/>
      <c r="C135" s="54" t="str">
        <f>IFERROR(__xludf.DUMMYFUNCTION("""COMPUTED_VALUE"""),"Sacos CLEAN BAG com sistema de fecho hermético para centrais TX1A,TP1A, TP1, TX2A,  TP2A, TP2 (embal. 5 un)")</f>
        <v>Sacos CLEAN BAG com sistema de fecho hermético para centrais TX1A,TP1A, TP1, TX2A,  TP2A, TP2 (embal. 5 un)</v>
      </c>
      <c r="D135" s="64" t="str">
        <f>IFERROR(__xludf.DUMMYFUNCTION("IMPORTRANGE(""https://docs.google.com/spreadsheets/d/17pV1h3QXEhKsouzqT-wmZrwWCzREFYcQVORu3OKO97k/edit?gid=250502500#gid=250502500"",""PRODUTOS!F2"")"),"AERTECNICA")</f>
        <v>AERTECNICA</v>
      </c>
      <c r="E135" s="56">
        <v>0.0</v>
      </c>
      <c r="F135" s="57">
        <v>0.0</v>
      </c>
      <c r="G135" s="57">
        <v>0.0</v>
      </c>
      <c r="H135" s="58">
        <f>IFERROR(__xludf.DUMMYFUNCTION("""COMPUTED_VALUE"""),107.76)</f>
        <v>107.76</v>
      </c>
      <c r="I135" s="59">
        <f t="shared" si="1"/>
        <v>0</v>
      </c>
      <c r="J135" s="12"/>
      <c r="K135" s="1"/>
      <c r="L135" s="1"/>
      <c r="M135" s="1"/>
      <c r="N135" s="1"/>
      <c r="O135" s="1"/>
      <c r="P135" s="1"/>
      <c r="Q135" s="1"/>
      <c r="R135" s="1"/>
      <c r="S135" s="1"/>
      <c r="T135" s="1"/>
      <c r="U135" s="1"/>
      <c r="V135" s="1"/>
      <c r="W135" s="1"/>
      <c r="X135" s="1"/>
      <c r="Y135" s="1"/>
      <c r="Z135" s="1"/>
    </row>
    <row r="136">
      <c r="A136" s="1"/>
      <c r="B136" s="1"/>
      <c r="C136" s="48" t="str">
        <f>IFERROR(__xludf.DUMMYFUNCTION("""COMPUTED_VALUE"""),"Sacos CLEAN BAG com sistema de fecho hermético para centrais TX3A, TX4A, TP3A, TP3, TP4A, TP4 (embal. 5 un)")</f>
        <v>Sacos CLEAN BAG com sistema de fecho hermético para centrais TX3A, TX4A, TP3A, TP3, TP4A, TP4 (embal. 5 un)</v>
      </c>
      <c r="D136" s="61" t="str">
        <f>IFERROR(__xludf.DUMMYFUNCTION("IMPORTRANGE(""https://docs.google.com/spreadsheets/d/17pV1h3QXEhKsouzqT-wmZrwWCzREFYcQVORu3OKO97k/edit?gid=250502500#gid=250502500"",""PRODUTOS!F2"")"),"AERTECNICA")</f>
        <v>AERTECNICA</v>
      </c>
      <c r="E136" s="50">
        <v>0.0</v>
      </c>
      <c r="F136" s="51">
        <v>0.0</v>
      </c>
      <c r="G136" s="51">
        <v>0.0</v>
      </c>
      <c r="H136" s="52">
        <f>IFERROR(__xludf.DUMMYFUNCTION("""COMPUTED_VALUE"""),267.27)</f>
        <v>267.27</v>
      </c>
      <c r="I136" s="53">
        <f t="shared" si="1"/>
        <v>0</v>
      </c>
      <c r="J136" s="12"/>
      <c r="K136" s="1"/>
      <c r="L136" s="1"/>
      <c r="M136" s="1"/>
      <c r="N136" s="1"/>
      <c r="O136" s="1"/>
      <c r="P136" s="1"/>
      <c r="Q136" s="1"/>
      <c r="R136" s="1"/>
      <c r="S136" s="1"/>
      <c r="T136" s="1"/>
      <c r="U136" s="1"/>
      <c r="V136" s="1"/>
      <c r="W136" s="1"/>
      <c r="X136" s="1"/>
      <c r="Y136" s="1"/>
      <c r="Z136" s="1"/>
    </row>
    <row r="137">
      <c r="A137" s="1"/>
      <c r="B137" s="1"/>
      <c r="C137" s="54" t="str">
        <f>IFERROR(__xludf.DUMMYFUNCTION("""COMPUTED_VALUE"""),"Separador de Cinzas de plástico de 20 litros, com acessórios, Ø32")</f>
        <v>Separador de Cinzas de plástico de 20 litros, com acessórios, Ø32</v>
      </c>
      <c r="D137" s="64" t="str">
        <f>IFERROR(__xludf.DUMMYFUNCTION("IMPORTRANGE(""https://docs.google.com/spreadsheets/d/17pV1h3QXEhKsouzqT-wmZrwWCzREFYcQVORu3OKO97k/edit?gid=250502500#gid=250502500"",""PRODUTOS!F2"")"),"AERTECNICA")</f>
        <v>AERTECNICA</v>
      </c>
      <c r="E137" s="56">
        <v>0.0</v>
      </c>
      <c r="F137" s="57">
        <v>0.0</v>
      </c>
      <c r="G137" s="57">
        <v>0.0</v>
      </c>
      <c r="H137" s="58">
        <f>IFERROR(__xludf.DUMMYFUNCTION("""COMPUTED_VALUE"""),326.06)</f>
        <v>326.06</v>
      </c>
      <c r="I137" s="59">
        <f t="shared" si="1"/>
        <v>0</v>
      </c>
      <c r="J137" s="12"/>
      <c r="K137" s="1"/>
      <c r="L137" s="1"/>
      <c r="M137" s="1"/>
      <c r="N137" s="1"/>
      <c r="O137" s="1"/>
      <c r="P137" s="1"/>
      <c r="Q137" s="1"/>
      <c r="R137" s="1"/>
      <c r="S137" s="1"/>
      <c r="T137" s="1"/>
      <c r="U137" s="1"/>
      <c r="V137" s="1"/>
      <c r="W137" s="1"/>
      <c r="X137" s="1"/>
      <c r="Y137" s="1"/>
      <c r="Z137" s="1"/>
    </row>
    <row r="138">
      <c r="A138" s="1"/>
      <c r="B138" s="1"/>
      <c r="C138" s="48" t="str">
        <f>IFERROR(__xludf.DUMMYFUNCTION("""COMPUTED_VALUE"""),"Separador de líquidos de plástico de 16 litros, com acessórios, Ø32  SEM ESTOQUE")</f>
        <v>Separador de líquidos de plástico de 16 litros, com acessórios, Ø32  SEM ESTOQUE</v>
      </c>
      <c r="D138" s="61" t="str">
        <f>IFERROR(__xludf.DUMMYFUNCTION("IMPORTRANGE(""https://docs.google.com/spreadsheets/d/17pV1h3QXEhKsouzqT-wmZrwWCzREFYcQVORu3OKO97k/edit?gid=250502500#gid=250502500"",""PRODUTOS!F2"")"),"AERTECNICA")</f>
        <v>AERTECNICA</v>
      </c>
      <c r="E138" s="50">
        <v>0.0</v>
      </c>
      <c r="F138" s="51">
        <v>0.0</v>
      </c>
      <c r="G138" s="51">
        <v>0.0</v>
      </c>
      <c r="H138" s="52">
        <f>IFERROR(__xludf.DUMMYFUNCTION("""COMPUTED_VALUE"""),1625.76)</f>
        <v>1625.76</v>
      </c>
      <c r="I138" s="53">
        <f t="shared" si="1"/>
        <v>0</v>
      </c>
      <c r="J138" s="12"/>
      <c r="K138" s="1"/>
      <c r="L138" s="1"/>
      <c r="M138" s="1"/>
      <c r="N138" s="1"/>
      <c r="O138" s="1"/>
      <c r="P138" s="1"/>
      <c r="Q138" s="1"/>
      <c r="R138" s="1"/>
      <c r="S138" s="1"/>
      <c r="T138" s="1"/>
      <c r="U138" s="1"/>
      <c r="V138" s="1"/>
      <c r="W138" s="1"/>
      <c r="X138" s="1"/>
      <c r="Y138" s="1"/>
      <c r="Z138" s="1"/>
    </row>
    <row r="139">
      <c r="A139" s="1"/>
      <c r="B139" s="1"/>
      <c r="C139" s="54" t="str">
        <f>IFERROR(__xludf.DUMMYFUNCTION("""COMPUTED_VALUE"""),"Silenciador para central de aspiração")</f>
        <v>Silenciador para central de aspiração</v>
      </c>
      <c r="D139" s="64" t="str">
        <f>IFERROR(__xludf.DUMMYFUNCTION("IMPORTRANGE(""https://docs.google.com/spreadsheets/d/17pV1h3QXEhKsouzqT-wmZrwWCzREFYcQVORu3OKO97k/edit?gid=250502500#gid=250502500"",""PRODUTOS!F2"")"),"AERTECNICA")</f>
        <v>AERTECNICA</v>
      </c>
      <c r="E139" s="56">
        <v>0.0</v>
      </c>
      <c r="F139" s="57">
        <v>0.0</v>
      </c>
      <c r="G139" s="57">
        <v>0.0</v>
      </c>
      <c r="H139" s="58">
        <f>IFERROR(__xludf.DUMMYFUNCTION("""COMPUTED_VALUE"""),32.7)</f>
        <v>32.7</v>
      </c>
      <c r="I139" s="59">
        <f t="shared" si="1"/>
        <v>0</v>
      </c>
      <c r="J139" s="12"/>
      <c r="K139" s="1"/>
      <c r="L139" s="1"/>
      <c r="M139" s="1"/>
      <c r="N139" s="1"/>
      <c r="O139" s="1"/>
      <c r="P139" s="1"/>
      <c r="Q139" s="1"/>
      <c r="R139" s="1"/>
      <c r="S139" s="1"/>
      <c r="T139" s="1"/>
      <c r="U139" s="1"/>
      <c r="V139" s="1"/>
      <c r="W139" s="1"/>
      <c r="X139" s="1"/>
      <c r="Y139" s="1"/>
      <c r="Z139" s="1"/>
    </row>
    <row r="140">
      <c r="A140" s="1"/>
      <c r="B140" s="1"/>
      <c r="C140" s="48" t="str">
        <f>IFERROR(__xludf.DUMMYFUNCTION("""COMPUTED_VALUE"""),"Tampa de acabamento para Central Q200")</f>
        <v>Tampa de acabamento para Central Q200</v>
      </c>
      <c r="D140" s="61" t="str">
        <f>IFERROR(__xludf.DUMMYFUNCTION("IMPORTRANGE(""https://docs.google.com/spreadsheets/d/17pV1h3QXEhKsouzqT-wmZrwWCzREFYcQVORu3OKO97k/edit?gid=250502500#gid=250502500"",""PRODUTOS!F2"")"),"AERTECNICA")</f>
        <v>AERTECNICA</v>
      </c>
      <c r="E140" s="50">
        <v>0.0</v>
      </c>
      <c r="F140" s="51">
        <v>0.0</v>
      </c>
      <c r="G140" s="51">
        <v>0.0</v>
      </c>
      <c r="H140" s="52">
        <f>IFERROR(__xludf.DUMMYFUNCTION("""COMPUTED_VALUE"""),738.64)</f>
        <v>738.64</v>
      </c>
      <c r="I140" s="53">
        <f t="shared" si="1"/>
        <v>0</v>
      </c>
      <c r="J140" s="12"/>
      <c r="K140" s="1"/>
      <c r="L140" s="1"/>
      <c r="M140" s="1"/>
      <c r="N140" s="1"/>
      <c r="O140" s="1"/>
      <c r="P140" s="1"/>
      <c r="Q140" s="1"/>
      <c r="R140" s="1"/>
      <c r="S140" s="1"/>
      <c r="T140" s="1"/>
      <c r="U140" s="1"/>
      <c r="V140" s="1"/>
      <c r="W140" s="1"/>
      <c r="X140" s="1"/>
      <c r="Y140" s="1"/>
      <c r="Z140" s="1"/>
    </row>
    <row r="141">
      <c r="A141" s="1"/>
      <c r="B141" s="1"/>
      <c r="C141" s="54" t="str">
        <f>IFERROR(__xludf.DUMMYFUNCTION("""COMPUTED_VALUE"""),"Tampa de teste para tomada modelo New Air")</f>
        <v>Tampa de teste para tomada modelo New Air</v>
      </c>
      <c r="D141" s="64" t="str">
        <f>IFERROR(__xludf.DUMMYFUNCTION("IMPORTRANGE(""https://docs.google.com/spreadsheets/d/17pV1h3QXEhKsouzqT-wmZrwWCzREFYcQVORu3OKO97k/edit?gid=250502500#gid=250502500"",""PRODUTOS!F2"")"),"AERTECNICA")</f>
        <v>AERTECNICA</v>
      </c>
      <c r="E141" s="56">
        <v>0.0</v>
      </c>
      <c r="F141" s="57">
        <v>0.0</v>
      </c>
      <c r="G141" s="57">
        <v>0.0</v>
      </c>
      <c r="H141" s="58">
        <f>IFERROR(__xludf.DUMMYFUNCTION("""COMPUTED_VALUE"""),57.02)</f>
        <v>57.02</v>
      </c>
      <c r="I141" s="59">
        <f t="shared" si="1"/>
        <v>0</v>
      </c>
      <c r="J141" s="12"/>
      <c r="K141" s="1"/>
      <c r="L141" s="1"/>
      <c r="M141" s="1"/>
      <c r="N141" s="1"/>
      <c r="O141" s="1"/>
      <c r="P141" s="1"/>
      <c r="Q141" s="1"/>
      <c r="R141" s="1"/>
      <c r="S141" s="1"/>
      <c r="T141" s="1"/>
      <c r="U141" s="1"/>
      <c r="V141" s="1"/>
      <c r="W141" s="1"/>
      <c r="X141" s="1"/>
      <c r="Y141" s="1"/>
      <c r="Z141" s="1"/>
    </row>
    <row r="142">
      <c r="A142" s="1"/>
      <c r="B142" s="1"/>
      <c r="C142" s="48" t="str">
        <f>IFERROR(__xludf.DUMMYFUNCTION("""COMPUTED_VALUE"""),"Tomada Branca Padrão Americano
(Item não disponível no estoque, venda sob encomenda)")</f>
        <v>Tomada Branca Padrão Americano
(Item não disponível no estoque, venda sob encomenda)</v>
      </c>
      <c r="D142" s="61" t="str">
        <f>IFERROR(__xludf.DUMMYFUNCTION("IMPORTRANGE(""https://docs.google.com/spreadsheets/d/17pV1h3QXEhKsouzqT-wmZrwWCzREFYcQVORu3OKO97k/edit?gid=250502500#gid=250502500"",""PRODUTOS!F2"")"),"AERTECNICA")</f>
        <v>AERTECNICA</v>
      </c>
      <c r="E142" s="50">
        <v>0.0</v>
      </c>
      <c r="F142" s="51">
        <v>0.0</v>
      </c>
      <c r="G142" s="51">
        <v>0.0</v>
      </c>
      <c r="H142" s="52">
        <f>IFERROR(__xludf.DUMMYFUNCTION("""COMPUTED_VALUE"""),66.71)</f>
        <v>66.71</v>
      </c>
      <c r="I142" s="53">
        <f t="shared" si="1"/>
        <v>0</v>
      </c>
      <c r="J142" s="12"/>
      <c r="K142" s="1"/>
      <c r="L142" s="1"/>
      <c r="M142" s="1"/>
      <c r="N142" s="1"/>
      <c r="O142" s="1"/>
      <c r="P142" s="1"/>
      <c r="Q142" s="1"/>
      <c r="R142" s="1"/>
      <c r="S142" s="1"/>
      <c r="T142" s="1"/>
      <c r="U142" s="1"/>
      <c r="V142" s="1"/>
      <c r="W142" s="1"/>
      <c r="X142" s="1"/>
      <c r="Y142" s="1"/>
      <c r="Z142" s="1"/>
    </row>
    <row r="143">
      <c r="A143" s="1"/>
      <c r="B143" s="1"/>
      <c r="C143" s="54" t="str">
        <f>IFERROR(__xludf.DUMMYFUNCTION("""COMPUTED_VALUE"""),"Tomada Btcino Axolute com suporte - Branca (Item não disponível no estoque, venda sob encomenda)")</f>
        <v>Tomada Btcino Axolute com suporte - Branca (Item não disponível no estoque, venda sob encomenda)</v>
      </c>
      <c r="D143" s="64" t="str">
        <f>IFERROR(__xludf.DUMMYFUNCTION("IMPORTRANGE(""https://docs.google.com/spreadsheets/d/17pV1h3QXEhKsouzqT-wmZrwWCzREFYcQVORu3OKO97k/edit?gid=250502500#gid=250502500"",""PRODUTOS!F2"")"),"AERTECNICA")</f>
        <v>AERTECNICA</v>
      </c>
      <c r="E143" s="56">
        <v>0.0</v>
      </c>
      <c r="F143" s="57">
        <v>0.0</v>
      </c>
      <c r="G143" s="57">
        <v>0.0</v>
      </c>
      <c r="H143" s="58">
        <f>IFERROR(__xludf.DUMMYFUNCTION("""COMPUTED_VALUE"""),266.38)</f>
        <v>266.38</v>
      </c>
      <c r="I143" s="59">
        <f t="shared" si="1"/>
        <v>0</v>
      </c>
      <c r="J143" s="12"/>
      <c r="K143" s="1"/>
      <c r="L143" s="1"/>
      <c r="M143" s="1"/>
      <c r="N143" s="1"/>
      <c r="O143" s="1"/>
      <c r="P143" s="1"/>
      <c r="Q143" s="1"/>
      <c r="R143" s="1"/>
      <c r="S143" s="1"/>
      <c r="T143" s="1"/>
      <c r="U143" s="1"/>
      <c r="V143" s="1"/>
      <c r="W143" s="1"/>
      <c r="X143" s="1"/>
      <c r="Y143" s="1"/>
      <c r="Z143" s="1"/>
    </row>
    <row r="144">
      <c r="A144" s="1"/>
      <c r="B144" s="1"/>
      <c r="C144" s="48" t="str">
        <f>IFERROR(__xludf.DUMMYFUNCTION("""COMPUTED_VALUE"""),"Tomada Btcino Axolute com suporte - Cinza (Item não disponível no estoque, venda sob encomenda)")</f>
        <v>Tomada Btcino Axolute com suporte - Cinza (Item não disponível no estoque, venda sob encomenda)</v>
      </c>
      <c r="D144" s="61" t="str">
        <f>IFERROR(__xludf.DUMMYFUNCTION("IMPORTRANGE(""https://docs.google.com/spreadsheets/d/17pV1h3QXEhKsouzqT-wmZrwWCzREFYcQVORu3OKO97k/edit?gid=250502500#gid=250502500"",""PRODUTOS!F2"")"),"AERTECNICA")</f>
        <v>AERTECNICA</v>
      </c>
      <c r="E144" s="50">
        <v>0.0</v>
      </c>
      <c r="F144" s="51">
        <v>0.0</v>
      </c>
      <c r="G144" s="51">
        <v>0.0</v>
      </c>
      <c r="H144" s="52">
        <f>IFERROR(__xludf.DUMMYFUNCTION("""COMPUTED_VALUE"""),352.0)</f>
        <v>352</v>
      </c>
      <c r="I144" s="53">
        <f t="shared" si="1"/>
        <v>0</v>
      </c>
      <c r="J144" s="12"/>
      <c r="K144" s="1"/>
      <c r="L144" s="1"/>
      <c r="M144" s="1"/>
      <c r="N144" s="1"/>
      <c r="O144" s="1"/>
      <c r="P144" s="1"/>
      <c r="Q144" s="1"/>
      <c r="R144" s="1"/>
      <c r="S144" s="1"/>
      <c r="T144" s="1"/>
      <c r="U144" s="1"/>
      <c r="V144" s="1"/>
      <c r="W144" s="1"/>
      <c r="X144" s="1"/>
      <c r="Y144" s="1"/>
      <c r="Z144" s="1"/>
    </row>
    <row r="145">
      <c r="A145" s="1"/>
      <c r="B145" s="1"/>
      <c r="C145" s="54" t="str">
        <f>IFERROR(__xludf.DUMMYFUNCTION("""COMPUTED_VALUE"""),"Tomada de Aspiração New Air Logik (Branca)")</f>
        <v>Tomada de Aspiração New Air Logik (Branca)</v>
      </c>
      <c r="D145" s="64" t="str">
        <f>IFERROR(__xludf.DUMMYFUNCTION("IMPORTRANGE(""https://docs.google.com/spreadsheets/d/17pV1h3QXEhKsouzqT-wmZrwWCzREFYcQVORu3OKO97k/edit?gid=250502500#gid=250502500"",""PRODUTOS!F2"")"),"AERTECNICA")</f>
        <v>AERTECNICA</v>
      </c>
      <c r="E145" s="56">
        <v>0.0</v>
      </c>
      <c r="F145" s="57">
        <v>0.0</v>
      </c>
      <c r="G145" s="57">
        <v>0.0</v>
      </c>
      <c r="H145" s="58">
        <f>IFERROR(__xludf.DUMMYFUNCTION("""COMPUTED_VALUE"""),131.67)</f>
        <v>131.67</v>
      </c>
      <c r="I145" s="59">
        <f t="shared" si="1"/>
        <v>0</v>
      </c>
      <c r="J145" s="12"/>
      <c r="K145" s="1"/>
      <c r="L145" s="1"/>
      <c r="M145" s="1"/>
      <c r="N145" s="1"/>
      <c r="O145" s="1"/>
      <c r="P145" s="1"/>
      <c r="Q145" s="1"/>
      <c r="R145" s="1"/>
      <c r="S145" s="1"/>
      <c r="T145" s="1"/>
      <c r="U145" s="1"/>
      <c r="V145" s="1"/>
      <c r="W145" s="1"/>
      <c r="X145" s="1"/>
      <c r="Y145" s="1"/>
      <c r="Z145" s="1"/>
    </row>
    <row r="146">
      <c r="A146" s="1"/>
      <c r="B146" s="1"/>
      <c r="C146" s="48" t="str">
        <f>IFERROR(__xludf.DUMMYFUNCTION("""COMPUTED_VALUE"""),"Tomada de Aspiração Sirio New Air (Branca)")</f>
        <v>Tomada de Aspiração Sirio New Air (Branca)</v>
      </c>
      <c r="D146" s="61" t="str">
        <f>IFERROR(__xludf.DUMMYFUNCTION("IMPORTRANGE(""https://docs.google.com/spreadsheets/d/17pV1h3QXEhKsouzqT-wmZrwWCzREFYcQVORu3OKO97k/edit?gid=250502500#gid=250502500"",""PRODUTOS!F2"")"),"AERTECNICA")</f>
        <v>AERTECNICA</v>
      </c>
      <c r="E146" s="50">
        <v>0.0</v>
      </c>
      <c r="F146" s="51">
        <v>0.0</v>
      </c>
      <c r="G146" s="51">
        <v>0.0</v>
      </c>
      <c r="H146" s="52">
        <f>IFERROR(__xludf.DUMMYFUNCTION("""COMPUTED_VALUE"""),219.7)</f>
        <v>219.7</v>
      </c>
      <c r="I146" s="53">
        <f t="shared" si="1"/>
        <v>0</v>
      </c>
      <c r="J146" s="12"/>
      <c r="K146" s="1"/>
      <c r="L146" s="1"/>
      <c r="M146" s="1"/>
      <c r="N146" s="1"/>
      <c r="O146" s="1"/>
      <c r="P146" s="1"/>
      <c r="Q146" s="1"/>
      <c r="R146" s="1"/>
      <c r="S146" s="1"/>
      <c r="T146" s="1"/>
      <c r="U146" s="1"/>
      <c r="V146" s="1"/>
      <c r="W146" s="1"/>
      <c r="X146" s="1"/>
      <c r="Y146" s="1"/>
      <c r="Z146" s="1"/>
    </row>
    <row r="147">
      <c r="A147" s="1"/>
      <c r="B147" s="1"/>
      <c r="C147" s="54" t="str">
        <f>IFERROR(__xludf.DUMMYFUNCTION("""COMPUTED_VALUE"""),"Tomada de Aspiração Sirio New Air Confort (Branca) (Item não disponível no estoque, venda sob encomenda)")</f>
        <v>Tomada de Aspiração Sirio New Air Confort (Branca) (Item não disponível no estoque, venda sob encomenda)</v>
      </c>
      <c r="D147" s="64" t="str">
        <f>IFERROR(__xludf.DUMMYFUNCTION("IMPORTRANGE(""https://docs.google.com/spreadsheets/d/17pV1h3QXEhKsouzqT-wmZrwWCzREFYcQVORu3OKO97k/edit?gid=250502500#gid=250502500"",""PRODUTOS!F2"")"),"AERTECNICA")</f>
        <v>AERTECNICA</v>
      </c>
      <c r="E147" s="56">
        <v>0.0</v>
      </c>
      <c r="F147" s="57">
        <v>0.0</v>
      </c>
      <c r="G147" s="57">
        <v>0.0</v>
      </c>
      <c r="H147" s="58">
        <f>IFERROR(__xludf.DUMMYFUNCTION("""COMPUTED_VALUE"""),210.88)</f>
        <v>210.88</v>
      </c>
      <c r="I147" s="59">
        <f t="shared" si="1"/>
        <v>0</v>
      </c>
      <c r="J147" s="12"/>
      <c r="K147" s="1"/>
      <c r="L147" s="1"/>
      <c r="M147" s="1"/>
      <c r="N147" s="1"/>
      <c r="O147" s="1"/>
      <c r="P147" s="1"/>
      <c r="Q147" s="1"/>
      <c r="R147" s="1"/>
      <c r="S147" s="1"/>
      <c r="T147" s="1"/>
      <c r="U147" s="1"/>
      <c r="V147" s="1"/>
      <c r="W147" s="1"/>
      <c r="X147" s="1"/>
      <c r="Y147" s="1"/>
      <c r="Z147" s="1"/>
    </row>
    <row r="148">
      <c r="A148" s="1"/>
      <c r="B148" s="1"/>
      <c r="C148" s="48" t="str">
        <f>IFERROR(__xludf.DUMMYFUNCTION("""COMPUTED_VALUE"""),"Tomada de Aspiração Vacpan BRANCA com mangueira para conexão")</f>
        <v>Tomada de Aspiração Vacpan BRANCA com mangueira para conexão</v>
      </c>
      <c r="D148" s="61" t="str">
        <f>IFERROR(__xludf.DUMMYFUNCTION("IMPORTRANGE(""https://docs.google.com/spreadsheets/d/17pV1h3QXEhKsouzqT-wmZrwWCzREFYcQVORu3OKO97k/edit?gid=250502500#gid=250502500"",""PRODUTOS!F2"")"),"AERTECNICA")</f>
        <v>AERTECNICA</v>
      </c>
      <c r="E148" s="50">
        <v>0.0</v>
      </c>
      <c r="F148" s="51">
        <v>0.0</v>
      </c>
      <c r="G148" s="51">
        <v>0.0</v>
      </c>
      <c r="H148" s="52">
        <f>IFERROR(__xludf.DUMMYFUNCTION("""COMPUTED_VALUE"""),472.2)</f>
        <v>472.2</v>
      </c>
      <c r="I148" s="53">
        <f t="shared" si="1"/>
        <v>0</v>
      </c>
      <c r="J148" s="12"/>
      <c r="K148" s="1"/>
      <c r="L148" s="1"/>
      <c r="M148" s="1"/>
      <c r="N148" s="1"/>
      <c r="O148" s="1"/>
      <c r="P148" s="1"/>
      <c r="Q148" s="1"/>
      <c r="R148" s="1"/>
      <c r="S148" s="1"/>
      <c r="T148" s="1"/>
      <c r="U148" s="1"/>
      <c r="V148" s="1"/>
      <c r="W148" s="1"/>
      <c r="X148" s="1"/>
      <c r="Y148" s="1"/>
      <c r="Z148" s="1"/>
    </row>
    <row r="149">
      <c r="A149" s="1"/>
      <c r="B149" s="1"/>
      <c r="C149" s="54" t="str">
        <f>IFERROR(__xludf.DUMMYFUNCTION("""COMPUTED_VALUE"""),"Tomada de Aspiração Vacpan PRETA com mangueira para conexão")</f>
        <v>Tomada de Aspiração Vacpan PRETA com mangueira para conexão</v>
      </c>
      <c r="D149" s="64" t="str">
        <f>IFERROR(__xludf.DUMMYFUNCTION("IMPORTRANGE(""https://docs.google.com/spreadsheets/d/17pV1h3QXEhKsouzqT-wmZrwWCzREFYcQVORu3OKO97k/edit?gid=250502500#gid=250502500"",""PRODUTOS!F2"")"),"AERTECNICA")</f>
        <v>AERTECNICA</v>
      </c>
      <c r="E149" s="56">
        <v>0.0</v>
      </c>
      <c r="F149" s="57">
        <v>0.0</v>
      </c>
      <c r="G149" s="57">
        <v>0.0</v>
      </c>
      <c r="H149" s="58">
        <f>IFERROR(__xludf.DUMMYFUNCTION("""COMPUTED_VALUE"""),472.2)</f>
        <v>472.2</v>
      </c>
      <c r="I149" s="59">
        <f t="shared" si="1"/>
        <v>0</v>
      </c>
      <c r="J149" s="12"/>
      <c r="K149" s="1"/>
      <c r="L149" s="1"/>
      <c r="M149" s="1"/>
      <c r="N149" s="1"/>
      <c r="O149" s="1"/>
      <c r="P149" s="1"/>
      <c r="Q149" s="1"/>
      <c r="R149" s="1"/>
      <c r="S149" s="1"/>
      <c r="T149" s="1"/>
      <c r="U149" s="1"/>
      <c r="V149" s="1"/>
      <c r="W149" s="1"/>
      <c r="X149" s="1"/>
      <c r="Y149" s="1"/>
      <c r="Z149" s="1"/>
    </row>
    <row r="150">
      <c r="A150" s="1"/>
      <c r="B150" s="1"/>
      <c r="C150" s="48" t="str">
        <f>IFERROR(__xludf.DUMMYFUNCTION("""COMPUTED_VALUE"""),"Tomada de sobrepor (Industrial)")</f>
        <v>Tomada de sobrepor (Industrial)</v>
      </c>
      <c r="D150" s="61" t="str">
        <f>IFERROR(__xludf.DUMMYFUNCTION("IMPORTRANGE(""https://docs.google.com/spreadsheets/d/17pV1h3QXEhKsouzqT-wmZrwWCzREFYcQVORu3OKO97k/edit?gid=250502500#gid=250502500"",""PRODUTOS!F2"")"),"AERTECNICA")</f>
        <v>AERTECNICA</v>
      </c>
      <c r="E150" s="50">
        <v>0.0</v>
      </c>
      <c r="F150" s="51">
        <v>0.0</v>
      </c>
      <c r="G150" s="51">
        <v>0.0</v>
      </c>
      <c r="H150" s="52">
        <f>IFERROR(__xludf.DUMMYFUNCTION("""COMPUTED_VALUE"""),135.0)</f>
        <v>135</v>
      </c>
      <c r="I150" s="53">
        <f t="shared" si="1"/>
        <v>0</v>
      </c>
      <c r="J150" s="12"/>
      <c r="K150" s="1"/>
      <c r="L150" s="1"/>
      <c r="M150" s="1"/>
      <c r="N150" s="1"/>
      <c r="O150" s="1"/>
      <c r="P150" s="1"/>
      <c r="Q150" s="1"/>
      <c r="R150" s="1"/>
      <c r="S150" s="1"/>
      <c r="T150" s="1"/>
      <c r="U150" s="1"/>
      <c r="V150" s="1"/>
      <c r="W150" s="1"/>
      <c r="X150" s="1"/>
      <c r="Y150" s="1"/>
      <c r="Z150" s="1"/>
    </row>
    <row r="151">
      <c r="A151" s="1"/>
      <c r="B151" s="1"/>
      <c r="C151" s="54" t="str">
        <f>IFERROR(__xludf.DUMMYFUNCTION("""COMPUTED_VALUE"""),"Tomada Eclettis - Aço
(Item não disponível no estoque, venda sob encomenda)")</f>
        <v>Tomada Eclettis - Aço
(Item não disponível no estoque, venda sob encomenda)</v>
      </c>
      <c r="D151" s="64" t="str">
        <f>IFERROR(__xludf.DUMMYFUNCTION("IMPORTRANGE(""https://docs.google.com/spreadsheets/d/17pV1h3QXEhKsouzqT-wmZrwWCzREFYcQVORu3OKO97k/edit?gid=250502500#gid=250502500"",""PRODUTOS!F2"")"),"AERTECNICA")</f>
        <v>AERTECNICA</v>
      </c>
      <c r="E151" s="56">
        <v>0.0</v>
      </c>
      <c r="F151" s="57">
        <v>0.0</v>
      </c>
      <c r="G151" s="57">
        <v>0.0</v>
      </c>
      <c r="H151" s="58">
        <f>IFERROR(__xludf.DUMMYFUNCTION("""COMPUTED_VALUE"""),1217.33)</f>
        <v>1217.33</v>
      </c>
      <c r="I151" s="59">
        <f t="shared" si="1"/>
        <v>0</v>
      </c>
      <c r="J151" s="12"/>
      <c r="K151" s="1"/>
      <c r="L151" s="1"/>
      <c r="M151" s="1"/>
      <c r="N151" s="1"/>
      <c r="O151" s="1"/>
      <c r="P151" s="1"/>
      <c r="Q151" s="1"/>
      <c r="R151" s="1"/>
      <c r="S151" s="1"/>
      <c r="T151" s="1"/>
      <c r="U151" s="1"/>
      <c r="V151" s="1"/>
      <c r="W151" s="1"/>
      <c r="X151" s="1"/>
      <c r="Y151" s="1"/>
      <c r="Z151" s="1"/>
    </row>
    <row r="152">
      <c r="A152" s="1"/>
      <c r="B152" s="1"/>
      <c r="C152" s="48" t="str">
        <f>IFERROR(__xludf.DUMMYFUNCTION("""COMPUTED_VALUE"""),"Tomada Eclettis - Branca
(Item não disponível no estoque, venda sob encomenda)")</f>
        <v>Tomada Eclettis - Branca
(Item não disponível no estoque, venda sob encomenda)</v>
      </c>
      <c r="D152" s="61" t="str">
        <f>IFERROR(__xludf.DUMMYFUNCTION("IMPORTRANGE(""https://docs.google.com/spreadsheets/d/17pV1h3QXEhKsouzqT-wmZrwWCzREFYcQVORu3OKO97k/edit?gid=250502500#gid=250502500"",""PRODUTOS!F2"")"),"AERTECNICA")</f>
        <v>AERTECNICA</v>
      </c>
      <c r="E152" s="50">
        <v>0.0</v>
      </c>
      <c r="F152" s="51">
        <v>0.0</v>
      </c>
      <c r="G152" s="51">
        <v>0.0</v>
      </c>
      <c r="H152" s="52">
        <f>IFERROR(__xludf.DUMMYFUNCTION("""COMPUTED_VALUE"""),1217.33)</f>
        <v>1217.33</v>
      </c>
      <c r="I152" s="53">
        <f t="shared" si="1"/>
        <v>0</v>
      </c>
      <c r="J152" s="12"/>
      <c r="K152" s="1"/>
      <c r="L152" s="1"/>
      <c r="M152" s="1"/>
      <c r="N152" s="1"/>
      <c r="O152" s="1"/>
      <c r="P152" s="1"/>
      <c r="Q152" s="1"/>
      <c r="R152" s="1"/>
      <c r="S152" s="1"/>
      <c r="T152" s="1"/>
      <c r="U152" s="1"/>
      <c r="V152" s="1"/>
      <c r="W152" s="1"/>
      <c r="X152" s="1"/>
      <c r="Y152" s="1"/>
      <c r="Z152" s="1"/>
    </row>
    <row r="153">
      <c r="A153" s="1"/>
      <c r="B153" s="1"/>
      <c r="C153" s="54" t="str">
        <f>IFERROR(__xludf.DUMMYFUNCTION("""COMPUTED_VALUE"""),"Tomada New Air Touch Ave System 44 - Branca (Item não disponível no estoque, venda sob encomenda)")</f>
        <v>Tomada New Air Touch Ave System 44 - Branca (Item não disponível no estoque, venda sob encomenda)</v>
      </c>
      <c r="D153" s="64" t="str">
        <f>IFERROR(__xludf.DUMMYFUNCTION("IMPORTRANGE(""https://docs.google.com/spreadsheets/d/17pV1h3QXEhKsouzqT-wmZrwWCzREFYcQVORu3OKO97k/edit?gid=250502500#gid=250502500"",""PRODUTOS!F2"")"),"AERTECNICA")</f>
        <v>AERTECNICA</v>
      </c>
      <c r="E153" s="56">
        <v>0.0</v>
      </c>
      <c r="F153" s="57">
        <v>0.0</v>
      </c>
      <c r="G153" s="57">
        <v>0.0</v>
      </c>
      <c r="H153" s="58">
        <f>IFERROR(__xludf.DUMMYFUNCTION("""COMPUTED_VALUE"""),1217.33)</f>
        <v>1217.33</v>
      </c>
      <c r="I153" s="59">
        <f t="shared" si="1"/>
        <v>0</v>
      </c>
      <c r="J153" s="12"/>
      <c r="K153" s="1"/>
      <c r="L153" s="1"/>
      <c r="M153" s="1"/>
      <c r="N153" s="1"/>
      <c r="O153" s="1"/>
      <c r="P153" s="1"/>
      <c r="Q153" s="1"/>
      <c r="R153" s="1"/>
      <c r="S153" s="1"/>
      <c r="T153" s="1"/>
      <c r="U153" s="1"/>
      <c r="V153" s="1"/>
      <c r="W153" s="1"/>
      <c r="X153" s="1"/>
      <c r="Y153" s="1"/>
      <c r="Z153" s="1"/>
    </row>
    <row r="154">
      <c r="A154" s="1"/>
      <c r="B154" s="1"/>
      <c r="C154" s="48" t="str">
        <f>IFERROR(__xludf.DUMMYFUNCTION("""COMPUTED_VALUE"""),"Tomada New Air Touch Ave System 44 - Preta (Item não disponível no estoque, venda sob encomenda)")</f>
        <v>Tomada New Air Touch Ave System 44 - Preta (Item não disponível no estoque, venda sob encomenda)</v>
      </c>
      <c r="D154" s="61" t="str">
        <f>IFERROR(__xludf.DUMMYFUNCTION("IMPORTRANGE(""https://docs.google.com/spreadsheets/d/17pV1h3QXEhKsouzqT-wmZrwWCzREFYcQVORu3OKO97k/edit?gid=250502500#gid=250502500"",""PRODUTOS!F2"")"),"AERTECNICA")</f>
        <v>AERTECNICA</v>
      </c>
      <c r="E154" s="50">
        <v>0.0</v>
      </c>
      <c r="F154" s="51">
        <v>0.0</v>
      </c>
      <c r="G154" s="51">
        <v>0.0</v>
      </c>
      <c r="H154" s="52">
        <f>IFERROR(__xludf.DUMMYFUNCTION("""COMPUTED_VALUE"""),1217.33)</f>
        <v>1217.33</v>
      </c>
      <c r="I154" s="53">
        <f t="shared" si="1"/>
        <v>0</v>
      </c>
      <c r="J154" s="12"/>
      <c r="K154" s="1"/>
      <c r="L154" s="1"/>
      <c r="M154" s="1"/>
      <c r="N154" s="1"/>
      <c r="O154" s="1"/>
      <c r="P154" s="1"/>
      <c r="Q154" s="1"/>
      <c r="R154" s="1"/>
      <c r="S154" s="1"/>
      <c r="T154" s="1"/>
      <c r="U154" s="1"/>
      <c r="V154" s="1"/>
      <c r="W154" s="1"/>
      <c r="X154" s="1"/>
      <c r="Y154" s="1"/>
      <c r="Z154" s="1"/>
    </row>
    <row r="155">
      <c r="A155" s="1"/>
      <c r="B155" s="1"/>
      <c r="C155" s="54" t="str">
        <f>IFERROR(__xludf.DUMMYFUNCTION("""COMPUTED_VALUE"""),"TURBINA TC E TX4")</f>
        <v>TURBINA TC E TX4</v>
      </c>
      <c r="D155" s="64" t="str">
        <f>IFERROR(__xludf.DUMMYFUNCTION("IMPORTRANGE(""https://docs.google.com/spreadsheets/d/17pV1h3QXEhKsouzqT-wmZrwWCzREFYcQVORu3OKO97k/edit?gid=250502500#gid=250502500"",""PRODUTOS!F2"")"),"AERTECNICA")</f>
        <v>AERTECNICA</v>
      </c>
      <c r="E155" s="56">
        <v>0.0</v>
      </c>
      <c r="F155" s="57">
        <v>0.0</v>
      </c>
      <c r="G155" s="57">
        <v>0.0</v>
      </c>
      <c r="H155" s="58">
        <f>IFERROR(__xludf.DUMMYFUNCTION("""COMPUTED_VALUE"""),4515.15)</f>
        <v>4515.15</v>
      </c>
      <c r="I155" s="59">
        <f t="shared" si="1"/>
        <v>0</v>
      </c>
      <c r="J155" s="12"/>
      <c r="K155" s="1"/>
      <c r="L155" s="1"/>
      <c r="M155" s="1"/>
      <c r="N155" s="1"/>
      <c r="O155" s="1"/>
      <c r="P155" s="1"/>
      <c r="Q155" s="1"/>
      <c r="R155" s="1"/>
      <c r="S155" s="1"/>
      <c r="T155" s="1"/>
      <c r="U155" s="1"/>
      <c r="V155" s="1"/>
      <c r="W155" s="1"/>
      <c r="X155" s="1"/>
      <c r="Y155" s="1"/>
      <c r="Z155" s="1"/>
    </row>
    <row r="156">
      <c r="A156" s="1"/>
      <c r="B156" s="1"/>
      <c r="C156" s="48" t="str">
        <f>IFERROR(__xludf.DUMMYFUNCTION("""COMPUTED_VALUE"""),"TURBINA TS 4")</f>
        <v>TURBINA TS 4</v>
      </c>
      <c r="D156" s="61" t="str">
        <f>IFERROR(__xludf.DUMMYFUNCTION("IMPORTRANGE(""https://docs.google.com/spreadsheets/d/17pV1h3QXEhKsouzqT-wmZrwWCzREFYcQVORu3OKO97k/edit?gid=250502500#gid=250502500"",""PRODUTOS!F2"")"),"AERTECNICA")</f>
        <v>AERTECNICA</v>
      </c>
      <c r="E156" s="50">
        <v>0.0</v>
      </c>
      <c r="F156" s="51">
        <v>0.0</v>
      </c>
      <c r="G156" s="51">
        <v>0.0</v>
      </c>
      <c r="H156" s="52">
        <f>IFERROR(__xludf.DUMMYFUNCTION("""COMPUTED_VALUE"""),2231.12)</f>
        <v>2231.12</v>
      </c>
      <c r="I156" s="53">
        <f t="shared" si="1"/>
        <v>0</v>
      </c>
      <c r="J156" s="12"/>
      <c r="K156" s="1"/>
      <c r="L156" s="1"/>
      <c r="M156" s="1"/>
      <c r="N156" s="1"/>
      <c r="O156" s="1"/>
      <c r="P156" s="1"/>
      <c r="Q156" s="1"/>
      <c r="R156" s="1"/>
      <c r="S156" s="1"/>
      <c r="T156" s="1"/>
      <c r="U156" s="1"/>
      <c r="V156" s="1"/>
      <c r="W156" s="1"/>
      <c r="X156" s="1"/>
      <c r="Y156" s="1"/>
      <c r="Z156" s="1"/>
    </row>
    <row r="157">
      <c r="A157" s="1"/>
      <c r="B157" s="1"/>
      <c r="C157" s="54" t="str">
        <f>IFERROR(__xludf.DUMMYFUNCTION("""COMPUTED_VALUE"""),"TURBINA TS, TC E TX 2 E QB")</f>
        <v>TURBINA TS, TC E TX 2 E QB</v>
      </c>
      <c r="D157" s="64" t="str">
        <f>IFERROR(__xludf.DUMMYFUNCTION("IMPORTRANGE(""https://docs.google.com/spreadsheets/d/17pV1h3QXEhKsouzqT-wmZrwWCzREFYcQVORu3OKO97k/edit?gid=250502500#gid=250502500"",""PRODUTOS!F2"")"),"AERTECNICA")</f>
        <v>AERTECNICA</v>
      </c>
      <c r="E157" s="56">
        <v>0.0</v>
      </c>
      <c r="F157" s="57">
        <v>0.0</v>
      </c>
      <c r="G157" s="57">
        <v>0.0</v>
      </c>
      <c r="H157" s="58">
        <f>IFERROR(__xludf.DUMMYFUNCTION("""COMPUTED_VALUE"""),2533.33)</f>
        <v>2533.33</v>
      </c>
      <c r="I157" s="59">
        <f t="shared" si="1"/>
        <v>0</v>
      </c>
      <c r="J157" s="12"/>
      <c r="K157" s="1"/>
      <c r="L157" s="1"/>
      <c r="M157" s="1"/>
      <c r="N157" s="1"/>
      <c r="O157" s="1"/>
      <c r="P157" s="1"/>
      <c r="Q157" s="1"/>
      <c r="R157" s="1"/>
      <c r="S157" s="1"/>
      <c r="T157" s="1"/>
      <c r="U157" s="1"/>
      <c r="V157" s="1"/>
      <c r="W157" s="1"/>
      <c r="X157" s="1"/>
      <c r="Y157" s="1"/>
      <c r="Z157" s="1"/>
    </row>
    <row r="158">
      <c r="A158" s="1"/>
      <c r="B158" s="1"/>
      <c r="C158" s="48" t="str">
        <f>IFERROR(__xludf.DUMMYFUNCTION("""COMPUTED_VALUE"""),"TURBINA TS, TC E TX1")</f>
        <v>TURBINA TS, TC E TX1</v>
      </c>
      <c r="D158" s="61" t="str">
        <f>IFERROR(__xludf.DUMMYFUNCTION("IMPORTRANGE(""https://docs.google.com/spreadsheets/d/17pV1h3QXEhKsouzqT-wmZrwWCzREFYcQVORu3OKO97k/edit?gid=250502500#gid=250502500"",""PRODUTOS!F2"")"),"AERTECNICA")</f>
        <v>AERTECNICA</v>
      </c>
      <c r="E158" s="50">
        <v>0.0</v>
      </c>
      <c r="F158" s="51">
        <v>0.0</v>
      </c>
      <c r="G158" s="51">
        <v>0.0</v>
      </c>
      <c r="H158" s="52">
        <f>IFERROR(__xludf.DUMMYFUNCTION("""COMPUTED_VALUE"""),2106.06)</f>
        <v>2106.06</v>
      </c>
      <c r="I158" s="53">
        <f t="shared" si="1"/>
        <v>0</v>
      </c>
      <c r="J158" s="12"/>
      <c r="K158" s="1"/>
      <c r="L158" s="1"/>
      <c r="M158" s="1"/>
      <c r="N158" s="1"/>
      <c r="O158" s="1"/>
      <c r="P158" s="1"/>
      <c r="Q158" s="1"/>
      <c r="R158" s="1"/>
      <c r="S158" s="1"/>
      <c r="T158" s="1"/>
      <c r="U158" s="1"/>
      <c r="V158" s="1"/>
      <c r="W158" s="1"/>
      <c r="X158" s="1"/>
      <c r="Y158" s="1"/>
      <c r="Z158" s="1"/>
    </row>
    <row r="159">
      <c r="A159" s="1"/>
      <c r="B159" s="1"/>
      <c r="C159" s="54" t="str">
        <f>IFERROR(__xludf.DUMMYFUNCTION("""COMPUTED_VALUE"""),"Vacuometro para teste")</f>
        <v>Vacuometro para teste</v>
      </c>
      <c r="D159" s="64" t="str">
        <f>IFERROR(__xludf.DUMMYFUNCTION("IMPORTRANGE(""https://docs.google.com/spreadsheets/d/17pV1h3QXEhKsouzqT-wmZrwWCzREFYcQVORu3OKO97k/edit?gid=250502500#gid=250502500"",""PRODUTOS!F2"")"),"AERTECNICA")</f>
        <v>AERTECNICA</v>
      </c>
      <c r="E159" s="56">
        <v>0.0</v>
      </c>
      <c r="F159" s="57">
        <v>0.0</v>
      </c>
      <c r="G159" s="57">
        <v>0.0</v>
      </c>
      <c r="H159" s="58">
        <f>IFERROR(__xludf.DUMMYFUNCTION("""COMPUTED_VALUE"""),2545.45)</f>
        <v>2545.45</v>
      </c>
      <c r="I159" s="59">
        <f t="shared" si="1"/>
        <v>0</v>
      </c>
      <c r="J159" s="12"/>
      <c r="K159" s="1"/>
      <c r="L159" s="1"/>
      <c r="M159" s="1"/>
      <c r="N159" s="1"/>
      <c r="O159" s="1"/>
      <c r="P159" s="1"/>
      <c r="Q159" s="1"/>
      <c r="R159" s="1"/>
      <c r="S159" s="1"/>
      <c r="T159" s="1"/>
      <c r="U159" s="1"/>
      <c r="V159" s="1"/>
      <c r="W159" s="1"/>
      <c r="X159" s="1"/>
      <c r="Y159" s="1"/>
      <c r="Z159" s="1"/>
    </row>
    <row r="160">
      <c r="A160" s="1"/>
      <c r="B160" s="1"/>
      <c r="C160" s="48" t="str">
        <f>IFERROR(__xludf.DUMMYFUNCTION("IMPORTRANGE(""https://docs.google.com/spreadsheets/d/1ZgkzeBdhSokvqCpGgO9LgqfDTs6HIgXYJH9ON5WjN-s/edit?gid=891027965#gid=891027965"",""Principal!j1:j7"")"),"AS530V")</f>
        <v>AS530V</v>
      </c>
      <c r="D160" s="49" t="str">
        <f>IFERROR(__xludf.DUMMYFUNCTION("IMPORTRANGE(""https://docs.google.com/spreadsheets/d/1ZgkzeBdhSokvqCpGgO9LgqfDTs6HIgXYJH9ON5WjN-s/edit?gid=891027965#gid=891027965"",""Principal!a1"")"),"ASPIRVAC")</f>
        <v>ASPIRVAC</v>
      </c>
      <c r="E160" s="50">
        <v>0.0</v>
      </c>
      <c r="F160" s="52">
        <f>IFERROR(__xludf.DUMMYFUNCTION("IMPORTRANGE(""https://docs.google.com/spreadsheets/d/1ZgkzeBdhSokvqCpGgO9LgqfDTs6HIgXYJH9ON5WjN-s/edit?gid=891027965#gid=891027965"",""Principal!k1:k7"")"),3400.0)</f>
        <v>3400</v>
      </c>
      <c r="G160" s="52">
        <f t="shared" ref="G160:G166" si="2">IF(F160&gt;0,F160*E160+F160,"")</f>
        <v>3400</v>
      </c>
      <c r="H160" s="51">
        <f t="shared" ref="H160:H284" si="3">G160*2</f>
        <v>6800</v>
      </c>
      <c r="I160" s="53">
        <f t="shared" ref="I160:I166" si="4">IF(H160&gt;0,(H160-G160)/G160,"")</f>
        <v>1</v>
      </c>
      <c r="J160" s="12"/>
      <c r="K160" s="1"/>
      <c r="L160" s="1"/>
      <c r="M160" s="1"/>
      <c r="N160" s="1"/>
      <c r="O160" s="1"/>
      <c r="P160" s="1"/>
      <c r="Q160" s="1"/>
      <c r="R160" s="1"/>
      <c r="S160" s="1"/>
      <c r="T160" s="1"/>
      <c r="U160" s="1"/>
      <c r="V160" s="1"/>
      <c r="W160" s="1"/>
      <c r="X160" s="1"/>
      <c r="Y160" s="1"/>
      <c r="Z160" s="1"/>
    </row>
    <row r="161">
      <c r="A161" s="1"/>
      <c r="B161" s="1"/>
      <c r="C161" s="54" t="str">
        <f>IFERROR(__xludf.DUMMYFUNCTION("""COMPUTED_VALUE"""),"AS230")</f>
        <v>AS230</v>
      </c>
      <c r="D161" s="55" t="str">
        <f>IFERROR(__xludf.DUMMYFUNCTION("IMPORTRANGE(""https://docs.google.com/spreadsheets/d/1ZgkzeBdhSokvqCpGgO9LgqfDTs6HIgXYJH9ON5WjN-s/edit?gid=891027965#gid=891027965"",""Principal!a1"")"),"ASPIRVAC")</f>
        <v>ASPIRVAC</v>
      </c>
      <c r="E161" s="56">
        <v>0.0</v>
      </c>
      <c r="F161" s="58">
        <f>IFERROR(__xludf.DUMMYFUNCTION("""COMPUTED_VALUE"""),4800.0)</f>
        <v>4800</v>
      </c>
      <c r="G161" s="58">
        <f t="shared" si="2"/>
        <v>4800</v>
      </c>
      <c r="H161" s="57">
        <f t="shared" si="3"/>
        <v>9600</v>
      </c>
      <c r="I161" s="59">
        <f t="shared" si="4"/>
        <v>1</v>
      </c>
      <c r="J161" s="12"/>
      <c r="K161" s="1"/>
      <c r="L161" s="1"/>
      <c r="M161" s="1"/>
      <c r="N161" s="1"/>
      <c r="O161" s="1"/>
      <c r="P161" s="1"/>
      <c r="Q161" s="1"/>
      <c r="R161" s="1"/>
      <c r="S161" s="1"/>
      <c r="T161" s="1"/>
      <c r="U161" s="1"/>
      <c r="V161" s="1"/>
      <c r="W161" s="1"/>
      <c r="X161" s="1"/>
      <c r="Y161" s="1"/>
      <c r="Z161" s="1"/>
    </row>
    <row r="162">
      <c r="A162" s="1"/>
      <c r="B162" s="1"/>
      <c r="C162" s="48" t="str">
        <f>IFERROR(__xludf.DUMMYFUNCTION("""COMPUTED_VALUE"""),"AS320")</f>
        <v>AS320</v>
      </c>
      <c r="D162" s="49" t="str">
        <f>IFERROR(__xludf.DUMMYFUNCTION("IMPORTRANGE(""https://docs.google.com/spreadsheets/d/1ZgkzeBdhSokvqCpGgO9LgqfDTs6HIgXYJH9ON5WjN-s/edit?gid=891027965#gid=891027965"",""Principal!a1"")"),"ASPIRVAC")</f>
        <v>ASPIRVAC</v>
      </c>
      <c r="E162" s="50">
        <v>0.0</v>
      </c>
      <c r="F162" s="52">
        <f>IFERROR(__xludf.DUMMYFUNCTION("""COMPUTED_VALUE"""),4300.0)</f>
        <v>4300</v>
      </c>
      <c r="G162" s="52">
        <f t="shared" si="2"/>
        <v>4300</v>
      </c>
      <c r="H162" s="51">
        <f t="shared" si="3"/>
        <v>8600</v>
      </c>
      <c r="I162" s="53">
        <f t="shared" si="4"/>
        <v>1</v>
      </c>
      <c r="J162" s="12"/>
      <c r="K162" s="1"/>
      <c r="L162" s="1"/>
      <c r="M162" s="1"/>
      <c r="N162" s="1"/>
      <c r="O162" s="1"/>
      <c r="P162" s="1"/>
      <c r="Q162" s="1"/>
      <c r="R162" s="1"/>
      <c r="S162" s="1"/>
      <c r="T162" s="1"/>
      <c r="U162" s="1"/>
      <c r="V162" s="1"/>
      <c r="W162" s="1"/>
      <c r="X162" s="1"/>
      <c r="Y162" s="1"/>
      <c r="Z162" s="1"/>
    </row>
    <row r="163">
      <c r="A163" s="1"/>
      <c r="B163" s="1"/>
      <c r="C163" s="54" t="str">
        <f>IFERROR(__xludf.DUMMYFUNCTION("""COMPUTED_VALUE"""),"AS350")</f>
        <v>AS350</v>
      </c>
      <c r="D163" s="55" t="str">
        <f>IFERROR(__xludf.DUMMYFUNCTION("IMPORTRANGE(""https://docs.google.com/spreadsheets/d/1ZgkzeBdhSokvqCpGgO9LgqfDTs6HIgXYJH9ON5WjN-s/edit?gid=891027965#gid=891027965"",""Principal!a1"")"),"ASPIRVAC")</f>
        <v>ASPIRVAC</v>
      </c>
      <c r="E163" s="56">
        <v>0.0</v>
      </c>
      <c r="F163" s="58">
        <f>IFERROR(__xludf.DUMMYFUNCTION("""COMPUTED_VALUE"""),4500.0)</f>
        <v>4500</v>
      </c>
      <c r="G163" s="58">
        <f t="shared" si="2"/>
        <v>4500</v>
      </c>
      <c r="H163" s="57">
        <f t="shared" si="3"/>
        <v>9000</v>
      </c>
      <c r="I163" s="59">
        <f t="shared" si="4"/>
        <v>1</v>
      </c>
      <c r="J163" s="12"/>
      <c r="K163" s="1"/>
      <c r="L163" s="1"/>
      <c r="M163" s="1"/>
      <c r="N163" s="1"/>
      <c r="O163" s="1"/>
      <c r="P163" s="1"/>
      <c r="Q163" s="1"/>
      <c r="R163" s="1"/>
      <c r="S163" s="1"/>
      <c r="T163" s="1"/>
      <c r="U163" s="1"/>
      <c r="V163" s="1"/>
      <c r="W163" s="1"/>
      <c r="X163" s="1"/>
      <c r="Y163" s="1"/>
      <c r="Z163" s="1"/>
    </row>
    <row r="164">
      <c r="A164" s="1"/>
      <c r="B164" s="1"/>
      <c r="C164" s="48" t="str">
        <f>IFERROR(__xludf.DUMMYFUNCTION("""COMPUTED_VALUE"""),"AS530")</f>
        <v>AS530</v>
      </c>
      <c r="D164" s="49" t="str">
        <f>IFERROR(__xludf.DUMMYFUNCTION("IMPORTRANGE(""https://docs.google.com/spreadsheets/d/1ZgkzeBdhSokvqCpGgO9LgqfDTs6HIgXYJH9ON5WjN-s/edit?gid=891027965#gid=891027965"",""Principal!a1"")"),"ASPIRVAC")</f>
        <v>ASPIRVAC</v>
      </c>
      <c r="E164" s="50">
        <v>0.0</v>
      </c>
      <c r="F164" s="52">
        <f>IFERROR(__xludf.DUMMYFUNCTION("""COMPUTED_VALUE"""),3100.0)</f>
        <v>3100</v>
      </c>
      <c r="G164" s="52">
        <f t="shared" si="2"/>
        <v>3100</v>
      </c>
      <c r="H164" s="51">
        <f t="shared" si="3"/>
        <v>6200</v>
      </c>
      <c r="I164" s="53">
        <f t="shared" si="4"/>
        <v>1</v>
      </c>
      <c r="J164" s="12"/>
      <c r="K164" s="1"/>
      <c r="L164" s="1"/>
      <c r="M164" s="1"/>
      <c r="N164" s="1"/>
      <c r="O164" s="1"/>
      <c r="P164" s="1"/>
      <c r="Q164" s="1"/>
      <c r="R164" s="1"/>
      <c r="S164" s="1"/>
      <c r="T164" s="1"/>
      <c r="U164" s="1"/>
      <c r="V164" s="1"/>
      <c r="W164" s="1"/>
      <c r="X164" s="1"/>
      <c r="Y164" s="1"/>
      <c r="Z164" s="1"/>
    </row>
    <row r="165">
      <c r="A165" s="1"/>
      <c r="B165" s="1"/>
      <c r="C165" s="54" t="str">
        <f>IFERROR(__xludf.DUMMYFUNCTION("""COMPUTED_VALUE"""),"AS240")</f>
        <v>AS240</v>
      </c>
      <c r="D165" s="55" t="str">
        <f>IFERROR(__xludf.DUMMYFUNCTION("IMPORTRANGE(""https://docs.google.com/spreadsheets/d/1ZgkzeBdhSokvqCpGgO9LgqfDTs6HIgXYJH9ON5WjN-s/edit?gid=891027965#gid=891027965"",""Principal!a1"")"),"ASPIRVAC")</f>
        <v>ASPIRVAC</v>
      </c>
      <c r="E165" s="56">
        <v>0.0</v>
      </c>
      <c r="F165" s="58">
        <f>IFERROR(__xludf.DUMMYFUNCTION("""COMPUTED_VALUE"""),3900.0)</f>
        <v>3900</v>
      </c>
      <c r="G165" s="58">
        <f t="shared" si="2"/>
        <v>3900</v>
      </c>
      <c r="H165" s="57">
        <f t="shared" si="3"/>
        <v>7800</v>
      </c>
      <c r="I165" s="59">
        <f t="shared" si="4"/>
        <v>1</v>
      </c>
      <c r="J165" s="12"/>
      <c r="K165" s="1"/>
      <c r="L165" s="1"/>
      <c r="M165" s="1"/>
      <c r="N165" s="1"/>
      <c r="O165" s="1"/>
      <c r="P165" s="1"/>
      <c r="Q165" s="1"/>
      <c r="R165" s="1"/>
      <c r="S165" s="1"/>
      <c r="T165" s="1"/>
      <c r="U165" s="1"/>
      <c r="V165" s="1"/>
      <c r="W165" s="1"/>
      <c r="X165" s="1"/>
      <c r="Y165" s="1"/>
      <c r="Z165" s="1"/>
    </row>
    <row r="166">
      <c r="A166" s="1"/>
      <c r="B166" s="1"/>
      <c r="C166" s="48" t="str">
        <f>IFERROR(__xludf.DUMMYFUNCTION("""COMPUTED_VALUE"""),"AS370")</f>
        <v>AS370</v>
      </c>
      <c r="D166" s="49" t="str">
        <f>IFERROR(__xludf.DUMMYFUNCTION("IMPORTRANGE(""https://docs.google.com/spreadsheets/d/1ZgkzeBdhSokvqCpGgO9LgqfDTs6HIgXYJH9ON5WjN-s/edit?gid=891027965#gid=891027965"",""Principal!a1"")"),"ASPIRVAC")</f>
        <v>ASPIRVAC</v>
      </c>
      <c r="E166" s="50">
        <v>0.0</v>
      </c>
      <c r="F166" s="52">
        <f>IFERROR(__xludf.DUMMYFUNCTION("""COMPUTED_VALUE"""),4950.0)</f>
        <v>4950</v>
      </c>
      <c r="G166" s="52">
        <f t="shared" si="2"/>
        <v>4950</v>
      </c>
      <c r="H166" s="51">
        <f t="shared" si="3"/>
        <v>9900</v>
      </c>
      <c r="I166" s="53">
        <f t="shared" si="4"/>
        <v>1</v>
      </c>
      <c r="J166" s="12"/>
      <c r="K166" s="1"/>
      <c r="L166" s="1"/>
      <c r="M166" s="1"/>
      <c r="N166" s="1"/>
      <c r="O166" s="1"/>
      <c r="P166" s="1"/>
      <c r="Q166" s="1"/>
      <c r="R166" s="1"/>
      <c r="S166" s="1"/>
      <c r="T166" s="1"/>
      <c r="U166" s="1"/>
      <c r="V166" s="1"/>
      <c r="W166" s="1"/>
      <c r="X166" s="1"/>
      <c r="Y166" s="1"/>
      <c r="Z166" s="1"/>
    </row>
    <row r="167">
      <c r="A167" s="1"/>
      <c r="B167" s="1"/>
      <c r="C167" s="63" t="str">
        <f>IFERROR(__xludf.DUMMYFUNCTION("IMPORTRANGE(""https://docs.google.com/spreadsheets/d/1ZgkzeBdhSokvqCpGgO9LgqfDTs6HIgXYJH9ON5WjN-s/edit?gid=891027965#gid=891027965"",""secundário!b2:b119"")"),"ABRAÇADEIRA PLÁSTICA")</f>
        <v>ABRAÇADEIRA PLÁSTICA</v>
      </c>
      <c r="D167" s="64" t="str">
        <f>IFERROR(__xludf.DUMMYFUNCTION("IMPORTRANGE(""https://docs.google.com/spreadsheets/d/1ZgkzeBdhSokvqCpGgO9LgqfDTs6HIgXYJH9ON5WjN-s/edit?gid=891027965#gid=891027965"",""secundário!d1"")"),"ASPIRVAC 2")</f>
        <v>ASPIRVAC 2</v>
      </c>
      <c r="E167" s="56">
        <v>0.0</v>
      </c>
      <c r="F167" s="57">
        <f>IFERROR(__xludf.DUMMYFUNCTION("IMPORTRANGE(""https://docs.google.com/spreadsheets/d/1ZgkzeBdhSokvqCpGgO9LgqfDTs6HIgXYJH9ON5WjN-s/edit?gid=891027965#gid=891027965"",""secundário!c2:c119"")"),4.8)</f>
        <v>4.8</v>
      </c>
      <c r="G167" s="58">
        <f t="shared" ref="G167:G181" si="5">F167</f>
        <v>4.8</v>
      </c>
      <c r="H167" s="57">
        <f t="shared" si="3"/>
        <v>9.6</v>
      </c>
      <c r="I167" s="59">
        <f t="shared" ref="I167:I181" si="6">IF(G167&gt;0,(H167-G167)/G167,IF(H167&gt;0,0,0))</f>
        <v>1</v>
      </c>
      <c r="J167" s="12"/>
      <c r="K167" s="1"/>
      <c r="L167" s="1"/>
      <c r="M167" s="1"/>
      <c r="N167" s="1"/>
      <c r="O167" s="1"/>
      <c r="P167" s="1"/>
      <c r="Q167" s="1"/>
      <c r="R167" s="1"/>
      <c r="S167" s="1"/>
      <c r="T167" s="1"/>
      <c r="U167" s="1"/>
      <c r="V167" s="1"/>
      <c r="W167" s="1"/>
      <c r="X167" s="1"/>
      <c r="Y167" s="1"/>
      <c r="Z167" s="1"/>
    </row>
    <row r="168">
      <c r="A168" s="1"/>
      <c r="B168" s="1"/>
      <c r="C168" s="60" t="str">
        <f>IFERROR(__xludf.DUMMYFUNCTION("""COMPUTED_VALUE"""),"ARO DE ACABAMENTO BRANCO")</f>
        <v>ARO DE ACABAMENTO BRANCO</v>
      </c>
      <c r="D168" s="61" t="str">
        <f>IFERROR(__xludf.DUMMYFUNCTION("IMPORTRANGE(""https://docs.google.com/spreadsheets/d/1ZgkzeBdhSokvqCpGgO9LgqfDTs6HIgXYJH9ON5WjN-s/edit?gid=891027965#gid=891027965"",""secundário!d1"")"),"ASPIRVAC 2")</f>
        <v>ASPIRVAC 2</v>
      </c>
      <c r="E168" s="50">
        <v>0.0</v>
      </c>
      <c r="F168" s="51">
        <f>IFERROR(__xludf.DUMMYFUNCTION("""COMPUTED_VALUE"""),7.0)</f>
        <v>7</v>
      </c>
      <c r="G168" s="52">
        <f t="shared" si="5"/>
        <v>7</v>
      </c>
      <c r="H168" s="51">
        <f t="shared" si="3"/>
        <v>14</v>
      </c>
      <c r="I168" s="53">
        <f t="shared" si="6"/>
        <v>1</v>
      </c>
      <c r="J168" s="12"/>
      <c r="K168" s="1"/>
      <c r="L168" s="1"/>
      <c r="M168" s="1"/>
      <c r="N168" s="1"/>
      <c r="O168" s="1"/>
      <c r="P168" s="1"/>
      <c r="Q168" s="1"/>
      <c r="R168" s="1"/>
      <c r="S168" s="1"/>
      <c r="T168" s="1"/>
      <c r="U168" s="1"/>
      <c r="V168" s="1"/>
      <c r="W168" s="1"/>
      <c r="X168" s="1"/>
      <c r="Y168" s="1"/>
      <c r="Z168" s="1"/>
    </row>
    <row r="169">
      <c r="A169" s="1"/>
      <c r="B169" s="1"/>
      <c r="C169" s="63" t="str">
        <f>IFERROR(__xludf.DUMMYFUNCTION("""COMPUTED_VALUE"""),"AV504 / 11m – MANGUEIRA 11 metros com Punho Plástico e Terminal Rotativo (ponta
metal)")</f>
        <v>AV504 / 11m – MANGUEIRA 11 metros com Punho Plástico e Terminal Rotativo (ponta
metal)</v>
      </c>
      <c r="D169" s="64" t="str">
        <f>IFERROR(__xludf.DUMMYFUNCTION("IMPORTRANGE(""https://docs.google.com/spreadsheets/d/1ZgkzeBdhSokvqCpGgO9LgqfDTs6HIgXYJH9ON5WjN-s/edit?gid=891027965#gid=891027965"",""secundário!d1"")"),"ASPIRVAC 2")</f>
        <v>ASPIRVAC 2</v>
      </c>
      <c r="E169" s="56">
        <v>0.0</v>
      </c>
      <c r="F169" s="57">
        <f>IFERROR(__xludf.DUMMYFUNCTION("""COMPUTED_VALUE"""),350.0)</f>
        <v>350</v>
      </c>
      <c r="G169" s="58">
        <f t="shared" si="5"/>
        <v>350</v>
      </c>
      <c r="H169" s="57">
        <f t="shared" si="3"/>
        <v>700</v>
      </c>
      <c r="I169" s="59">
        <f t="shared" si="6"/>
        <v>1</v>
      </c>
      <c r="J169" s="12"/>
      <c r="K169" s="1"/>
      <c r="L169" s="1"/>
      <c r="M169" s="1"/>
      <c r="N169" s="1"/>
      <c r="O169" s="1"/>
      <c r="P169" s="1"/>
      <c r="Q169" s="1"/>
      <c r="R169" s="1"/>
      <c r="S169" s="1"/>
      <c r="T169" s="1"/>
      <c r="U169" s="1"/>
      <c r="V169" s="1"/>
      <c r="W169" s="1"/>
      <c r="X169" s="1"/>
      <c r="Y169" s="1"/>
      <c r="Z169" s="1"/>
    </row>
    <row r="170">
      <c r="A170" s="1"/>
      <c r="B170" s="1"/>
      <c r="C170" s="60" t="str">
        <f>IFERROR(__xludf.DUMMYFUNCTION("""COMPUTED_VALUE"""),"AV504 / 13m – MANGUEIRA 13 metros com Punho Plástico e Terminal Rotativo (ponta
metal)")</f>
        <v>AV504 / 13m – MANGUEIRA 13 metros com Punho Plástico e Terminal Rotativo (ponta
metal)</v>
      </c>
      <c r="D170" s="61" t="str">
        <f>IFERROR(__xludf.DUMMYFUNCTION("IMPORTRANGE(""https://docs.google.com/spreadsheets/d/1ZgkzeBdhSokvqCpGgO9LgqfDTs6HIgXYJH9ON5WjN-s/edit?gid=891027965#gid=891027965"",""secundário!d1"")"),"ASPIRVAC 2")</f>
        <v>ASPIRVAC 2</v>
      </c>
      <c r="E170" s="50">
        <v>0.0</v>
      </c>
      <c r="F170" s="51">
        <f>IFERROR(__xludf.DUMMYFUNCTION("""COMPUTED_VALUE"""),370.0)</f>
        <v>370</v>
      </c>
      <c r="G170" s="52">
        <f t="shared" si="5"/>
        <v>370</v>
      </c>
      <c r="H170" s="51">
        <f t="shared" si="3"/>
        <v>740</v>
      </c>
      <c r="I170" s="53">
        <f t="shared" si="6"/>
        <v>1</v>
      </c>
      <c r="J170" s="12"/>
      <c r="K170" s="1"/>
      <c r="L170" s="1"/>
      <c r="M170" s="1"/>
      <c r="N170" s="1"/>
      <c r="O170" s="1"/>
      <c r="P170" s="1"/>
      <c r="Q170" s="1"/>
      <c r="R170" s="1"/>
      <c r="S170" s="1"/>
      <c r="T170" s="1"/>
      <c r="U170" s="1"/>
      <c r="V170" s="1"/>
      <c r="W170" s="1"/>
      <c r="X170" s="1"/>
      <c r="Y170" s="1"/>
      <c r="Z170" s="1"/>
    </row>
    <row r="171">
      <c r="A171" s="1"/>
      <c r="B171" s="1"/>
      <c r="C171" s="63" t="str">
        <f>IFERROR(__xludf.DUMMYFUNCTION("""COMPUTED_VALUE"""),"AV504 / 15m – MANGUEIRA 15 metros com Punho Plástico e Terminal Rotativo (ponta
metal)")</f>
        <v>AV504 / 15m – MANGUEIRA 15 metros com Punho Plástico e Terminal Rotativo (ponta
metal)</v>
      </c>
      <c r="D171" s="64" t="str">
        <f>IFERROR(__xludf.DUMMYFUNCTION("IMPORTRANGE(""https://docs.google.com/spreadsheets/d/1ZgkzeBdhSokvqCpGgO9LgqfDTs6HIgXYJH9ON5WjN-s/edit?gid=891027965#gid=891027965"",""secundário!d1"")"),"ASPIRVAC 2")</f>
        <v>ASPIRVAC 2</v>
      </c>
      <c r="E171" s="56">
        <v>0.0</v>
      </c>
      <c r="F171" s="57">
        <f>IFERROR(__xludf.DUMMYFUNCTION("""COMPUTED_VALUE"""),390.0)</f>
        <v>390</v>
      </c>
      <c r="G171" s="58">
        <f t="shared" si="5"/>
        <v>390</v>
      </c>
      <c r="H171" s="57">
        <f t="shared" si="3"/>
        <v>780</v>
      </c>
      <c r="I171" s="59">
        <f t="shared" si="6"/>
        <v>1</v>
      </c>
      <c r="J171" s="12"/>
      <c r="K171" s="1"/>
      <c r="L171" s="1"/>
      <c r="M171" s="1"/>
      <c r="N171" s="1"/>
      <c r="O171" s="1"/>
      <c r="P171" s="1"/>
      <c r="Q171" s="1"/>
      <c r="R171" s="1"/>
      <c r="S171" s="1"/>
      <c r="T171" s="1"/>
      <c r="U171" s="1"/>
      <c r="V171" s="1"/>
      <c r="W171" s="1"/>
      <c r="X171" s="1"/>
      <c r="Y171" s="1"/>
      <c r="Z171" s="1"/>
    </row>
    <row r="172">
      <c r="A172" s="1"/>
      <c r="B172" s="1"/>
      <c r="C172" s="60" t="str">
        <f>IFERROR(__xludf.DUMMYFUNCTION("""COMPUTED_VALUE"""),"AV504 / 9m – MANGUEIRA 9 metros com Punho Plástico e Terminal Rotativo (ponta metal)
")</f>
        <v>AV504 / 9m – MANGUEIRA 9 metros com Punho Plástico e Terminal Rotativo (ponta metal)
</v>
      </c>
      <c r="D172" s="61" t="str">
        <f>IFERROR(__xludf.DUMMYFUNCTION("IMPORTRANGE(""https://docs.google.com/spreadsheets/d/1ZgkzeBdhSokvqCpGgO9LgqfDTs6HIgXYJH9ON5WjN-s/edit?gid=891027965#gid=891027965"",""secundário!d1"")"),"ASPIRVAC 2")</f>
        <v>ASPIRVAC 2</v>
      </c>
      <c r="E172" s="50">
        <v>0.0</v>
      </c>
      <c r="F172" s="51">
        <f>IFERROR(__xludf.DUMMYFUNCTION("""COMPUTED_VALUE"""),320.0)</f>
        <v>320</v>
      </c>
      <c r="G172" s="52">
        <f t="shared" si="5"/>
        <v>320</v>
      </c>
      <c r="H172" s="51">
        <f t="shared" si="3"/>
        <v>640</v>
      </c>
      <c r="I172" s="53">
        <f t="shared" si="6"/>
        <v>1</v>
      </c>
      <c r="J172" s="12"/>
      <c r="K172" s="1"/>
      <c r="L172" s="1"/>
      <c r="M172" s="1"/>
      <c r="N172" s="1"/>
      <c r="O172" s="1"/>
      <c r="P172" s="1"/>
      <c r="Q172" s="1"/>
      <c r="R172" s="1"/>
      <c r="S172" s="1"/>
      <c r="T172" s="1"/>
      <c r="U172" s="1"/>
      <c r="V172" s="1"/>
      <c r="W172" s="1"/>
      <c r="X172" s="1"/>
      <c r="Y172" s="1"/>
      <c r="Z172" s="1"/>
    </row>
    <row r="173">
      <c r="A173" s="1"/>
      <c r="B173" s="1"/>
      <c r="C173" s="63" t="str">
        <f>IFERROR(__xludf.DUMMYFUNCTION("""COMPUTED_VALUE"""),"AV505 / 11m – MANGUEIRA 11 metros com Punho Plástico (ponta metal) e Terminal
Rotativo (ponta metal)")</f>
        <v>AV505 / 11m – MANGUEIRA 11 metros com Punho Plástico (ponta metal) e Terminal
Rotativo (ponta metal)</v>
      </c>
      <c r="D173" s="64" t="str">
        <f>IFERROR(__xludf.DUMMYFUNCTION("IMPORTRANGE(""https://docs.google.com/spreadsheets/d/1ZgkzeBdhSokvqCpGgO9LgqfDTs6HIgXYJH9ON5WjN-s/edit?gid=891027965#gid=891027965"",""secundário!d1"")"),"ASPIRVAC 2")</f>
        <v>ASPIRVAC 2</v>
      </c>
      <c r="E173" s="56">
        <v>0.0</v>
      </c>
      <c r="F173" s="57">
        <f>IFERROR(__xludf.DUMMYFUNCTION("""COMPUTED_VALUE"""),410.0)</f>
        <v>410</v>
      </c>
      <c r="G173" s="58">
        <f t="shared" si="5"/>
        <v>410</v>
      </c>
      <c r="H173" s="57">
        <f t="shared" si="3"/>
        <v>820</v>
      </c>
      <c r="I173" s="59">
        <f t="shared" si="6"/>
        <v>1</v>
      </c>
      <c r="J173" s="12"/>
      <c r="K173" s="1"/>
      <c r="L173" s="1"/>
      <c r="M173" s="1"/>
      <c r="N173" s="1"/>
      <c r="O173" s="1"/>
      <c r="P173" s="1"/>
      <c r="Q173" s="1"/>
      <c r="R173" s="1"/>
      <c r="S173" s="1"/>
      <c r="T173" s="1"/>
      <c r="U173" s="1"/>
      <c r="V173" s="1"/>
      <c r="W173" s="1"/>
      <c r="X173" s="1"/>
      <c r="Y173" s="1"/>
      <c r="Z173" s="1"/>
    </row>
    <row r="174">
      <c r="A174" s="1"/>
      <c r="B174" s="1"/>
      <c r="C174" s="60" t="str">
        <f>IFERROR(__xludf.DUMMYFUNCTION("""COMPUTED_VALUE"""),"AV505 / 13m – MANGUEIRA 13 metros com Punho Plástico (ponta metal) e Terminal
Rotativo (ponta metal)")</f>
        <v>AV505 / 13m – MANGUEIRA 13 metros com Punho Plástico (ponta metal) e Terminal
Rotativo (ponta metal)</v>
      </c>
      <c r="D174" s="61" t="str">
        <f>IFERROR(__xludf.DUMMYFUNCTION("IMPORTRANGE(""https://docs.google.com/spreadsheets/d/1ZgkzeBdhSokvqCpGgO9LgqfDTs6HIgXYJH9ON5WjN-s/edit?gid=891027965#gid=891027965"",""secundário!d1"")"),"ASPIRVAC 2")</f>
        <v>ASPIRVAC 2</v>
      </c>
      <c r="E174" s="50">
        <v>0.0</v>
      </c>
      <c r="F174" s="51">
        <f>IFERROR(__xludf.DUMMYFUNCTION("""COMPUTED_VALUE"""),430.0)</f>
        <v>430</v>
      </c>
      <c r="G174" s="52">
        <f t="shared" si="5"/>
        <v>430</v>
      </c>
      <c r="H174" s="51">
        <f t="shared" si="3"/>
        <v>860</v>
      </c>
      <c r="I174" s="53">
        <f t="shared" si="6"/>
        <v>1</v>
      </c>
      <c r="J174" s="12"/>
      <c r="K174" s="1"/>
      <c r="L174" s="1"/>
      <c r="M174" s="1"/>
      <c r="N174" s="1"/>
      <c r="O174" s="1"/>
      <c r="P174" s="1"/>
      <c r="Q174" s="1"/>
      <c r="R174" s="1"/>
      <c r="S174" s="1"/>
      <c r="T174" s="1"/>
      <c r="U174" s="1"/>
      <c r="V174" s="1"/>
      <c r="W174" s="1"/>
      <c r="X174" s="1"/>
      <c r="Y174" s="1"/>
      <c r="Z174" s="1"/>
    </row>
    <row r="175">
      <c r="A175" s="1"/>
      <c r="B175" s="1"/>
      <c r="C175" s="63" t="str">
        <f>IFERROR(__xludf.DUMMYFUNCTION("""COMPUTED_VALUE"""),"AV505 / 15m – MANGUEIRA 15 metros com Punho Plástico (ponta metal) e Terminal
Rotativo (ponta metal)")</f>
        <v>AV505 / 15m – MANGUEIRA 15 metros com Punho Plástico (ponta metal) e Terminal
Rotativo (ponta metal)</v>
      </c>
      <c r="D175" s="64" t="str">
        <f>IFERROR(__xludf.DUMMYFUNCTION("IMPORTRANGE(""https://docs.google.com/spreadsheets/d/1ZgkzeBdhSokvqCpGgO9LgqfDTs6HIgXYJH9ON5WjN-s/edit?gid=891027965#gid=891027965"",""secundário!d1"")"),"ASPIRVAC 2")</f>
        <v>ASPIRVAC 2</v>
      </c>
      <c r="E175" s="56">
        <v>0.0</v>
      </c>
      <c r="F175" s="57">
        <f>IFERROR(__xludf.DUMMYFUNCTION("""COMPUTED_VALUE"""),450.0)</f>
        <v>450</v>
      </c>
      <c r="G175" s="58">
        <f t="shared" si="5"/>
        <v>450</v>
      </c>
      <c r="H175" s="57">
        <f t="shared" si="3"/>
        <v>900</v>
      </c>
      <c r="I175" s="59">
        <f t="shared" si="6"/>
        <v>1</v>
      </c>
      <c r="J175" s="12"/>
      <c r="K175" s="1"/>
      <c r="L175" s="1"/>
      <c r="M175" s="1"/>
      <c r="N175" s="1"/>
      <c r="O175" s="1"/>
      <c r="P175" s="1"/>
      <c r="Q175" s="1"/>
      <c r="R175" s="1"/>
      <c r="S175" s="1"/>
      <c r="T175" s="1"/>
      <c r="U175" s="1"/>
      <c r="V175" s="1"/>
      <c r="W175" s="1"/>
      <c r="X175" s="1"/>
      <c r="Y175" s="1"/>
      <c r="Z175" s="1"/>
    </row>
    <row r="176">
      <c r="A176" s="1"/>
      <c r="B176" s="1"/>
      <c r="C176" s="60" t="str">
        <f>IFERROR(__xludf.DUMMYFUNCTION("""COMPUTED_VALUE"""),"AV505 / 9m – MANGUEIRA 9 metros com Punho Plástico (ponta metal) e Terminal
Rotativo (ponta metal)
")</f>
        <v>AV505 / 9m – MANGUEIRA 9 metros com Punho Plástico (ponta metal) e Terminal
Rotativo (ponta metal)
</v>
      </c>
      <c r="D176" s="61" t="str">
        <f>IFERROR(__xludf.DUMMYFUNCTION("IMPORTRANGE(""https://docs.google.com/spreadsheets/d/1ZgkzeBdhSokvqCpGgO9LgqfDTs6HIgXYJH9ON5WjN-s/edit?gid=891027965#gid=891027965"",""secundário!d1"")"),"ASPIRVAC 2")</f>
        <v>ASPIRVAC 2</v>
      </c>
      <c r="E176" s="50">
        <v>0.0</v>
      </c>
      <c r="F176" s="51">
        <f>IFERROR(__xludf.DUMMYFUNCTION("""COMPUTED_VALUE"""),390.0)</f>
        <v>390</v>
      </c>
      <c r="G176" s="52">
        <f t="shared" si="5"/>
        <v>390</v>
      </c>
      <c r="H176" s="51">
        <f t="shared" si="3"/>
        <v>780</v>
      </c>
      <c r="I176" s="53">
        <f t="shared" si="6"/>
        <v>1</v>
      </c>
      <c r="J176" s="12"/>
      <c r="K176" s="1"/>
      <c r="L176" s="1"/>
      <c r="M176" s="1"/>
      <c r="N176" s="1"/>
      <c r="O176" s="1"/>
      <c r="P176" s="1"/>
      <c r="Q176" s="1"/>
      <c r="R176" s="1"/>
      <c r="S176" s="1"/>
      <c r="T176" s="1"/>
      <c r="U176" s="1"/>
      <c r="V176" s="1"/>
      <c r="W176" s="1"/>
      <c r="X176" s="1"/>
      <c r="Y176" s="1"/>
      <c r="Z176" s="1"/>
    </row>
    <row r="177">
      <c r="A177" s="1"/>
      <c r="B177" s="1"/>
      <c r="C177" s="63" t="str">
        <f>IFERROR(__xludf.DUMMYFUNCTION("""COMPUTED_VALUE"""),"AV507 – 12 METROS")</f>
        <v>AV507 – 12 METROS</v>
      </c>
      <c r="D177" s="64" t="str">
        <f>IFERROR(__xludf.DUMMYFUNCTION("IMPORTRANGE(""https://docs.google.com/spreadsheets/d/1ZgkzeBdhSokvqCpGgO9LgqfDTs6HIgXYJH9ON5WjN-s/edit?gid=891027965#gid=891027965"",""secundário!d1"")"),"ASPIRVAC 2")</f>
        <v>ASPIRVAC 2</v>
      </c>
      <c r="E177" s="56">
        <v>0.0</v>
      </c>
      <c r="F177" s="57">
        <f>IFERROR(__xludf.DUMMYFUNCTION("""COMPUTED_VALUE"""),1750.0)</f>
        <v>1750</v>
      </c>
      <c r="G177" s="58">
        <f t="shared" si="5"/>
        <v>1750</v>
      </c>
      <c r="H177" s="57">
        <f t="shared" si="3"/>
        <v>3500</v>
      </c>
      <c r="I177" s="59">
        <f t="shared" si="6"/>
        <v>1</v>
      </c>
      <c r="J177" s="12"/>
      <c r="K177" s="1"/>
      <c r="L177" s="1"/>
      <c r="M177" s="1"/>
      <c r="N177" s="1"/>
      <c r="O177" s="1"/>
      <c r="P177" s="1"/>
      <c r="Q177" s="1"/>
      <c r="R177" s="1"/>
      <c r="S177" s="1"/>
      <c r="T177" s="1"/>
      <c r="U177" s="1"/>
      <c r="V177" s="1"/>
      <c r="W177" s="1"/>
      <c r="X177" s="1"/>
      <c r="Y177" s="1"/>
      <c r="Z177" s="1"/>
    </row>
    <row r="178">
      <c r="A178" s="1"/>
      <c r="B178" s="1"/>
      <c r="C178" s="60" t="str">
        <f>IFERROR(__xludf.DUMMYFUNCTION("""COMPUTED_VALUE"""),"AV508 – 15 METROS")</f>
        <v>AV508 – 15 METROS</v>
      </c>
      <c r="D178" s="61" t="str">
        <f>IFERROR(__xludf.DUMMYFUNCTION("IMPORTRANGE(""https://docs.google.com/spreadsheets/d/1ZgkzeBdhSokvqCpGgO9LgqfDTs6HIgXYJH9ON5WjN-s/edit?gid=891027965#gid=891027965"",""secundário!d1"")"),"ASPIRVAC 2")</f>
        <v>ASPIRVAC 2</v>
      </c>
      <c r="E178" s="50">
        <v>0.0</v>
      </c>
      <c r="F178" s="51">
        <f>IFERROR(__xludf.DUMMYFUNCTION("""COMPUTED_VALUE"""),1890.0)</f>
        <v>1890</v>
      </c>
      <c r="G178" s="52">
        <f t="shared" si="5"/>
        <v>1890</v>
      </c>
      <c r="H178" s="51">
        <f t="shared" si="3"/>
        <v>3780</v>
      </c>
      <c r="I178" s="53">
        <f t="shared" si="6"/>
        <v>1</v>
      </c>
      <c r="J178" s="12"/>
      <c r="K178" s="1"/>
      <c r="L178" s="1"/>
      <c r="M178" s="1"/>
      <c r="N178" s="1"/>
      <c r="O178" s="1"/>
      <c r="P178" s="1"/>
      <c r="Q178" s="1"/>
      <c r="R178" s="1"/>
      <c r="S178" s="1"/>
      <c r="T178" s="1"/>
      <c r="U178" s="1"/>
      <c r="V178" s="1"/>
      <c r="W178" s="1"/>
      <c r="X178" s="1"/>
      <c r="Y178" s="1"/>
      <c r="Z178" s="1"/>
    </row>
    <row r="179">
      <c r="A179" s="1"/>
      <c r="B179" s="1"/>
      <c r="C179" s="63" t="str">
        <f>IFERROR(__xludf.DUMMYFUNCTION("""COMPUTED_VALUE"""),"AV509 – 18 METROS")</f>
        <v>AV509 – 18 METROS</v>
      </c>
      <c r="D179" s="64" t="str">
        <f>IFERROR(__xludf.DUMMYFUNCTION("IMPORTRANGE(""https://docs.google.com/spreadsheets/d/1ZgkzeBdhSokvqCpGgO9LgqfDTs6HIgXYJH9ON5WjN-s/edit?gid=891027965#gid=891027965"",""secundário!d1"")"),"ASPIRVAC 2")</f>
        <v>ASPIRVAC 2</v>
      </c>
      <c r="E179" s="56">
        <v>0.0</v>
      </c>
      <c r="F179" s="57">
        <f>IFERROR(__xludf.DUMMYFUNCTION("""COMPUTED_VALUE"""),2150.0)</f>
        <v>2150</v>
      </c>
      <c r="G179" s="58">
        <f t="shared" si="5"/>
        <v>2150</v>
      </c>
      <c r="H179" s="57">
        <f t="shared" si="3"/>
        <v>4300</v>
      </c>
      <c r="I179" s="59">
        <f t="shared" si="6"/>
        <v>1</v>
      </c>
      <c r="J179" s="12"/>
      <c r="K179" s="1"/>
      <c r="L179" s="1"/>
      <c r="M179" s="1"/>
      <c r="N179" s="1"/>
      <c r="O179" s="1"/>
      <c r="P179" s="1"/>
      <c r="Q179" s="1"/>
      <c r="R179" s="1"/>
      <c r="S179" s="1"/>
      <c r="T179" s="1"/>
      <c r="U179" s="1"/>
      <c r="V179" s="1"/>
      <c r="W179" s="1"/>
      <c r="X179" s="1"/>
      <c r="Y179" s="1"/>
      <c r="Z179" s="1"/>
    </row>
    <row r="180">
      <c r="A180" s="1"/>
      <c r="B180" s="1"/>
      <c r="C180" s="60" t="str">
        <f>IFERROR(__xludf.DUMMYFUNCTION("""COMPUTED_VALUE"""),"BASE DE MONTAGEM METÁLICA p/ AV120
(Dimensões: A x L x P m)")</f>
        <v>BASE DE MONTAGEM METÁLICA p/ AV120
(Dimensões: A x L x P m)</v>
      </c>
      <c r="D180" s="61" t="str">
        <f>IFERROR(__xludf.DUMMYFUNCTION("IMPORTRANGE(""https://docs.google.com/spreadsheets/d/1ZgkzeBdhSokvqCpGgO9LgqfDTs6HIgXYJH9ON5WjN-s/edit?gid=891027965#gid=891027965"",""secundário!d1"")"),"ASPIRVAC 2")</f>
        <v>ASPIRVAC 2</v>
      </c>
      <c r="E180" s="50">
        <v>0.0</v>
      </c>
      <c r="F180" s="51">
        <f>IFERROR(__xludf.DUMMYFUNCTION("""COMPUTED_VALUE"""),95.0)</f>
        <v>95</v>
      </c>
      <c r="G180" s="52">
        <f t="shared" si="5"/>
        <v>95</v>
      </c>
      <c r="H180" s="51">
        <f t="shared" si="3"/>
        <v>190</v>
      </c>
      <c r="I180" s="53">
        <f t="shared" si="6"/>
        <v>1</v>
      </c>
      <c r="J180" s="12"/>
      <c r="K180" s="1"/>
      <c r="L180" s="1"/>
      <c r="M180" s="1"/>
      <c r="N180" s="1"/>
      <c r="O180" s="1"/>
      <c r="P180" s="1"/>
      <c r="Q180" s="1"/>
      <c r="R180" s="1"/>
      <c r="S180" s="1"/>
      <c r="T180" s="1"/>
      <c r="U180" s="1"/>
      <c r="V180" s="1"/>
      <c r="W180" s="1"/>
      <c r="X180" s="1"/>
      <c r="Y180" s="1"/>
      <c r="Z180" s="1"/>
    </row>
    <row r="181">
      <c r="A181" s="1"/>
      <c r="B181" s="1"/>
      <c r="C181" s="63" t="str">
        <f>IFERROR(__xludf.DUMMYFUNCTION("""COMPUTED_VALUE"""),"BASE DE MONTAGEM METÁLICA p/ AV121
(Dimensões: A x L x P mm)")</f>
        <v>BASE DE MONTAGEM METÁLICA p/ AV121
(Dimensões: A x L x P mm)</v>
      </c>
      <c r="D181" s="64" t="str">
        <f>IFERROR(__xludf.DUMMYFUNCTION("IMPORTRANGE(""https://docs.google.com/spreadsheets/d/1ZgkzeBdhSokvqCpGgO9LgqfDTs6HIgXYJH9ON5WjN-s/edit?gid=891027965#gid=891027965"",""secundário!d1"")"),"ASPIRVAC 2")</f>
        <v>ASPIRVAC 2</v>
      </c>
      <c r="E181" s="56">
        <v>0.0</v>
      </c>
      <c r="F181" s="57">
        <f>IFERROR(__xludf.DUMMYFUNCTION("""COMPUTED_VALUE"""),100.0)</f>
        <v>100</v>
      </c>
      <c r="G181" s="58">
        <f t="shared" si="5"/>
        <v>100</v>
      </c>
      <c r="H181" s="57">
        <f t="shared" si="3"/>
        <v>200</v>
      </c>
      <c r="I181" s="59">
        <f t="shared" si="6"/>
        <v>1</v>
      </c>
      <c r="J181" s="12"/>
      <c r="K181" s="1"/>
      <c r="L181" s="1"/>
      <c r="M181" s="1"/>
      <c r="N181" s="1"/>
      <c r="O181" s="1"/>
      <c r="P181" s="1"/>
      <c r="Q181" s="1"/>
      <c r="R181" s="1"/>
      <c r="S181" s="1"/>
      <c r="T181" s="1"/>
      <c r="U181" s="1"/>
      <c r="V181" s="1"/>
      <c r="W181" s="1"/>
      <c r="X181" s="1"/>
      <c r="Y181" s="1"/>
      <c r="Z181" s="1"/>
    </row>
    <row r="182">
      <c r="A182" s="1"/>
      <c r="B182" s="1"/>
      <c r="C182" s="48" t="str">
        <f>IFERROR(__xludf.DUMMYFUNCTION("""COMPUTED_VALUE"""),"BICO PLÁSTICO MALEÁVEL PARA CANTOS
(Comprimento: 65 cm)")</f>
        <v>BICO PLÁSTICO MALEÁVEL PARA CANTOS
(Comprimento: 65 cm)</v>
      </c>
      <c r="D182" s="61" t="str">
        <f>IFERROR(__xludf.DUMMYFUNCTION("IMPORTRANGE(""https://docs.google.com/spreadsheets/d/1ZgkzeBdhSokvqCpGgO9LgqfDTs6HIgXYJH9ON5WjN-s/edit?gid=891027965#gid=891027965"",""secundário!d1"")"),"ASPIRVAC 2")</f>
        <v>ASPIRVAC 2</v>
      </c>
      <c r="E182" s="50">
        <v>0.0</v>
      </c>
      <c r="F182" s="52">
        <f>IFERROR(__xludf.DUMMYFUNCTION("""COMPUTED_VALUE"""),150.0)</f>
        <v>150</v>
      </c>
      <c r="G182" s="52">
        <f t="shared" ref="G182:G284" si="7">IF(F182&gt;0,F182*E182+F182,"")</f>
        <v>150</v>
      </c>
      <c r="H182" s="51">
        <f t="shared" si="3"/>
        <v>300</v>
      </c>
      <c r="I182" s="53">
        <f t="shared" ref="I182:I284" si="8">IF(H182&gt;0,(H182-G182)/G182,"")</f>
        <v>1</v>
      </c>
      <c r="J182" s="12"/>
      <c r="K182" s="1"/>
      <c r="L182" s="1"/>
      <c r="M182" s="1"/>
      <c r="N182" s="1"/>
      <c r="O182" s="1"/>
      <c r="P182" s="1"/>
      <c r="Q182" s="1"/>
      <c r="R182" s="1"/>
      <c r="S182" s="1"/>
      <c r="T182" s="1"/>
      <c r="U182" s="1"/>
      <c r="V182" s="1"/>
      <c r="W182" s="1"/>
      <c r="X182" s="1"/>
      <c r="Y182" s="1"/>
      <c r="Z182" s="1"/>
    </row>
    <row r="183">
      <c r="A183" s="1"/>
      <c r="B183" s="1"/>
      <c r="C183" s="54" t="str">
        <f>IFERROR(__xludf.DUMMYFUNCTION("""COMPUTED_VALUE"""),"BORRACHA DE VEDAÇÃO p/ AV143 e AV144")</f>
        <v>BORRACHA DE VEDAÇÃO p/ AV143 e AV144</v>
      </c>
      <c r="D183" s="64" t="str">
        <f>IFERROR(__xludf.DUMMYFUNCTION("IMPORTRANGE(""https://docs.google.com/spreadsheets/d/1ZgkzeBdhSokvqCpGgO9LgqfDTs6HIgXYJH9ON5WjN-s/edit?gid=891027965#gid=891027965"",""secundário!d1"")"),"ASPIRVAC 2")</f>
        <v>ASPIRVAC 2</v>
      </c>
      <c r="E183" s="56">
        <v>0.0</v>
      </c>
      <c r="F183" s="58">
        <f>IFERROR(__xludf.DUMMYFUNCTION("""COMPUTED_VALUE"""),24.0)</f>
        <v>24</v>
      </c>
      <c r="G183" s="58">
        <f t="shared" si="7"/>
        <v>24</v>
      </c>
      <c r="H183" s="57">
        <f t="shared" si="3"/>
        <v>48</v>
      </c>
      <c r="I183" s="59">
        <f t="shared" si="8"/>
        <v>1</v>
      </c>
      <c r="J183" s="12"/>
      <c r="K183" s="1"/>
      <c r="L183" s="1"/>
      <c r="M183" s="1"/>
      <c r="N183" s="1"/>
      <c r="O183" s="1"/>
      <c r="P183" s="1"/>
      <c r="Q183" s="1"/>
      <c r="R183" s="1"/>
      <c r="S183" s="1"/>
      <c r="T183" s="1"/>
      <c r="U183" s="1"/>
      <c r="V183" s="1"/>
      <c r="W183" s="1"/>
      <c r="X183" s="1"/>
      <c r="Y183" s="1"/>
      <c r="Z183" s="1"/>
    </row>
    <row r="184">
      <c r="A184" s="1"/>
      <c r="B184" s="1"/>
      <c r="C184" s="48" t="str">
        <f>IFERROR(__xludf.DUMMYFUNCTION("""COMPUTED_VALUE"""),"CAPA TNT PARA FILTRO HEPA")</f>
        <v>CAPA TNT PARA FILTRO HEPA</v>
      </c>
      <c r="D184" s="61" t="str">
        <f>IFERROR(__xludf.DUMMYFUNCTION("IMPORTRANGE(""https://docs.google.com/spreadsheets/d/1ZgkzeBdhSokvqCpGgO9LgqfDTs6HIgXYJH9ON5WjN-s/edit?gid=891027965#gid=891027965"",""secundário!d1"")"),"ASPIRVAC 2")</f>
        <v>ASPIRVAC 2</v>
      </c>
      <c r="E184" s="50">
        <v>0.0</v>
      </c>
      <c r="F184" s="52">
        <f>IFERROR(__xludf.DUMMYFUNCTION("""COMPUTED_VALUE"""),25.0)</f>
        <v>25</v>
      </c>
      <c r="G184" s="52">
        <f t="shared" si="7"/>
        <v>25</v>
      </c>
      <c r="H184" s="51">
        <f t="shared" si="3"/>
        <v>50</v>
      </c>
      <c r="I184" s="53">
        <f t="shared" si="8"/>
        <v>1</v>
      </c>
      <c r="J184" s="12"/>
      <c r="K184" s="1"/>
      <c r="L184" s="1"/>
      <c r="M184" s="1"/>
      <c r="N184" s="1"/>
      <c r="O184" s="1"/>
      <c r="P184" s="1"/>
      <c r="Q184" s="1"/>
      <c r="R184" s="1"/>
      <c r="S184" s="1"/>
      <c r="T184" s="1"/>
      <c r="U184" s="1"/>
      <c r="V184" s="1"/>
      <c r="W184" s="1"/>
      <c r="X184" s="1"/>
      <c r="Y184" s="1"/>
      <c r="Z184" s="1"/>
    </row>
    <row r="185">
      <c r="A185" s="1"/>
      <c r="B185" s="1"/>
      <c r="C185" s="54" t="str">
        <f>IFERROR(__xludf.DUMMYFUNCTION("""COMPUTED_VALUE"""),"CONJUNTO 4 PEÇAS
(escova  móveis,  escova  sofás,  bico  de cantos e suporte para escovas)")</f>
        <v>CONJUNTO 4 PEÇAS
(escova  móveis,  escova  sofás,  bico  de cantos e suporte para escovas)</v>
      </c>
      <c r="D185" s="64" t="str">
        <f>IFERROR(__xludf.DUMMYFUNCTION("IMPORTRANGE(""https://docs.google.com/spreadsheets/d/1ZgkzeBdhSokvqCpGgO9LgqfDTs6HIgXYJH9ON5WjN-s/edit?gid=891027965#gid=891027965"",""secundário!d1"")"),"ASPIRVAC 2")</f>
        <v>ASPIRVAC 2</v>
      </c>
      <c r="E185" s="56">
        <v>0.0</v>
      </c>
      <c r="F185" s="58">
        <f>IFERROR(__xludf.DUMMYFUNCTION("""COMPUTED_VALUE"""),100.0)</f>
        <v>100</v>
      </c>
      <c r="G185" s="58">
        <f t="shared" si="7"/>
        <v>100</v>
      </c>
      <c r="H185" s="57">
        <f t="shared" si="3"/>
        <v>200</v>
      </c>
      <c r="I185" s="59">
        <f t="shared" si="8"/>
        <v>1</v>
      </c>
      <c r="J185" s="12"/>
      <c r="K185" s="1"/>
      <c r="L185" s="1"/>
      <c r="M185" s="1"/>
      <c r="N185" s="1"/>
      <c r="O185" s="1"/>
      <c r="P185" s="1"/>
      <c r="Q185" s="1"/>
      <c r="R185" s="1"/>
      <c r="S185" s="1"/>
      <c r="T185" s="1"/>
      <c r="U185" s="1"/>
      <c r="V185" s="1"/>
      <c r="W185" s="1"/>
      <c r="X185" s="1"/>
      <c r="Y185" s="1"/>
      <c r="Z185" s="1"/>
    </row>
    <row r="186">
      <c r="A186" s="1"/>
      <c r="B186" s="1"/>
      <c r="C186" s="48" t="str">
        <f>IFERROR(__xludf.DUMMYFUNCTION("""COMPUTED_VALUE"""),"CONJUNTO 5 PEÇAS
(escova  móveis,  escova  sofás,  bico  de cantos,  suporte  escovas  e  suporte  tubo telescópico)")</f>
        <v>CONJUNTO 5 PEÇAS
(escova  móveis,  escova  sofás,  bico  de cantos,  suporte  escovas  e  suporte  tubo telescópico)</v>
      </c>
      <c r="D186" s="61" t="str">
        <f>IFERROR(__xludf.DUMMYFUNCTION("IMPORTRANGE(""https://docs.google.com/spreadsheets/d/1ZgkzeBdhSokvqCpGgO9LgqfDTs6HIgXYJH9ON5WjN-s/edit?gid=891027965#gid=891027965"",""secundário!d1"")"),"ASPIRVAC 2")</f>
        <v>ASPIRVAC 2</v>
      </c>
      <c r="E186" s="50">
        <v>0.0</v>
      </c>
      <c r="F186" s="52">
        <f>IFERROR(__xludf.DUMMYFUNCTION("""COMPUTED_VALUE"""),120.0)</f>
        <v>120</v>
      </c>
      <c r="G186" s="52">
        <f t="shared" si="7"/>
        <v>120</v>
      </c>
      <c r="H186" s="51">
        <f t="shared" si="3"/>
        <v>240</v>
      </c>
      <c r="I186" s="53">
        <f t="shared" si="8"/>
        <v>1</v>
      </c>
      <c r="J186" s="12"/>
      <c r="K186" s="1"/>
      <c r="L186" s="1"/>
      <c r="M186" s="1"/>
      <c r="N186" s="1"/>
      <c r="O186" s="1"/>
      <c r="P186" s="1"/>
      <c r="Q186" s="1"/>
      <c r="R186" s="1"/>
      <c r="S186" s="1"/>
      <c r="T186" s="1"/>
      <c r="U186" s="1"/>
      <c r="V186" s="1"/>
      <c r="W186" s="1"/>
      <c r="X186" s="1"/>
      <c r="Y186" s="1"/>
      <c r="Z186" s="1"/>
    </row>
    <row r="187">
      <c r="A187" s="1"/>
      <c r="B187" s="1"/>
      <c r="C187" s="54" t="str">
        <f>IFERROR(__xludf.DUMMYFUNCTION("""COMPUTED_VALUE"""),"CONJUNTO PREMIUM PRETO
(escova crina grande, escova móveis, bico de cantos e escova sofás)")</f>
        <v>CONJUNTO PREMIUM PRETO
(escova crina grande, escova móveis, bico de cantos e escova sofás)</v>
      </c>
      <c r="D187" s="64" t="str">
        <f>IFERROR(__xludf.DUMMYFUNCTION("IMPORTRANGE(""https://docs.google.com/spreadsheets/d/1ZgkzeBdhSokvqCpGgO9LgqfDTs6HIgXYJH9ON5WjN-s/edit?gid=891027965#gid=891027965"",""secundário!d1"")"),"ASPIRVAC 2")</f>
        <v>ASPIRVAC 2</v>
      </c>
      <c r="E187" s="56">
        <v>0.0</v>
      </c>
      <c r="F187" s="58">
        <f>IFERROR(__xludf.DUMMYFUNCTION("""COMPUTED_VALUE"""),198.0)</f>
        <v>198</v>
      </c>
      <c r="G187" s="58">
        <f t="shared" si="7"/>
        <v>198</v>
      </c>
      <c r="H187" s="57">
        <f t="shared" si="3"/>
        <v>396</v>
      </c>
      <c r="I187" s="59">
        <f t="shared" si="8"/>
        <v>1</v>
      </c>
      <c r="J187" s="12"/>
      <c r="K187" s="1"/>
      <c r="L187" s="1"/>
      <c r="M187" s="1"/>
      <c r="N187" s="1"/>
      <c r="O187" s="1"/>
      <c r="P187" s="1"/>
      <c r="Q187" s="1"/>
      <c r="R187" s="1"/>
      <c r="S187" s="1"/>
      <c r="T187" s="1"/>
      <c r="U187" s="1"/>
      <c r="V187" s="1"/>
      <c r="W187" s="1"/>
      <c r="X187" s="1"/>
      <c r="Y187" s="1"/>
      <c r="Z187" s="1"/>
    </row>
    <row r="188">
      <c r="A188" s="1"/>
      <c r="B188" s="1"/>
      <c r="C188" s="48" t="str">
        <f>IFERROR(__xludf.DUMMYFUNCTION("""COMPUTED_VALUE"""),"CURVA 30⁰ F/F")</f>
        <v>CURVA 30⁰ F/F</v>
      </c>
      <c r="D188" s="61" t="str">
        <f>IFERROR(__xludf.DUMMYFUNCTION("IMPORTRANGE(""https://docs.google.com/spreadsheets/d/1ZgkzeBdhSokvqCpGgO9LgqfDTs6HIgXYJH9ON5WjN-s/edit?gid=891027965#gid=891027965"",""secundário!d1"")"),"ASPIRVAC 2")</f>
        <v>ASPIRVAC 2</v>
      </c>
      <c r="E188" s="50">
        <v>0.0</v>
      </c>
      <c r="F188" s="52">
        <f>IFERROR(__xludf.DUMMYFUNCTION("""COMPUTED_VALUE"""),8.8)</f>
        <v>8.8</v>
      </c>
      <c r="G188" s="52">
        <f t="shared" si="7"/>
        <v>8.8</v>
      </c>
      <c r="H188" s="51">
        <f t="shared" si="3"/>
        <v>17.6</v>
      </c>
      <c r="I188" s="53">
        <f t="shared" si="8"/>
        <v>1</v>
      </c>
      <c r="J188" s="12"/>
      <c r="K188" s="1"/>
      <c r="L188" s="1"/>
      <c r="M188" s="1"/>
      <c r="N188" s="1"/>
      <c r="O188" s="1"/>
      <c r="P188" s="1"/>
      <c r="Q188" s="1"/>
      <c r="R188" s="1"/>
      <c r="S188" s="1"/>
      <c r="T188" s="1"/>
      <c r="U188" s="1"/>
      <c r="V188" s="1"/>
      <c r="W188" s="1"/>
      <c r="X188" s="1"/>
      <c r="Y188" s="1"/>
      <c r="Z188" s="1"/>
    </row>
    <row r="189">
      <c r="A189" s="1"/>
      <c r="B189" s="1"/>
      <c r="C189" s="54" t="str">
        <f>IFERROR(__xludf.DUMMYFUNCTION("""COMPUTED_VALUE"""),"CURVA CURTA 45⁰ F/F")</f>
        <v>CURVA CURTA 45⁰ F/F</v>
      </c>
      <c r="D189" s="64" t="str">
        <f>IFERROR(__xludf.DUMMYFUNCTION("IMPORTRANGE(""https://docs.google.com/spreadsheets/d/1ZgkzeBdhSokvqCpGgO9LgqfDTs6HIgXYJH9ON5WjN-s/edit?gid=891027965#gid=891027965"",""secundário!d1"")"),"ASPIRVAC 2")</f>
        <v>ASPIRVAC 2</v>
      </c>
      <c r="E189" s="56">
        <v>0.0</v>
      </c>
      <c r="F189" s="58">
        <f>IFERROR(__xludf.DUMMYFUNCTION("""COMPUTED_VALUE"""),10.0)</f>
        <v>10</v>
      </c>
      <c r="G189" s="58">
        <f t="shared" si="7"/>
        <v>10</v>
      </c>
      <c r="H189" s="57">
        <f t="shared" si="3"/>
        <v>20</v>
      </c>
      <c r="I189" s="59">
        <f t="shared" si="8"/>
        <v>1</v>
      </c>
      <c r="J189" s="12"/>
      <c r="K189" s="1"/>
      <c r="L189" s="1"/>
      <c r="M189" s="1"/>
      <c r="N189" s="1"/>
      <c r="O189" s="1"/>
      <c r="P189" s="1"/>
      <c r="Q189" s="1"/>
      <c r="R189" s="1"/>
      <c r="S189" s="1"/>
      <c r="T189" s="1"/>
      <c r="U189" s="1"/>
      <c r="V189" s="1"/>
      <c r="W189" s="1"/>
      <c r="X189" s="1"/>
      <c r="Y189" s="1"/>
      <c r="Z189" s="1"/>
    </row>
    <row r="190">
      <c r="A190" s="1"/>
      <c r="B190" s="1"/>
      <c r="C190" s="48" t="str">
        <f>IFERROR(__xludf.DUMMYFUNCTION("""COMPUTED_VALUE"""),"CURVA CURTA 45⁰ F/F  125 UND")</f>
        <v>CURVA CURTA 45⁰ F/F  125 UND</v>
      </c>
      <c r="D190" s="61" t="str">
        <f>IFERROR(__xludf.DUMMYFUNCTION("IMPORTRANGE(""https://docs.google.com/spreadsheets/d/1ZgkzeBdhSokvqCpGgO9LgqfDTs6HIgXYJH9ON5WjN-s/edit?gid=891027965#gid=891027965"",""secundário!d1"")"),"ASPIRVAC 2")</f>
        <v>ASPIRVAC 2</v>
      </c>
      <c r="E190" s="50">
        <v>0.0</v>
      </c>
      <c r="F190" s="52">
        <f>IFERROR(__xludf.DUMMYFUNCTION("""COMPUTED_VALUE"""),9.2)</f>
        <v>9.2</v>
      </c>
      <c r="G190" s="52">
        <f t="shared" si="7"/>
        <v>9.2</v>
      </c>
      <c r="H190" s="51">
        <f t="shared" si="3"/>
        <v>18.4</v>
      </c>
      <c r="I190" s="53">
        <f t="shared" si="8"/>
        <v>1</v>
      </c>
      <c r="J190" s="12"/>
      <c r="K190" s="1"/>
      <c r="L190" s="1"/>
      <c r="M190" s="1"/>
      <c r="N190" s="1"/>
      <c r="O190" s="1"/>
      <c r="P190" s="1"/>
      <c r="Q190" s="1"/>
      <c r="R190" s="1"/>
      <c r="S190" s="1"/>
      <c r="T190" s="1"/>
      <c r="U190" s="1"/>
      <c r="V190" s="1"/>
      <c r="W190" s="1"/>
      <c r="X190" s="1"/>
      <c r="Y190" s="1"/>
      <c r="Z190" s="1"/>
    </row>
    <row r="191">
      <c r="A191" s="1"/>
      <c r="B191" s="1"/>
      <c r="C191" s="54" t="str">
        <f>IFERROR(__xludf.DUMMYFUNCTION("""COMPUTED_VALUE"""),"CURVA CURTA 45⁰ M/F")</f>
        <v>CURVA CURTA 45⁰ M/F</v>
      </c>
      <c r="D191" s="64" t="str">
        <f>IFERROR(__xludf.DUMMYFUNCTION("IMPORTRANGE(""https://docs.google.com/spreadsheets/d/1ZgkzeBdhSokvqCpGgO9LgqfDTs6HIgXYJH9ON5WjN-s/edit?gid=891027965#gid=891027965"",""secundário!d1"")"),"ASPIRVAC 2")</f>
        <v>ASPIRVAC 2</v>
      </c>
      <c r="E191" s="56">
        <v>0.0</v>
      </c>
      <c r="F191" s="58">
        <f>IFERROR(__xludf.DUMMYFUNCTION("""COMPUTED_VALUE"""),10.0)</f>
        <v>10</v>
      </c>
      <c r="G191" s="58">
        <f t="shared" si="7"/>
        <v>10</v>
      </c>
      <c r="H191" s="57">
        <f t="shared" si="3"/>
        <v>20</v>
      </c>
      <c r="I191" s="59">
        <f t="shared" si="8"/>
        <v>1</v>
      </c>
      <c r="J191" s="12"/>
      <c r="K191" s="1"/>
      <c r="L191" s="1"/>
      <c r="M191" s="1"/>
      <c r="N191" s="1"/>
      <c r="O191" s="1"/>
      <c r="P191" s="1"/>
      <c r="Q191" s="1"/>
      <c r="R191" s="1"/>
      <c r="S191" s="1"/>
      <c r="T191" s="1"/>
      <c r="U191" s="1"/>
      <c r="V191" s="1"/>
      <c r="W191" s="1"/>
      <c r="X191" s="1"/>
      <c r="Y191" s="1"/>
      <c r="Z191" s="1"/>
    </row>
    <row r="192">
      <c r="A192" s="1"/>
      <c r="B192" s="1"/>
      <c r="C192" s="48" t="str">
        <f>IFERROR(__xludf.DUMMYFUNCTION("""COMPUTED_VALUE"""),"CURVA CURTA 90⁰ F/ F")</f>
        <v>CURVA CURTA 90⁰ F/ F</v>
      </c>
      <c r="D192" s="61" t="str">
        <f>IFERROR(__xludf.DUMMYFUNCTION("IMPORTRANGE(""https://docs.google.com/spreadsheets/d/1ZgkzeBdhSokvqCpGgO9LgqfDTs6HIgXYJH9ON5WjN-s/edit?gid=891027965#gid=891027965"",""secundário!d1"")"),"ASPIRVAC 2")</f>
        <v>ASPIRVAC 2</v>
      </c>
      <c r="E192" s="50">
        <v>0.0</v>
      </c>
      <c r="F192" s="52">
        <f>IFERROR(__xludf.DUMMYFUNCTION("""COMPUTED_VALUE"""),10.4)</f>
        <v>10.4</v>
      </c>
      <c r="G192" s="52">
        <f t="shared" si="7"/>
        <v>10.4</v>
      </c>
      <c r="H192" s="51">
        <f t="shared" si="3"/>
        <v>20.8</v>
      </c>
      <c r="I192" s="53">
        <f t="shared" si="8"/>
        <v>1</v>
      </c>
      <c r="J192" s="12"/>
      <c r="K192" s="1"/>
      <c r="L192" s="1"/>
      <c r="M192" s="1"/>
      <c r="N192" s="1"/>
      <c r="O192" s="1"/>
      <c r="P192" s="1"/>
      <c r="Q192" s="1"/>
      <c r="R192" s="1"/>
      <c r="S192" s="1"/>
      <c r="T192" s="1"/>
      <c r="U192" s="1"/>
      <c r="V192" s="1"/>
      <c r="W192" s="1"/>
      <c r="X192" s="1"/>
      <c r="Y192" s="1"/>
      <c r="Z192" s="1"/>
    </row>
    <row r="193">
      <c r="A193" s="1"/>
      <c r="B193" s="1"/>
      <c r="C193" s="54" t="str">
        <f>IFERROR(__xludf.DUMMYFUNCTION("""COMPUTED_VALUE"""),"CURVA CURTA 90⁰ F/ F  100 UND")</f>
        <v>CURVA CURTA 90⁰ F/ F  100 UND</v>
      </c>
      <c r="D193" s="64" t="str">
        <f>IFERROR(__xludf.DUMMYFUNCTION("IMPORTRANGE(""https://docs.google.com/spreadsheets/d/1ZgkzeBdhSokvqCpGgO9LgqfDTs6HIgXYJH9ON5WjN-s/edit?gid=891027965#gid=891027965"",""secundário!d1"")"),"ASPIRVAC 2")</f>
        <v>ASPIRVAC 2</v>
      </c>
      <c r="E193" s="56">
        <v>0.0</v>
      </c>
      <c r="F193" s="58">
        <f>IFERROR(__xludf.DUMMYFUNCTION("""COMPUTED_VALUE"""),9.5)</f>
        <v>9.5</v>
      </c>
      <c r="G193" s="58">
        <f t="shared" si="7"/>
        <v>9.5</v>
      </c>
      <c r="H193" s="57">
        <f t="shared" si="3"/>
        <v>19</v>
      </c>
      <c r="I193" s="59">
        <f t="shared" si="8"/>
        <v>1</v>
      </c>
      <c r="J193" s="12"/>
      <c r="K193" s="1"/>
      <c r="L193" s="1"/>
      <c r="M193" s="1"/>
      <c r="N193" s="1"/>
      <c r="O193" s="1"/>
      <c r="P193" s="1"/>
      <c r="Q193" s="1"/>
      <c r="R193" s="1"/>
      <c r="S193" s="1"/>
      <c r="T193" s="1"/>
      <c r="U193" s="1"/>
      <c r="V193" s="1"/>
      <c r="W193" s="1"/>
      <c r="X193" s="1"/>
      <c r="Y193" s="1"/>
      <c r="Z193" s="1"/>
    </row>
    <row r="194">
      <c r="A194" s="1"/>
      <c r="B194" s="1"/>
      <c r="C194" s="48" t="str">
        <f>IFERROR(__xludf.DUMMYFUNCTION("""COMPUTED_VALUE"""),"CURVA LONGA 90⁰ F/F")</f>
        <v>CURVA LONGA 90⁰ F/F</v>
      </c>
      <c r="D194" s="61" t="str">
        <f>IFERROR(__xludf.DUMMYFUNCTION("IMPORTRANGE(""https://docs.google.com/spreadsheets/d/1ZgkzeBdhSokvqCpGgO9LgqfDTs6HIgXYJH9ON5WjN-s/edit?gid=891027965#gid=891027965"",""secundário!d1"")"),"ASPIRVAC 2")</f>
        <v>ASPIRVAC 2</v>
      </c>
      <c r="E194" s="50">
        <v>0.0</v>
      </c>
      <c r="F194" s="52">
        <f>IFERROR(__xludf.DUMMYFUNCTION("""COMPUTED_VALUE"""),13.0)</f>
        <v>13</v>
      </c>
      <c r="G194" s="52">
        <f t="shared" si="7"/>
        <v>13</v>
      </c>
      <c r="H194" s="51">
        <f t="shared" si="3"/>
        <v>26</v>
      </c>
      <c r="I194" s="53">
        <f t="shared" si="8"/>
        <v>1</v>
      </c>
      <c r="J194" s="12"/>
      <c r="K194" s="1"/>
      <c r="L194" s="1"/>
      <c r="M194" s="1"/>
      <c r="N194" s="1"/>
      <c r="O194" s="1"/>
      <c r="P194" s="1"/>
      <c r="Q194" s="1"/>
      <c r="R194" s="1"/>
      <c r="S194" s="1"/>
      <c r="T194" s="1"/>
      <c r="U194" s="1"/>
      <c r="V194" s="1"/>
      <c r="W194" s="1"/>
      <c r="X194" s="1"/>
      <c r="Y194" s="1"/>
      <c r="Z194" s="1"/>
    </row>
    <row r="195">
      <c r="A195" s="1"/>
      <c r="B195" s="1"/>
      <c r="C195" s="54" t="str">
        <f>IFERROR(__xludf.DUMMYFUNCTION("""COMPUTED_VALUE"""),"CURVA LONGA 90⁰ F/F  115 UND")</f>
        <v>CURVA LONGA 90⁰ F/F  115 UND</v>
      </c>
      <c r="D195" s="64" t="str">
        <f>IFERROR(__xludf.DUMMYFUNCTION("IMPORTRANGE(""https://docs.google.com/spreadsheets/d/1ZgkzeBdhSokvqCpGgO9LgqfDTs6HIgXYJH9ON5WjN-s/edit?gid=891027965#gid=891027965"",""secundário!d1"")"),"ASPIRVAC 2")</f>
        <v>ASPIRVAC 2</v>
      </c>
      <c r="E195" s="56">
        <v>0.0</v>
      </c>
      <c r="F195" s="58">
        <f>IFERROR(__xludf.DUMMYFUNCTION("""COMPUTED_VALUE"""),12.0)</f>
        <v>12</v>
      </c>
      <c r="G195" s="58">
        <f t="shared" si="7"/>
        <v>12</v>
      </c>
      <c r="H195" s="57">
        <f t="shared" si="3"/>
        <v>24</v>
      </c>
      <c r="I195" s="59">
        <f t="shared" si="8"/>
        <v>1</v>
      </c>
      <c r="J195" s="12"/>
      <c r="K195" s="1"/>
      <c r="L195" s="1"/>
      <c r="M195" s="1"/>
      <c r="N195" s="1"/>
      <c r="O195" s="1"/>
      <c r="P195" s="1"/>
      <c r="Q195" s="1"/>
      <c r="R195" s="1"/>
      <c r="S195" s="1"/>
      <c r="T195" s="1"/>
      <c r="U195" s="1"/>
      <c r="V195" s="1"/>
      <c r="W195" s="1"/>
      <c r="X195" s="1"/>
      <c r="Y195" s="1"/>
      <c r="Z195" s="1"/>
    </row>
    <row r="196">
      <c r="A196" s="1"/>
      <c r="B196" s="1"/>
      <c r="C196" s="48" t="str">
        <f>IFERROR(__xludf.DUMMYFUNCTION("""COMPUTED_VALUE"""),"CURVA LONGA 90⁰ M/F")</f>
        <v>CURVA LONGA 90⁰ M/F</v>
      </c>
      <c r="D196" s="61" t="str">
        <f>IFERROR(__xludf.DUMMYFUNCTION("IMPORTRANGE(""https://docs.google.com/spreadsheets/d/1ZgkzeBdhSokvqCpGgO9LgqfDTs6HIgXYJH9ON5WjN-s/edit?gid=891027965#gid=891027965"",""secundário!d1"")"),"ASPIRVAC 2")</f>
        <v>ASPIRVAC 2</v>
      </c>
      <c r="E196" s="50">
        <v>0.0</v>
      </c>
      <c r="F196" s="52">
        <f>IFERROR(__xludf.DUMMYFUNCTION("""COMPUTED_VALUE"""),13.0)</f>
        <v>13</v>
      </c>
      <c r="G196" s="52">
        <f t="shared" si="7"/>
        <v>13</v>
      </c>
      <c r="H196" s="51">
        <f t="shared" si="3"/>
        <v>26</v>
      </c>
      <c r="I196" s="53">
        <f t="shared" si="8"/>
        <v>1</v>
      </c>
      <c r="J196" s="12"/>
      <c r="K196" s="1"/>
      <c r="L196" s="1"/>
      <c r="M196" s="1"/>
      <c r="N196" s="1"/>
      <c r="O196" s="1"/>
      <c r="P196" s="1"/>
      <c r="Q196" s="1"/>
      <c r="R196" s="1"/>
      <c r="S196" s="1"/>
      <c r="T196" s="1"/>
      <c r="U196" s="1"/>
      <c r="V196" s="1"/>
      <c r="W196" s="1"/>
      <c r="X196" s="1"/>
      <c r="Y196" s="1"/>
      <c r="Z196" s="1"/>
    </row>
    <row r="197">
      <c r="A197" s="1"/>
      <c r="B197" s="1"/>
      <c r="C197" s="54" t="str">
        <f>IFERROR(__xludf.DUMMYFUNCTION("""COMPUTED_VALUE"""),"CURVA PH 22,5⁰")</f>
        <v>CURVA PH 22,5⁰</v>
      </c>
      <c r="D197" s="64" t="str">
        <f>IFERROR(__xludf.DUMMYFUNCTION("IMPORTRANGE(""https://docs.google.com/spreadsheets/d/1ZgkzeBdhSokvqCpGgO9LgqfDTs6HIgXYJH9ON5WjN-s/edit?gid=891027965#gid=891027965"",""secundário!d1"")"),"ASPIRVAC 2")</f>
        <v>ASPIRVAC 2</v>
      </c>
      <c r="E197" s="56">
        <v>0.0</v>
      </c>
      <c r="F197" s="58">
        <f>IFERROR(__xludf.DUMMYFUNCTION("""COMPUTED_VALUE"""),58.0)</f>
        <v>58</v>
      </c>
      <c r="G197" s="58">
        <f t="shared" si="7"/>
        <v>58</v>
      </c>
      <c r="H197" s="57">
        <f t="shared" si="3"/>
        <v>116</v>
      </c>
      <c r="I197" s="59">
        <f t="shared" si="8"/>
        <v>1</v>
      </c>
      <c r="J197" s="12"/>
      <c r="K197" s="1"/>
      <c r="L197" s="1"/>
      <c r="M197" s="1"/>
      <c r="N197" s="1"/>
      <c r="O197" s="1"/>
      <c r="P197" s="1"/>
      <c r="Q197" s="1"/>
      <c r="R197" s="1"/>
      <c r="S197" s="1"/>
      <c r="T197" s="1"/>
      <c r="U197" s="1"/>
      <c r="V197" s="1"/>
      <c r="W197" s="1"/>
      <c r="X197" s="1"/>
      <c r="Y197" s="1"/>
      <c r="Z197" s="1"/>
    </row>
    <row r="198">
      <c r="A198" s="1"/>
      <c r="B198" s="1"/>
      <c r="C198" s="48" t="str">
        <f>IFERROR(__xludf.DUMMYFUNCTION("""COMPUTED_VALUE"""),"CURVA PH 45⁰")</f>
        <v>CURVA PH 45⁰</v>
      </c>
      <c r="D198" s="61" t="str">
        <f>IFERROR(__xludf.DUMMYFUNCTION("IMPORTRANGE(""https://docs.google.com/spreadsheets/d/1ZgkzeBdhSokvqCpGgO9LgqfDTs6HIgXYJH9ON5WjN-s/edit?gid=891027965#gid=891027965"",""secundário!d1"")"),"ASPIRVAC 2")</f>
        <v>ASPIRVAC 2</v>
      </c>
      <c r="E198" s="50">
        <v>0.0</v>
      </c>
      <c r="F198" s="52">
        <f>IFERROR(__xludf.DUMMYFUNCTION("""COMPUTED_VALUE"""),75.0)</f>
        <v>75</v>
      </c>
      <c r="G198" s="52">
        <f t="shared" si="7"/>
        <v>75</v>
      </c>
      <c r="H198" s="51">
        <f t="shared" si="3"/>
        <v>150</v>
      </c>
      <c r="I198" s="53">
        <f t="shared" si="8"/>
        <v>1</v>
      </c>
      <c r="J198" s="12"/>
      <c r="K198" s="1"/>
      <c r="L198" s="1"/>
      <c r="M198" s="1"/>
      <c r="N198" s="1"/>
      <c r="O198" s="1"/>
      <c r="P198" s="1"/>
      <c r="Q198" s="1"/>
      <c r="R198" s="1"/>
      <c r="S198" s="1"/>
      <c r="T198" s="1"/>
      <c r="U198" s="1"/>
      <c r="V198" s="1"/>
      <c r="W198" s="1"/>
      <c r="X198" s="1"/>
      <c r="Y198" s="1"/>
      <c r="Z198" s="1"/>
    </row>
    <row r="199">
      <c r="A199" s="1"/>
      <c r="B199" s="1"/>
      <c r="C199" s="54" t="str">
        <f>IFERROR(__xludf.DUMMYFUNCTION("""COMPUTED_VALUE"""),"CURVA PH 90⁰")</f>
        <v>CURVA PH 90⁰</v>
      </c>
      <c r="D199" s="64" t="str">
        <f>IFERROR(__xludf.DUMMYFUNCTION("IMPORTRANGE(""https://docs.google.com/spreadsheets/d/1ZgkzeBdhSokvqCpGgO9LgqfDTs6HIgXYJH9ON5WjN-s/edit?gid=891027965#gid=891027965"",""secundário!d1"")"),"ASPIRVAC 2")</f>
        <v>ASPIRVAC 2</v>
      </c>
      <c r="E199" s="56">
        <v>0.0</v>
      </c>
      <c r="F199" s="58">
        <f>IFERROR(__xludf.DUMMYFUNCTION("""COMPUTED_VALUE"""),116.0)</f>
        <v>116</v>
      </c>
      <c r="G199" s="58">
        <f t="shared" si="7"/>
        <v>116</v>
      </c>
      <c r="H199" s="57">
        <f t="shared" si="3"/>
        <v>232</v>
      </c>
      <c r="I199" s="59">
        <f t="shared" si="8"/>
        <v>1</v>
      </c>
      <c r="J199" s="12"/>
      <c r="K199" s="1"/>
      <c r="L199" s="1"/>
      <c r="M199" s="1"/>
      <c r="N199" s="1"/>
      <c r="O199" s="1"/>
      <c r="P199" s="1"/>
      <c r="Q199" s="1"/>
      <c r="R199" s="1"/>
      <c r="S199" s="1"/>
      <c r="T199" s="1"/>
      <c r="U199" s="1"/>
      <c r="V199" s="1"/>
      <c r="W199" s="1"/>
      <c r="X199" s="1"/>
      <c r="Y199" s="1"/>
      <c r="Z199" s="1"/>
    </row>
    <row r="200">
      <c r="A200" s="1"/>
      <c r="B200" s="1"/>
      <c r="C200" s="48" t="str">
        <f>IFERROR(__xludf.DUMMYFUNCTION("""COMPUTED_VALUE"""),"DERIVAÇÃO T 90⁰")</f>
        <v>DERIVAÇÃO T 90⁰</v>
      </c>
      <c r="D200" s="61" t="str">
        <f>IFERROR(__xludf.DUMMYFUNCTION("IMPORTRANGE(""https://docs.google.com/spreadsheets/d/1ZgkzeBdhSokvqCpGgO9LgqfDTs6HIgXYJH9ON5WjN-s/edit?gid=891027965#gid=891027965"",""secundário!d1"")"),"ASPIRVAC 2")</f>
        <v>ASPIRVAC 2</v>
      </c>
      <c r="E200" s="50">
        <v>0.0</v>
      </c>
      <c r="F200" s="52">
        <f>IFERROR(__xludf.DUMMYFUNCTION("""COMPUTED_VALUE"""),15.6)</f>
        <v>15.6</v>
      </c>
      <c r="G200" s="52">
        <f t="shared" si="7"/>
        <v>15.6</v>
      </c>
      <c r="H200" s="51">
        <f t="shared" si="3"/>
        <v>31.2</v>
      </c>
      <c r="I200" s="53">
        <f t="shared" si="8"/>
        <v>1</v>
      </c>
      <c r="J200" s="12"/>
      <c r="K200" s="1"/>
      <c r="L200" s="1"/>
      <c r="M200" s="1"/>
      <c r="N200" s="1"/>
      <c r="O200" s="1"/>
      <c r="P200" s="1"/>
      <c r="Q200" s="1"/>
      <c r="R200" s="1"/>
      <c r="S200" s="1"/>
      <c r="T200" s="1"/>
      <c r="U200" s="1"/>
      <c r="V200" s="1"/>
      <c r="W200" s="1"/>
      <c r="X200" s="1"/>
      <c r="Y200" s="1"/>
      <c r="Z200" s="1"/>
    </row>
    <row r="201">
      <c r="A201" s="1"/>
      <c r="B201" s="1"/>
      <c r="C201" s="54" t="str">
        <f>IFERROR(__xludf.DUMMYFUNCTION("""COMPUTED_VALUE"""),"DERIVAÇÃO T 90⁰  80 UND")</f>
        <v>DERIVAÇÃO T 90⁰  80 UND</v>
      </c>
      <c r="D201" s="64" t="str">
        <f>IFERROR(__xludf.DUMMYFUNCTION("IMPORTRANGE(""https://docs.google.com/spreadsheets/d/1ZgkzeBdhSokvqCpGgO9LgqfDTs6HIgXYJH9ON5WjN-s/edit?gid=891027965#gid=891027965"",""secundário!d1"")"),"ASPIRVAC 2")</f>
        <v>ASPIRVAC 2</v>
      </c>
      <c r="E201" s="56">
        <v>0.0</v>
      </c>
      <c r="F201" s="58">
        <f>IFERROR(__xludf.DUMMYFUNCTION("""COMPUTED_VALUE"""),14.5)</f>
        <v>14.5</v>
      </c>
      <c r="G201" s="58">
        <f t="shared" si="7"/>
        <v>14.5</v>
      </c>
      <c r="H201" s="57">
        <f t="shared" si="3"/>
        <v>29</v>
      </c>
      <c r="I201" s="59">
        <f t="shared" si="8"/>
        <v>1</v>
      </c>
      <c r="J201" s="12"/>
      <c r="K201" s="1"/>
      <c r="L201" s="1"/>
      <c r="M201" s="1"/>
      <c r="N201" s="1"/>
      <c r="O201" s="1"/>
      <c r="P201" s="1"/>
      <c r="Q201" s="1"/>
      <c r="R201" s="1"/>
      <c r="S201" s="1"/>
      <c r="T201" s="1"/>
      <c r="U201" s="1"/>
      <c r="V201" s="1"/>
      <c r="W201" s="1"/>
      <c r="X201" s="1"/>
      <c r="Y201" s="1"/>
      <c r="Z201" s="1"/>
    </row>
    <row r="202">
      <c r="A202" s="1"/>
      <c r="B202" s="1"/>
      <c r="C202" s="48" t="str">
        <f>IFERROR(__xludf.DUMMYFUNCTION("""COMPUTED_VALUE"""),"DERIVAÇÃO T DUPLA 90⁰")</f>
        <v>DERIVAÇÃO T DUPLA 90⁰</v>
      </c>
      <c r="D202" s="61" t="str">
        <f>IFERROR(__xludf.DUMMYFUNCTION("IMPORTRANGE(""https://docs.google.com/spreadsheets/d/1ZgkzeBdhSokvqCpGgO9LgqfDTs6HIgXYJH9ON5WjN-s/edit?gid=891027965#gid=891027965"",""secundário!d1"")"),"ASPIRVAC 2")</f>
        <v>ASPIRVAC 2</v>
      </c>
      <c r="E202" s="50">
        <v>0.0</v>
      </c>
      <c r="F202" s="52">
        <f>IFERROR(__xludf.DUMMYFUNCTION("""COMPUTED_VALUE"""),28.0)</f>
        <v>28</v>
      </c>
      <c r="G202" s="52">
        <f t="shared" si="7"/>
        <v>28</v>
      </c>
      <c r="H202" s="51">
        <f t="shared" si="3"/>
        <v>56</v>
      </c>
      <c r="I202" s="53">
        <f t="shared" si="8"/>
        <v>1</v>
      </c>
      <c r="J202" s="12"/>
      <c r="K202" s="1"/>
      <c r="L202" s="1"/>
      <c r="M202" s="1"/>
      <c r="N202" s="1"/>
      <c r="O202" s="1"/>
      <c r="P202" s="1"/>
      <c r="Q202" s="1"/>
      <c r="R202" s="1"/>
      <c r="S202" s="1"/>
      <c r="T202" s="1"/>
      <c r="U202" s="1"/>
      <c r="V202" s="1"/>
      <c r="W202" s="1"/>
      <c r="X202" s="1"/>
      <c r="Y202" s="1"/>
      <c r="Z202" s="1"/>
    </row>
    <row r="203">
      <c r="A203" s="1"/>
      <c r="B203" s="1"/>
      <c r="C203" s="54" t="str">
        <f>IFERROR(__xludf.DUMMYFUNCTION("""COMPUTED_VALUE"""),"DERIVAÇÃO Y 45⁰")</f>
        <v>DERIVAÇÃO Y 45⁰</v>
      </c>
      <c r="D203" s="64" t="str">
        <f>IFERROR(__xludf.DUMMYFUNCTION("IMPORTRANGE(""https://docs.google.com/spreadsheets/d/1ZgkzeBdhSokvqCpGgO9LgqfDTs6HIgXYJH9ON5WjN-s/edit?gid=891027965#gid=891027965"",""secundário!d1"")"),"ASPIRVAC 2")</f>
        <v>ASPIRVAC 2</v>
      </c>
      <c r="E203" s="56">
        <v>0.0</v>
      </c>
      <c r="F203" s="58">
        <f>IFERROR(__xludf.DUMMYFUNCTION("""COMPUTED_VALUE"""),16.5)</f>
        <v>16.5</v>
      </c>
      <c r="G203" s="58">
        <f t="shared" si="7"/>
        <v>16.5</v>
      </c>
      <c r="H203" s="57">
        <f t="shared" si="3"/>
        <v>33</v>
      </c>
      <c r="I203" s="59">
        <f t="shared" si="8"/>
        <v>1</v>
      </c>
      <c r="J203" s="12"/>
      <c r="K203" s="1"/>
      <c r="L203" s="1"/>
      <c r="M203" s="1"/>
      <c r="N203" s="1"/>
      <c r="O203" s="1"/>
      <c r="P203" s="1"/>
      <c r="Q203" s="1"/>
      <c r="R203" s="1"/>
      <c r="S203" s="1"/>
      <c r="T203" s="1"/>
      <c r="U203" s="1"/>
      <c r="V203" s="1"/>
      <c r="W203" s="1"/>
      <c r="X203" s="1"/>
      <c r="Y203" s="1"/>
      <c r="Z203" s="1"/>
    </row>
    <row r="204">
      <c r="A204" s="1"/>
      <c r="B204" s="1"/>
      <c r="C204" s="48" t="str">
        <f>IFERROR(__xludf.DUMMYFUNCTION("""COMPUTED_VALUE"""),"DERIVAÇÃO Y 45⁰  105 UND")</f>
        <v>DERIVAÇÃO Y 45⁰  105 UND</v>
      </c>
      <c r="D204" s="61" t="str">
        <f>IFERROR(__xludf.DUMMYFUNCTION("IMPORTRANGE(""https://docs.google.com/spreadsheets/d/1ZgkzeBdhSokvqCpGgO9LgqfDTs6HIgXYJH9ON5WjN-s/edit?gid=891027965#gid=891027965"",""secundário!d1"")"),"ASPIRVAC 2")</f>
        <v>ASPIRVAC 2</v>
      </c>
      <c r="E204" s="50">
        <v>0.0</v>
      </c>
      <c r="F204" s="52">
        <f>IFERROR(__xludf.DUMMYFUNCTION("""COMPUTED_VALUE"""),15.0)</f>
        <v>15</v>
      </c>
      <c r="G204" s="52">
        <f t="shared" si="7"/>
        <v>15</v>
      </c>
      <c r="H204" s="51">
        <f t="shared" si="3"/>
        <v>30</v>
      </c>
      <c r="I204" s="53">
        <f t="shared" si="8"/>
        <v>1</v>
      </c>
      <c r="J204" s="12"/>
      <c r="K204" s="1"/>
      <c r="L204" s="1"/>
      <c r="M204" s="1"/>
      <c r="N204" s="1"/>
      <c r="O204" s="1"/>
      <c r="P204" s="1"/>
      <c r="Q204" s="1"/>
      <c r="R204" s="1"/>
      <c r="S204" s="1"/>
      <c r="T204" s="1"/>
      <c r="U204" s="1"/>
      <c r="V204" s="1"/>
      <c r="W204" s="1"/>
      <c r="X204" s="1"/>
      <c r="Y204" s="1"/>
      <c r="Z204" s="1"/>
    </row>
    <row r="205">
      <c r="A205" s="1"/>
      <c r="B205" s="1"/>
      <c r="C205" s="54" t="str">
        <f>IFERROR(__xludf.DUMMYFUNCTION("""COMPUTED_VALUE"""),"DERIVAÇÃO Y CURTA 45⁰")</f>
        <v>DERIVAÇÃO Y CURTA 45⁰</v>
      </c>
      <c r="D205" s="64" t="str">
        <f>IFERROR(__xludf.DUMMYFUNCTION("IMPORTRANGE(""https://docs.google.com/spreadsheets/d/1ZgkzeBdhSokvqCpGgO9LgqfDTs6HIgXYJH9ON5WjN-s/edit?gid=891027965#gid=891027965"",""secundário!d1"")"),"ASPIRVAC 2")</f>
        <v>ASPIRVAC 2</v>
      </c>
      <c r="E205" s="56">
        <v>0.0</v>
      </c>
      <c r="F205" s="58">
        <f>IFERROR(__xludf.DUMMYFUNCTION("""COMPUTED_VALUE"""),16.0)</f>
        <v>16</v>
      </c>
      <c r="G205" s="58">
        <f t="shared" si="7"/>
        <v>16</v>
      </c>
      <c r="H205" s="57">
        <f t="shared" si="3"/>
        <v>32</v>
      </c>
      <c r="I205" s="59">
        <f t="shared" si="8"/>
        <v>1</v>
      </c>
      <c r="J205" s="12"/>
      <c r="K205" s="1"/>
      <c r="L205" s="1"/>
      <c r="M205" s="1"/>
      <c r="N205" s="1"/>
      <c r="O205" s="1"/>
      <c r="P205" s="1"/>
      <c r="Q205" s="1"/>
      <c r="R205" s="1"/>
      <c r="S205" s="1"/>
      <c r="T205" s="1"/>
      <c r="U205" s="1"/>
      <c r="V205" s="1"/>
      <c r="W205" s="1"/>
      <c r="X205" s="1"/>
      <c r="Y205" s="1"/>
      <c r="Z205" s="1"/>
    </row>
    <row r="206">
      <c r="A206" s="1"/>
      <c r="B206" s="1"/>
      <c r="C206" s="48" t="str">
        <f>IFERROR(__xludf.DUMMYFUNCTION("""COMPUTED_VALUE"""),"ENTREPOSTO  ( CONSULTAR)")</f>
        <v>ENTREPOSTO  ( CONSULTAR)</v>
      </c>
      <c r="D206" s="61" t="str">
        <f>IFERROR(__xludf.DUMMYFUNCTION("IMPORTRANGE(""https://docs.google.com/spreadsheets/d/1ZgkzeBdhSokvqCpGgO9LgqfDTs6HIgXYJH9ON5WjN-s/edit?gid=891027965#gid=891027965"",""secundário!d1"")"),"ASPIRVAC 2")</f>
        <v>ASPIRVAC 2</v>
      </c>
      <c r="E206" s="50">
        <v>0.0</v>
      </c>
      <c r="F206" s="52">
        <f>IFERROR(__xludf.DUMMYFUNCTION("""COMPUTED_VALUE"""),0.0)</f>
        <v>0</v>
      </c>
      <c r="G206" s="52" t="str">
        <f t="shared" si="7"/>
        <v/>
      </c>
      <c r="H206" s="51">
        <f t="shared" si="3"/>
        <v>0</v>
      </c>
      <c r="I206" s="53" t="str">
        <f t="shared" si="8"/>
        <v/>
      </c>
      <c r="J206" s="12"/>
      <c r="K206" s="1"/>
      <c r="L206" s="1"/>
      <c r="M206" s="1"/>
      <c r="N206" s="1"/>
      <c r="O206" s="1"/>
      <c r="P206" s="1"/>
      <c r="Q206" s="1"/>
      <c r="R206" s="1"/>
      <c r="S206" s="1"/>
      <c r="T206" s="1"/>
      <c r="U206" s="1"/>
      <c r="V206" s="1"/>
      <c r="W206" s="1"/>
      <c r="X206" s="1"/>
      <c r="Y206" s="1"/>
      <c r="Z206" s="1"/>
    </row>
    <row r="207">
      <c r="A207" s="1"/>
      <c r="B207" s="1"/>
      <c r="C207" s="54" t="str">
        <f>IFERROR(__xludf.DUMMYFUNCTION("""COMPUTED_VALUE"""),"ESCOVA COM ESFREGÃO (L 33 cm)")</f>
        <v>ESCOVA COM ESFREGÃO (L 33 cm)</v>
      </c>
      <c r="D207" s="64" t="str">
        <f>IFERROR(__xludf.DUMMYFUNCTION("IMPORTRANGE(""https://docs.google.com/spreadsheets/d/1ZgkzeBdhSokvqCpGgO9LgqfDTs6HIgXYJH9ON5WjN-s/edit?gid=891027965#gid=891027965"",""secundário!d1"")"),"ASPIRVAC 2")</f>
        <v>ASPIRVAC 2</v>
      </c>
      <c r="E207" s="56">
        <v>0.0</v>
      </c>
      <c r="F207" s="58">
        <f>IFERROR(__xludf.DUMMYFUNCTION("""COMPUTED_VALUE"""),155.0)</f>
        <v>155</v>
      </c>
      <c r="G207" s="58">
        <f t="shared" si="7"/>
        <v>155</v>
      </c>
      <c r="H207" s="57">
        <f t="shared" si="3"/>
        <v>310</v>
      </c>
      <c r="I207" s="59">
        <f t="shared" si="8"/>
        <v>1</v>
      </c>
      <c r="J207" s="12"/>
      <c r="K207" s="1"/>
      <c r="L207" s="1"/>
      <c r="M207" s="1"/>
      <c r="N207" s="1"/>
      <c r="O207" s="1"/>
      <c r="P207" s="1"/>
      <c r="Q207" s="1"/>
      <c r="R207" s="1"/>
      <c r="S207" s="1"/>
      <c r="T207" s="1"/>
      <c r="U207" s="1"/>
      <c r="V207" s="1"/>
      <c r="W207" s="1"/>
      <c r="X207" s="1"/>
      <c r="Y207" s="1"/>
      <c r="Z207" s="1"/>
    </row>
    <row r="208">
      <c r="A208" s="1"/>
      <c r="B208" s="1"/>
      <c r="C208" s="48" t="str">
        <f>IFERROR(__xludf.DUMMYFUNCTION("""COMPUTED_VALUE"""),"ESCOVA CRINA COM RODAS GRANDE (L 35,5 cm)")</f>
        <v>ESCOVA CRINA COM RODAS GRANDE (L 35,5 cm)</v>
      </c>
      <c r="D208" s="61" t="str">
        <f>IFERROR(__xludf.DUMMYFUNCTION("IMPORTRANGE(""https://docs.google.com/spreadsheets/d/1ZgkzeBdhSokvqCpGgO9LgqfDTs6HIgXYJH9ON5WjN-s/edit?gid=891027965#gid=891027965"",""secundário!d1"")"),"ASPIRVAC 2")</f>
        <v>ASPIRVAC 2</v>
      </c>
      <c r="E208" s="50">
        <v>0.0</v>
      </c>
      <c r="F208" s="52">
        <f>IFERROR(__xludf.DUMMYFUNCTION("""COMPUTED_VALUE"""),180.0)</f>
        <v>180</v>
      </c>
      <c r="G208" s="52">
        <f t="shared" si="7"/>
        <v>180</v>
      </c>
      <c r="H208" s="51">
        <f t="shared" si="3"/>
        <v>360</v>
      </c>
      <c r="I208" s="53">
        <f t="shared" si="8"/>
        <v>1</v>
      </c>
      <c r="J208" s="12"/>
      <c r="K208" s="1"/>
      <c r="L208" s="1"/>
      <c r="M208" s="1"/>
      <c r="N208" s="1"/>
      <c r="O208" s="1"/>
      <c r="P208" s="1"/>
      <c r="Q208" s="1"/>
      <c r="R208" s="1"/>
      <c r="S208" s="1"/>
      <c r="T208" s="1"/>
      <c r="U208" s="1"/>
      <c r="V208" s="1"/>
      <c r="W208" s="1"/>
      <c r="X208" s="1"/>
      <c r="Y208" s="1"/>
      <c r="Z208" s="1"/>
    </row>
    <row r="209">
      <c r="A209" s="1"/>
      <c r="B209" s="1"/>
      <c r="C209" s="54" t="str">
        <f>IFERROR(__xludf.DUMMYFUNCTION("""COMPUTED_VALUE"""),"ESCOVA DUPLA FUNCÃO COM RODAS (L 26,5 cm)")</f>
        <v>ESCOVA DUPLA FUNCÃO COM RODAS (L 26,5 cm)</v>
      </c>
      <c r="D209" s="64" t="str">
        <f>IFERROR(__xludf.DUMMYFUNCTION("IMPORTRANGE(""https://docs.google.com/spreadsheets/d/1ZgkzeBdhSokvqCpGgO9LgqfDTs6HIgXYJH9ON5WjN-s/edit?gid=891027965#gid=891027965"",""secundário!d1"")"),"ASPIRVAC 2")</f>
        <v>ASPIRVAC 2</v>
      </c>
      <c r="E209" s="56">
        <v>0.0</v>
      </c>
      <c r="F209" s="58">
        <f>IFERROR(__xludf.DUMMYFUNCTION("""COMPUTED_VALUE"""),175.0)</f>
        <v>175</v>
      </c>
      <c r="G209" s="58">
        <f t="shared" si="7"/>
        <v>175</v>
      </c>
      <c r="H209" s="57">
        <f t="shared" si="3"/>
        <v>350</v>
      </c>
      <c r="I209" s="59">
        <f t="shared" si="8"/>
        <v>1</v>
      </c>
      <c r="J209" s="12"/>
      <c r="K209" s="1"/>
      <c r="L209" s="1"/>
      <c r="M209" s="1"/>
      <c r="N209" s="1"/>
      <c r="O209" s="1"/>
      <c r="P209" s="1"/>
      <c r="Q209" s="1"/>
      <c r="R209" s="1"/>
      <c r="S209" s="1"/>
      <c r="T209" s="1"/>
      <c r="U209" s="1"/>
      <c r="V209" s="1"/>
      <c r="W209" s="1"/>
      <c r="X209" s="1"/>
      <c r="Y209" s="1"/>
      <c r="Z209" s="1"/>
    </row>
    <row r="210">
      <c r="A210" s="1"/>
      <c r="B210" s="1"/>
      <c r="C210" s="48" t="str">
        <f>IFERROR(__xludf.DUMMYFUNCTION("""COMPUTED_VALUE"""),"ESCOVA PET PELOS PEQUENA (L 19 cm)")</f>
        <v>ESCOVA PET PELOS PEQUENA (L 19 cm)</v>
      </c>
      <c r="D210" s="61" t="str">
        <f>IFERROR(__xludf.DUMMYFUNCTION("IMPORTRANGE(""https://docs.google.com/spreadsheets/d/1ZgkzeBdhSokvqCpGgO9LgqfDTs6HIgXYJH9ON5WjN-s/edit?gid=891027965#gid=891027965"",""secundário!d1"")"),"ASPIRVAC 2")</f>
        <v>ASPIRVAC 2</v>
      </c>
      <c r="E210" s="50">
        <v>0.0</v>
      </c>
      <c r="F210" s="52">
        <f>IFERROR(__xludf.DUMMYFUNCTION("""COMPUTED_VALUE"""),120.0)</f>
        <v>120</v>
      </c>
      <c r="G210" s="52">
        <f t="shared" si="7"/>
        <v>120</v>
      </c>
      <c r="H210" s="51">
        <f t="shared" si="3"/>
        <v>240</v>
      </c>
      <c r="I210" s="53">
        <f t="shared" si="8"/>
        <v>1</v>
      </c>
      <c r="J210" s="12"/>
      <c r="K210" s="1"/>
      <c r="L210" s="1"/>
      <c r="M210" s="1"/>
      <c r="N210" s="1"/>
      <c r="O210" s="1"/>
      <c r="P210" s="1"/>
      <c r="Q210" s="1"/>
      <c r="R210" s="1"/>
      <c r="S210" s="1"/>
      <c r="T210" s="1"/>
      <c r="U210" s="1"/>
      <c r="V210" s="1"/>
      <c r="W210" s="1"/>
      <c r="X210" s="1"/>
      <c r="Y210" s="1"/>
      <c r="Z210" s="1"/>
    </row>
    <row r="211">
      <c r="A211" s="1"/>
      <c r="B211" s="1"/>
      <c r="C211" s="54" t="str">
        <f>IFERROR(__xludf.DUMMYFUNCTION("""COMPUTED_VALUE"""),"ESCOVA TURBO (L 27 cm)")</f>
        <v>ESCOVA TURBO (L 27 cm)</v>
      </c>
      <c r="D211" s="64" t="str">
        <f>IFERROR(__xludf.DUMMYFUNCTION("IMPORTRANGE(""https://docs.google.com/spreadsheets/d/1ZgkzeBdhSokvqCpGgO9LgqfDTs6HIgXYJH9ON5WjN-s/edit?gid=891027965#gid=891027965"",""secundário!d1"")"),"ASPIRVAC 2")</f>
        <v>ASPIRVAC 2</v>
      </c>
      <c r="E211" s="56">
        <v>0.0</v>
      </c>
      <c r="F211" s="58">
        <f>IFERROR(__xludf.DUMMYFUNCTION("""COMPUTED_VALUE"""),360.0)</f>
        <v>360</v>
      </c>
      <c r="G211" s="58">
        <f t="shared" si="7"/>
        <v>360</v>
      </c>
      <c r="H211" s="57">
        <f t="shared" si="3"/>
        <v>720</v>
      </c>
      <c r="I211" s="59">
        <f t="shared" si="8"/>
        <v>1</v>
      </c>
      <c r="J211" s="12"/>
      <c r="K211" s="1"/>
      <c r="L211" s="1"/>
      <c r="M211" s="1"/>
      <c r="N211" s="1"/>
      <c r="O211" s="1"/>
      <c r="P211" s="1"/>
      <c r="Q211" s="1"/>
      <c r="R211" s="1"/>
      <c r="S211" s="1"/>
      <c r="T211" s="1"/>
      <c r="U211" s="1"/>
      <c r="V211" s="1"/>
      <c r="W211" s="1"/>
      <c r="X211" s="1"/>
      <c r="Y211" s="1"/>
      <c r="Z211" s="1"/>
    </row>
    <row r="212">
      <c r="A212" s="1"/>
      <c r="B212" s="1"/>
      <c r="C212" s="48" t="str">
        <f>IFERROR(__xludf.DUMMYFUNCTION("""COMPUTED_VALUE"""),"ESCOVA TURBO MINI (L 11,5 cm)")</f>
        <v>ESCOVA TURBO MINI (L 11,5 cm)</v>
      </c>
      <c r="D212" s="61" t="str">
        <f>IFERROR(__xludf.DUMMYFUNCTION("IMPORTRANGE(""https://docs.google.com/spreadsheets/d/1ZgkzeBdhSokvqCpGgO9LgqfDTs6HIgXYJH9ON5WjN-s/edit?gid=891027965#gid=891027965"",""secundário!d1"")"),"ASPIRVAC 2")</f>
        <v>ASPIRVAC 2</v>
      </c>
      <c r="E212" s="50">
        <v>0.0</v>
      </c>
      <c r="F212" s="52">
        <f>IFERROR(__xludf.DUMMYFUNCTION("""COMPUTED_VALUE"""),225.0)</f>
        <v>225</v>
      </c>
      <c r="G212" s="52">
        <f t="shared" si="7"/>
        <v>225</v>
      </c>
      <c r="H212" s="51">
        <f t="shared" si="3"/>
        <v>450</v>
      </c>
      <c r="I212" s="53">
        <f t="shared" si="8"/>
        <v>1</v>
      </c>
      <c r="J212" s="12"/>
      <c r="K212" s="1"/>
      <c r="L212" s="1"/>
      <c r="M212" s="1"/>
      <c r="N212" s="1"/>
      <c r="O212" s="1"/>
      <c r="P212" s="1"/>
      <c r="Q212" s="1"/>
      <c r="R212" s="1"/>
      <c r="S212" s="1"/>
      <c r="T212" s="1"/>
      <c r="U212" s="1"/>
      <c r="V212" s="1"/>
      <c r="W212" s="1"/>
      <c r="X212" s="1"/>
      <c r="Y212" s="1"/>
      <c r="Z212" s="1"/>
    </row>
    <row r="213">
      <c r="A213" s="1"/>
      <c r="B213" s="1"/>
      <c r="C213" s="54" t="str">
        <f>IFERROR(__xludf.DUMMYFUNCTION("""COMPUTED_VALUE"""),"EXTENSÃO PARA TOMADA")</f>
        <v>EXTENSÃO PARA TOMADA</v>
      </c>
      <c r="D213" s="64" t="str">
        <f>IFERROR(__xludf.DUMMYFUNCTION("IMPORTRANGE(""https://docs.google.com/spreadsheets/d/1ZgkzeBdhSokvqCpGgO9LgqfDTs6HIgXYJH9ON5WjN-s/edit?gid=891027965#gid=891027965"",""secundário!d1"")"),"ASPIRVAC 2")</f>
        <v>ASPIRVAC 2</v>
      </c>
      <c r="E213" s="56">
        <v>0.0</v>
      </c>
      <c r="F213" s="58">
        <f>IFERROR(__xludf.DUMMYFUNCTION("""COMPUTED_VALUE"""),8.5)</f>
        <v>8.5</v>
      </c>
      <c r="G213" s="58">
        <f t="shared" si="7"/>
        <v>8.5</v>
      </c>
      <c r="H213" s="57">
        <f t="shared" si="3"/>
        <v>17</v>
      </c>
      <c r="I213" s="59">
        <f t="shared" si="8"/>
        <v>1</v>
      </c>
      <c r="J213" s="12"/>
      <c r="K213" s="1"/>
      <c r="L213" s="1"/>
      <c r="M213" s="1"/>
      <c r="N213" s="1"/>
      <c r="O213" s="1"/>
      <c r="P213" s="1"/>
      <c r="Q213" s="1"/>
      <c r="R213" s="1"/>
      <c r="S213" s="1"/>
      <c r="T213" s="1"/>
      <c r="U213" s="1"/>
      <c r="V213" s="1"/>
      <c r="W213" s="1"/>
      <c r="X213" s="1"/>
      <c r="Y213" s="1"/>
      <c r="Z213" s="1"/>
    </row>
    <row r="214">
      <c r="A214" s="1"/>
      <c r="B214" s="1"/>
      <c r="C214" s="48" t="str">
        <f>IFERROR(__xludf.DUMMYFUNCTION("""COMPUTED_VALUE"""),"FILTRO FIBRA DESCARTÁVEL - A54 X L25 cm (BOCAL Ø60 mm)
PARA CENTRAIS COM ADAPTADOR")</f>
        <v>FILTRO FIBRA DESCARTÁVEL - A54 X L25 cm (BOCAL Ø60 mm)
PARA CENTRAIS COM ADAPTADOR</v>
      </c>
      <c r="D214" s="61" t="str">
        <f>IFERROR(__xludf.DUMMYFUNCTION("IMPORTRANGE(""https://docs.google.com/spreadsheets/d/1ZgkzeBdhSokvqCpGgO9LgqfDTs6HIgXYJH9ON5WjN-s/edit?gid=891027965#gid=891027965"",""secundário!d1"")"),"ASPIRVAC 2")</f>
        <v>ASPIRVAC 2</v>
      </c>
      <c r="E214" s="50">
        <v>0.0</v>
      </c>
      <c r="F214" s="52">
        <f>IFERROR(__xludf.DUMMYFUNCTION("""COMPUTED_VALUE"""),59.0)</f>
        <v>59</v>
      </c>
      <c r="G214" s="52">
        <f t="shared" si="7"/>
        <v>59</v>
      </c>
      <c r="H214" s="51">
        <f t="shared" si="3"/>
        <v>118</v>
      </c>
      <c r="I214" s="53">
        <f t="shared" si="8"/>
        <v>1</v>
      </c>
      <c r="J214" s="12"/>
      <c r="K214" s="1"/>
      <c r="L214" s="1"/>
      <c r="M214" s="1"/>
      <c r="N214" s="1"/>
      <c r="O214" s="1"/>
      <c r="P214" s="1"/>
      <c r="Q214" s="1"/>
      <c r="R214" s="1"/>
      <c r="S214" s="1"/>
      <c r="T214" s="1"/>
      <c r="U214" s="1"/>
      <c r="V214" s="1"/>
      <c r="W214" s="1"/>
      <c r="X214" s="1"/>
      <c r="Y214" s="1"/>
      <c r="Z214" s="1"/>
    </row>
    <row r="215">
      <c r="A215" s="1"/>
      <c r="B215" s="1"/>
      <c r="C215" s="54" t="str">
        <f>IFERROR(__xludf.DUMMYFUNCTION("""COMPUTED_VALUE"""),"FILTRO HEPA LAVÁVEL (A140 X Ø130 mm)")</f>
        <v>FILTRO HEPA LAVÁVEL (A140 X Ø130 mm)</v>
      </c>
      <c r="D215" s="64" t="str">
        <f>IFERROR(__xludf.DUMMYFUNCTION("IMPORTRANGE(""https://docs.google.com/spreadsheets/d/1ZgkzeBdhSokvqCpGgO9LgqfDTs6HIgXYJH9ON5WjN-s/edit?gid=891027965#gid=891027965"",""secundário!d1"")"),"ASPIRVAC 2")</f>
        <v>ASPIRVAC 2</v>
      </c>
      <c r="E215" s="56">
        <v>0.0</v>
      </c>
      <c r="F215" s="58">
        <f>IFERROR(__xludf.DUMMYFUNCTION("""COMPUTED_VALUE"""),410.0)</f>
        <v>410</v>
      </c>
      <c r="G215" s="58">
        <f t="shared" si="7"/>
        <v>410</v>
      </c>
      <c r="H215" s="57">
        <f t="shared" si="3"/>
        <v>820</v>
      </c>
      <c r="I215" s="59">
        <f t="shared" si="8"/>
        <v>1</v>
      </c>
      <c r="J215" s="12"/>
      <c r="K215" s="1"/>
      <c r="L215" s="1"/>
      <c r="M215" s="1"/>
      <c r="N215" s="1"/>
      <c r="O215" s="1"/>
      <c r="P215" s="1"/>
      <c r="Q215" s="1"/>
      <c r="R215" s="1"/>
      <c r="S215" s="1"/>
      <c r="T215" s="1"/>
      <c r="U215" s="1"/>
      <c r="V215" s="1"/>
      <c r="W215" s="1"/>
      <c r="X215" s="1"/>
      <c r="Y215" s="1"/>
      <c r="Z215" s="1"/>
    </row>
    <row r="216">
      <c r="A216" s="1"/>
      <c r="B216" s="1"/>
      <c r="C216" s="48" t="str">
        <f>IFERROR(__xludf.DUMMYFUNCTION("""COMPUTED_VALUE"""),"FILTRO HEPA LAVÁVEL (A200 X Ø130 mm)")</f>
        <v>FILTRO HEPA LAVÁVEL (A200 X Ø130 mm)</v>
      </c>
      <c r="D216" s="61" t="str">
        <f>IFERROR(__xludf.DUMMYFUNCTION("IMPORTRANGE(""https://docs.google.com/spreadsheets/d/1ZgkzeBdhSokvqCpGgO9LgqfDTs6HIgXYJH9ON5WjN-s/edit?gid=891027965#gid=891027965"",""secundário!d1"")"),"ASPIRVAC 2")</f>
        <v>ASPIRVAC 2</v>
      </c>
      <c r="E216" s="50">
        <v>0.0</v>
      </c>
      <c r="F216" s="52">
        <f>IFERROR(__xludf.DUMMYFUNCTION("""COMPUTED_VALUE"""),450.0)</f>
        <v>450</v>
      </c>
      <c r="G216" s="52">
        <f t="shared" si="7"/>
        <v>450</v>
      </c>
      <c r="H216" s="51">
        <f t="shared" si="3"/>
        <v>900</v>
      </c>
      <c r="I216" s="53">
        <f t="shared" si="8"/>
        <v>1</v>
      </c>
      <c r="J216" s="12"/>
      <c r="K216" s="1"/>
      <c r="L216" s="1"/>
      <c r="M216" s="1"/>
      <c r="N216" s="1"/>
      <c r="O216" s="1"/>
      <c r="P216" s="1"/>
      <c r="Q216" s="1"/>
      <c r="R216" s="1"/>
      <c r="S216" s="1"/>
      <c r="T216" s="1"/>
      <c r="U216" s="1"/>
      <c r="V216" s="1"/>
      <c r="W216" s="1"/>
      <c r="X216" s="1"/>
      <c r="Y216" s="1"/>
      <c r="Z216" s="1"/>
    </row>
    <row r="217">
      <c r="A217" s="1"/>
      <c r="B217" s="1"/>
      <c r="C217" s="54" t="str">
        <f>IFERROR(__xludf.DUMMYFUNCTION("""COMPUTED_VALUE"""),"KIT LIMPEZA DA REDE DE ASPIRAÇÃO")</f>
        <v>KIT LIMPEZA DA REDE DE ASPIRAÇÃO</v>
      </c>
      <c r="D217" s="64" t="str">
        <f>IFERROR(__xludf.DUMMYFUNCTION("IMPORTRANGE(""https://docs.google.com/spreadsheets/d/1ZgkzeBdhSokvqCpGgO9LgqfDTs6HIgXYJH9ON5WjN-s/edit?gid=891027965#gid=891027965"",""secundário!d1"")"),"ASPIRVAC 2")</f>
        <v>ASPIRVAC 2</v>
      </c>
      <c r="E217" s="56">
        <v>0.0</v>
      </c>
      <c r="F217" s="58">
        <f>IFERROR(__xludf.DUMMYFUNCTION("""COMPUTED_VALUE"""),345.0)</f>
        <v>345</v>
      </c>
      <c r="G217" s="58">
        <f t="shared" si="7"/>
        <v>345</v>
      </c>
      <c r="H217" s="57">
        <f t="shared" si="3"/>
        <v>690</v>
      </c>
      <c r="I217" s="59">
        <f t="shared" si="8"/>
        <v>1</v>
      </c>
      <c r="J217" s="12"/>
      <c r="K217" s="1"/>
      <c r="L217" s="1"/>
      <c r="M217" s="1"/>
      <c r="N217" s="1"/>
      <c r="O217" s="1"/>
      <c r="P217" s="1"/>
      <c r="Q217" s="1"/>
      <c r="R217" s="1"/>
      <c r="S217" s="1"/>
      <c r="T217" s="1"/>
      <c r="U217" s="1"/>
      <c r="V217" s="1"/>
      <c r="W217" s="1"/>
      <c r="X217" s="1"/>
      <c r="Y217" s="1"/>
      <c r="Z217" s="1"/>
    </row>
    <row r="218">
      <c r="A218" s="1"/>
      <c r="B218" s="1"/>
      <c r="C218" s="48" t="str">
        <f>IFERROR(__xludf.DUMMYFUNCTION("""COMPUTED_VALUE"""),"KIT MANGUEIRA RETRÁTIL 2M (1:5)
     Mangueira Retrátil de 2 metros extensível até 10 metros com punho e terminal rotativos;
     Escova dupla função com rodas;
     Tubo telescópico cromado;
     Conjunto 4 peças (escova móveis, escova sofás, bico de"&amp;" cantos e suporte escovas;")</f>
        <v>KIT MANGUEIRA RETRÁTIL 2M (1:5)
     Mangueira Retrátil de 2 metros extensível até 10 metros com punho e terminal rotativos;
     Escova dupla função com rodas;
     Tubo telescópico cromado;
     Conjunto 4 peças (escova móveis, escova sofás, bico de cantos e suporte escovas;</v>
      </c>
      <c r="D218" s="61" t="str">
        <f>IFERROR(__xludf.DUMMYFUNCTION("IMPORTRANGE(""https://docs.google.com/spreadsheets/d/1ZgkzeBdhSokvqCpGgO9LgqfDTs6HIgXYJH9ON5WjN-s/edit?gid=891027965#gid=891027965"",""secundário!d1"")"),"ASPIRVAC 2")</f>
        <v>ASPIRVAC 2</v>
      </c>
      <c r="E218" s="50">
        <v>0.0</v>
      </c>
      <c r="F218" s="52">
        <f>IFERROR(__xludf.DUMMYFUNCTION("""COMPUTED_VALUE"""),1370.0)</f>
        <v>1370</v>
      </c>
      <c r="G218" s="52">
        <f t="shared" si="7"/>
        <v>1370</v>
      </c>
      <c r="H218" s="51">
        <f t="shared" si="3"/>
        <v>2740</v>
      </c>
      <c r="I218" s="53">
        <f t="shared" si="8"/>
        <v>1</v>
      </c>
      <c r="J218" s="12"/>
      <c r="K218" s="1"/>
      <c r="L218" s="1"/>
      <c r="M218" s="1"/>
      <c r="N218" s="1"/>
      <c r="O218" s="1"/>
      <c r="P218" s="1"/>
      <c r="Q218" s="1"/>
      <c r="R218" s="1"/>
      <c r="S218" s="1"/>
      <c r="T218" s="1"/>
      <c r="U218" s="1"/>
      <c r="V218" s="1"/>
      <c r="W218" s="1"/>
      <c r="X218" s="1"/>
      <c r="Y218" s="1"/>
      <c r="Z218" s="1"/>
    </row>
    <row r="219">
      <c r="A219" s="1"/>
      <c r="B219" s="1"/>
      <c r="C219" s="54" t="str">
        <f>IFERROR(__xludf.DUMMYFUNCTION("""COMPUTED_VALUE"""),"KIT ON/OFF 12 metros – Punho BOTÃO
     Mangueira ON/OFF 12 metros com punho e terminal rotativos;
     Escova dupla função com rodas;
     Escova crina com rodas pequena;
     Tubo telescópico cromado;
     Conjunto 5 peças (escova móveis, escova so"&amp;"fás, bico de cantos, suporte escovas e suporte tubo telescópico);
     Suporte metálico para mangueira;")</f>
        <v>KIT ON/OFF 12 metros – Punho BOTÃO
     Mangueira ON/OFF 12 metros com punho e terminal rotativos;
     Escova dupla função com rodas;
     Escova crina com rodas pequena;
     Tubo telescópico cromado;
     Conjunto 5 peças (escova móveis, escova sofás, bico de cantos, suporte escovas e suporte tubo telescópico);
     Suporte metálico para mangueira;</v>
      </c>
      <c r="D219" s="64" t="str">
        <f>IFERROR(__xludf.DUMMYFUNCTION("IMPORTRANGE(""https://docs.google.com/spreadsheets/d/1ZgkzeBdhSokvqCpGgO9LgqfDTs6HIgXYJH9ON5WjN-s/edit?gid=891027965#gid=891027965"",""secundário!d1"")"),"ASPIRVAC 2")</f>
        <v>ASPIRVAC 2</v>
      </c>
      <c r="E219" s="56">
        <v>0.0</v>
      </c>
      <c r="F219" s="58">
        <f>IFERROR(__xludf.DUMMYFUNCTION("""COMPUTED_VALUE"""),2000.0)</f>
        <v>2000</v>
      </c>
      <c r="G219" s="58">
        <f t="shared" si="7"/>
        <v>2000</v>
      </c>
      <c r="H219" s="57">
        <f t="shared" si="3"/>
        <v>4000</v>
      </c>
      <c r="I219" s="59">
        <f t="shared" si="8"/>
        <v>1</v>
      </c>
      <c r="J219" s="12"/>
      <c r="K219" s="1"/>
      <c r="L219" s="1"/>
      <c r="M219" s="1"/>
      <c r="N219" s="1"/>
      <c r="O219" s="1"/>
      <c r="P219" s="1"/>
      <c r="Q219" s="1"/>
      <c r="R219" s="1"/>
      <c r="S219" s="1"/>
      <c r="T219" s="1"/>
      <c r="U219" s="1"/>
      <c r="V219" s="1"/>
      <c r="W219" s="1"/>
      <c r="X219" s="1"/>
      <c r="Y219" s="1"/>
      <c r="Z219" s="1"/>
    </row>
    <row r="220">
      <c r="A220" s="1"/>
      <c r="B220" s="1"/>
      <c r="C220" s="48" t="str">
        <f>IFERROR(__xludf.DUMMYFUNCTION("""COMPUTED_VALUE"""),"KIT ON/OFF 9 metros – Punho BOTÃO
     Mangueira ON/OFF 9 metros com punho e terminal rotativos;
     Escova dupla função com rodas;
     Escova crina com rodas pequena;
     Tubo telescópico cromado;
     Conjunto 5 peças (escova móveis, escova sofá"&amp;"s, bico de cantos, suporte escovas e suporte tubo telescópico);
     Suporte metálico para mangueira;")</f>
        <v>KIT ON/OFF 9 metros – Punho BOTÃO
     Mangueira ON/OFF 9 metros com punho e terminal rotativos;
     Escova dupla função com rodas;
     Escova crina com rodas pequena;
     Tubo telescópico cromado;
     Conjunto 5 peças (escova móveis, escova sofás, bico de cantos, suporte escovas e suporte tubo telescópico);
     Suporte metálico para mangueira;</v>
      </c>
      <c r="D220" s="61" t="str">
        <f>IFERROR(__xludf.DUMMYFUNCTION("IMPORTRANGE(""https://docs.google.com/spreadsheets/d/1ZgkzeBdhSokvqCpGgO9LgqfDTs6HIgXYJH9ON5WjN-s/edit?gid=891027965#gid=891027965"",""secundário!d1"")"),"ASPIRVAC 2")</f>
        <v>ASPIRVAC 2</v>
      </c>
      <c r="E220" s="50">
        <v>0.0</v>
      </c>
      <c r="F220" s="52">
        <f>IFERROR(__xludf.DUMMYFUNCTION("""COMPUTED_VALUE"""),1750.0)</f>
        <v>1750</v>
      </c>
      <c r="G220" s="52">
        <f t="shared" si="7"/>
        <v>1750</v>
      </c>
      <c r="H220" s="51">
        <f t="shared" si="3"/>
        <v>3500</v>
      </c>
      <c r="I220" s="53">
        <f t="shared" si="8"/>
        <v>1</v>
      </c>
      <c r="J220" s="12"/>
      <c r="K220" s="1"/>
      <c r="L220" s="1"/>
      <c r="M220" s="1"/>
      <c r="N220" s="1"/>
      <c r="O220" s="1"/>
      <c r="P220" s="1"/>
      <c r="Q220" s="1"/>
      <c r="R220" s="1"/>
      <c r="S220" s="1"/>
      <c r="T220" s="1"/>
      <c r="U220" s="1"/>
      <c r="V220" s="1"/>
      <c r="W220" s="1"/>
      <c r="X220" s="1"/>
      <c r="Y220" s="1"/>
      <c r="Z220" s="1"/>
    </row>
    <row r="221">
      <c r="A221" s="1"/>
      <c r="B221" s="1"/>
      <c r="C221" s="54" t="str">
        <f>IFERROR(__xludf.DUMMYFUNCTION("""COMPUTED_VALUE"""),"KIT ON/OFF12 metros – Punho SLIDE (Botão deslizante)
     Mangueira ON/OFF 12 metros com punho e terminal rotativos;
     Escova dupla função com rodas;
     Escova crina com rodas pequena;
     Tubo telescópico cromado;
     Conjunto 5 peças (escova"&amp;" móveis, escova sofás, bico de cantos, suporte escovas e suporte tubo telescópico);
     Suporte metálico para mangueira;")</f>
        <v>KIT ON/OFF12 metros – Punho SLIDE (Botão deslizante)
     Mangueira ON/OFF 12 metros com punho e terminal rotativos;
     Escova dupla função com rodas;
     Escova crina com rodas pequena;
     Tubo telescópico cromado;
     Conjunto 5 peças (escova móveis, escova sofás, bico de cantos, suporte escovas e suporte tubo telescópico);
     Suporte metálico para mangueira;</v>
      </c>
      <c r="D221" s="64" t="str">
        <f>IFERROR(__xludf.DUMMYFUNCTION("IMPORTRANGE(""https://docs.google.com/spreadsheets/d/1ZgkzeBdhSokvqCpGgO9LgqfDTs6HIgXYJH9ON5WjN-s/edit?gid=891027965#gid=891027965"",""secundário!d1"")"),"ASPIRVAC 2")</f>
        <v>ASPIRVAC 2</v>
      </c>
      <c r="E221" s="56">
        <v>0.0</v>
      </c>
      <c r="F221" s="58">
        <f>IFERROR(__xludf.DUMMYFUNCTION("""COMPUTED_VALUE"""),2000.0)</f>
        <v>2000</v>
      </c>
      <c r="G221" s="58">
        <f t="shared" si="7"/>
        <v>2000</v>
      </c>
      <c r="H221" s="57">
        <f t="shared" si="3"/>
        <v>4000</v>
      </c>
      <c r="I221" s="59">
        <f t="shared" si="8"/>
        <v>1</v>
      </c>
      <c r="J221" s="12"/>
      <c r="K221" s="1"/>
      <c r="L221" s="1"/>
      <c r="M221" s="1"/>
      <c r="N221" s="1"/>
      <c r="O221" s="1"/>
      <c r="P221" s="1"/>
      <c r="Q221" s="1"/>
      <c r="R221" s="1"/>
      <c r="S221" s="1"/>
      <c r="T221" s="1"/>
      <c r="U221" s="1"/>
      <c r="V221" s="1"/>
      <c r="W221" s="1"/>
      <c r="X221" s="1"/>
      <c r="Y221" s="1"/>
      <c r="Z221" s="1"/>
    </row>
    <row r="222">
      <c r="A222" s="1"/>
      <c r="B222" s="1"/>
      <c r="C222" s="48" t="str">
        <f>IFERROR(__xludf.DUMMYFUNCTION("""COMPUTED_VALUE"""),"KIT PLÁSTICO MINI LIMPEZA")</f>
        <v>KIT PLÁSTICO MINI LIMPEZA</v>
      </c>
      <c r="D222" s="61" t="str">
        <f>IFERROR(__xludf.DUMMYFUNCTION("IMPORTRANGE(""https://docs.google.com/spreadsheets/d/1ZgkzeBdhSokvqCpGgO9LgqfDTs6HIgXYJH9ON5WjN-s/edit?gid=891027965#gid=891027965"",""secundário!d1"")"),"ASPIRVAC 2")</f>
        <v>ASPIRVAC 2</v>
      </c>
      <c r="E222" s="50">
        <v>0.0</v>
      </c>
      <c r="F222" s="52">
        <f>IFERROR(__xludf.DUMMYFUNCTION("""COMPUTED_VALUE"""),145.0)</f>
        <v>145</v>
      </c>
      <c r="G222" s="52">
        <f t="shared" si="7"/>
        <v>145</v>
      </c>
      <c r="H222" s="51">
        <f t="shared" si="3"/>
        <v>290</v>
      </c>
      <c r="I222" s="53">
        <f t="shared" si="8"/>
        <v>1</v>
      </c>
      <c r="J222" s="12"/>
      <c r="K222" s="1"/>
      <c r="L222" s="1"/>
      <c r="M222" s="1"/>
      <c r="N222" s="1"/>
      <c r="O222" s="1"/>
      <c r="P222" s="1"/>
      <c r="Q222" s="1"/>
      <c r="R222" s="1"/>
      <c r="S222" s="1"/>
      <c r="T222" s="1"/>
      <c r="U222" s="1"/>
      <c r="V222" s="1"/>
      <c r="W222" s="1"/>
      <c r="X222" s="1"/>
      <c r="Y222" s="1"/>
      <c r="Z222" s="1"/>
    </row>
    <row r="223">
      <c r="A223" s="1"/>
      <c r="B223" s="1"/>
      <c r="C223" s="54" t="str">
        <f>IFERROR(__xludf.DUMMYFUNCTION("""COMPUTED_VALUE"""),"KIT STD 11 metros + Acessórios
     Mangueira 9 metros com punho plástico (ponta metal) e terminal rotativo (ponta metal);
     Escova dupla função com rodas;
     Tubo telescópico cromado;
     Conjunto 4 peças (escova móveis, escova sofás, bico de c"&amp;"antos e suporte de escovas);
     Suporte metálico para mangueira;")</f>
        <v>KIT STD 11 metros + Acessórios
     Mangueira 9 metros com punho plástico (ponta metal) e terminal rotativo (ponta metal);
     Escova dupla função com rodas;
     Tubo telescópico cromado;
     Conjunto 4 peças (escova móveis, escova sofás, bico de cantos e suporte de escovas);
     Suporte metálico para mangueira;</v>
      </c>
      <c r="D223" s="64" t="str">
        <f>IFERROR(__xludf.DUMMYFUNCTION("IMPORTRANGE(""https://docs.google.com/spreadsheets/d/1ZgkzeBdhSokvqCpGgO9LgqfDTs6HIgXYJH9ON5WjN-s/edit?gid=891027965#gid=891027965"",""secundário!d1"")"),"ASPIRVAC 2")</f>
        <v>ASPIRVAC 2</v>
      </c>
      <c r="E223" s="56">
        <v>0.0</v>
      </c>
      <c r="F223" s="58">
        <f>IFERROR(__xludf.DUMMYFUNCTION("""COMPUTED_VALUE"""),860.0)</f>
        <v>860</v>
      </c>
      <c r="G223" s="58">
        <f t="shared" si="7"/>
        <v>860</v>
      </c>
      <c r="H223" s="57">
        <f t="shared" si="3"/>
        <v>1720</v>
      </c>
      <c r="I223" s="59">
        <f t="shared" si="8"/>
        <v>1</v>
      </c>
      <c r="J223" s="12"/>
      <c r="K223" s="1"/>
      <c r="L223" s="1"/>
      <c r="M223" s="1"/>
      <c r="N223" s="1"/>
      <c r="O223" s="1"/>
      <c r="P223" s="1"/>
      <c r="Q223" s="1"/>
      <c r="R223" s="1"/>
      <c r="S223" s="1"/>
      <c r="T223" s="1"/>
      <c r="U223" s="1"/>
      <c r="V223" s="1"/>
      <c r="W223" s="1"/>
      <c r="X223" s="1"/>
      <c r="Y223" s="1"/>
      <c r="Z223" s="1"/>
    </row>
    <row r="224">
      <c r="A224" s="1"/>
      <c r="B224" s="1"/>
      <c r="C224" s="48" t="str">
        <f>IFERROR(__xludf.DUMMYFUNCTION("""COMPUTED_VALUE"""),"KIT STD 13 metros + Acessórios
     Mangueira 9 metros com punho plástico (ponta metal) e terminal rotativo (ponta metal);
     Escova dupla função com rodas;
     Tubo telescópico cromado;
     Conjunto 4 peças (escova móveis, escova sofás, bico de c"&amp;"antos e suporte de escovas);
     Suporte metálico para mangueira;")</f>
        <v>KIT STD 13 metros + Acessórios
     Mangueira 9 metros com punho plástico (ponta metal) e terminal rotativo (ponta metal);
     Escova dupla função com rodas;
     Tubo telescópico cromado;
     Conjunto 4 peças (escova móveis, escova sofás, bico de cantos e suporte de escovas);
     Suporte metálico para mangueira;</v>
      </c>
      <c r="D224" s="61" t="str">
        <f>IFERROR(__xludf.DUMMYFUNCTION("IMPORTRANGE(""https://docs.google.com/spreadsheets/d/1ZgkzeBdhSokvqCpGgO9LgqfDTs6HIgXYJH9ON5WjN-s/edit?gid=891027965#gid=891027965"",""secundário!d1"")"),"ASPIRVAC 2")</f>
        <v>ASPIRVAC 2</v>
      </c>
      <c r="E224" s="50">
        <v>0.0</v>
      </c>
      <c r="F224" s="52">
        <f>IFERROR(__xludf.DUMMYFUNCTION("""COMPUTED_VALUE"""),900.0)</f>
        <v>900</v>
      </c>
      <c r="G224" s="52">
        <f t="shared" si="7"/>
        <v>900</v>
      </c>
      <c r="H224" s="51">
        <f t="shared" si="3"/>
        <v>1800</v>
      </c>
      <c r="I224" s="53">
        <f t="shared" si="8"/>
        <v>1</v>
      </c>
      <c r="J224" s="12"/>
      <c r="K224" s="1"/>
      <c r="L224" s="1"/>
      <c r="M224" s="1"/>
      <c r="N224" s="1"/>
      <c r="O224" s="1"/>
      <c r="P224" s="1"/>
      <c r="Q224" s="1"/>
      <c r="R224" s="1"/>
      <c r="S224" s="1"/>
      <c r="T224" s="1"/>
      <c r="U224" s="1"/>
      <c r="V224" s="1"/>
      <c r="W224" s="1"/>
      <c r="X224" s="1"/>
      <c r="Y224" s="1"/>
      <c r="Z224" s="1"/>
    </row>
    <row r="225">
      <c r="A225" s="1"/>
      <c r="B225" s="1"/>
      <c r="C225" s="54" t="str">
        <f>IFERROR(__xludf.DUMMYFUNCTION("""COMPUTED_VALUE"""),"KIT STD 15 metros + Acessórios
     Mangueira 9 metros com punho plástico (ponta metal) e terminal rotativo (ponta metal);
     Escova dupla função com rodas;
     Tubo telescópico cromado;
     Conjunto 4 peças (escova móveis, escova sofás, bico de c"&amp;"antos e suporte de escovas);
     Suporte metálico para mangueira;")</f>
        <v>KIT STD 15 metros + Acessórios
     Mangueira 9 metros com punho plástico (ponta metal) e terminal rotativo (ponta metal);
     Escova dupla função com rodas;
     Tubo telescópico cromado;
     Conjunto 4 peças (escova móveis, escova sofás, bico de cantos e suporte de escovas);
     Suporte metálico para mangueira;</v>
      </c>
      <c r="D225" s="64" t="str">
        <f>IFERROR(__xludf.DUMMYFUNCTION("IMPORTRANGE(""https://docs.google.com/spreadsheets/d/1ZgkzeBdhSokvqCpGgO9LgqfDTs6HIgXYJH9ON5WjN-s/edit?gid=891027965#gid=891027965"",""secundário!d1"")"),"ASPIRVAC 2")</f>
        <v>ASPIRVAC 2</v>
      </c>
      <c r="E225" s="56">
        <v>0.0</v>
      </c>
      <c r="F225" s="58">
        <f>IFERROR(__xludf.DUMMYFUNCTION("""COMPUTED_VALUE"""),920.0)</f>
        <v>920</v>
      </c>
      <c r="G225" s="58">
        <f t="shared" si="7"/>
        <v>920</v>
      </c>
      <c r="H225" s="57">
        <f t="shared" si="3"/>
        <v>1840</v>
      </c>
      <c r="I225" s="59">
        <f t="shared" si="8"/>
        <v>1</v>
      </c>
      <c r="J225" s="12"/>
      <c r="K225" s="1"/>
      <c r="L225" s="1"/>
      <c r="M225" s="1"/>
      <c r="N225" s="1"/>
      <c r="O225" s="1"/>
      <c r="P225" s="1"/>
      <c r="Q225" s="1"/>
      <c r="R225" s="1"/>
      <c r="S225" s="1"/>
      <c r="T225" s="1"/>
      <c r="U225" s="1"/>
      <c r="V225" s="1"/>
      <c r="W225" s="1"/>
      <c r="X225" s="1"/>
      <c r="Y225" s="1"/>
      <c r="Z225" s="1"/>
    </row>
    <row r="226">
      <c r="A226" s="1"/>
      <c r="B226" s="1"/>
      <c r="C226" s="48" t="str">
        <f>IFERROR(__xludf.DUMMYFUNCTION("""COMPUTED_VALUE"""),"KIT STD 9 metros + Acessórios
     Mangueira 9 metros com punho plástico (ponta metal) e terminal rotativo (ponta metal);
     Escova dupla função com rodas;
     Tubo telescópico cromado;
     Conjunto 4 peças (escova móveis, escova sofás, bico de ca"&amp;"ntos e suporte de escovas);
     Suporte metálico para mangueira;")</f>
        <v>KIT STD 9 metros + Acessórios
     Mangueira 9 metros com punho plástico (ponta metal) e terminal rotativo (ponta metal);
     Escova dupla função com rodas;
     Tubo telescópico cromado;
     Conjunto 4 peças (escova móveis, escova sofás, bico de cantos e suporte de escovas);
     Suporte metálico para mangueira;</v>
      </c>
      <c r="D226" s="61" t="str">
        <f>IFERROR(__xludf.DUMMYFUNCTION("IMPORTRANGE(""https://docs.google.com/spreadsheets/d/1ZgkzeBdhSokvqCpGgO9LgqfDTs6HIgXYJH9ON5WjN-s/edit?gid=891027965#gid=891027965"",""secundário!d1"")"),"ASPIRVAC 2")</f>
        <v>ASPIRVAC 2</v>
      </c>
      <c r="E226" s="50">
        <v>0.0</v>
      </c>
      <c r="F226" s="52">
        <f>IFERROR(__xludf.DUMMYFUNCTION("""COMPUTED_VALUE"""),820.0)</f>
        <v>820</v>
      </c>
      <c r="G226" s="52">
        <f t="shared" si="7"/>
        <v>820</v>
      </c>
      <c r="H226" s="51">
        <f t="shared" si="3"/>
        <v>1640</v>
      </c>
      <c r="I226" s="53">
        <f t="shared" si="8"/>
        <v>1</v>
      </c>
      <c r="J226" s="12"/>
      <c r="K226" s="1"/>
      <c r="L226" s="1"/>
      <c r="M226" s="1"/>
      <c r="N226" s="1"/>
      <c r="O226" s="1"/>
      <c r="P226" s="1"/>
      <c r="Q226" s="1"/>
      <c r="R226" s="1"/>
      <c r="S226" s="1"/>
      <c r="T226" s="1"/>
      <c r="U226" s="1"/>
      <c r="V226" s="1"/>
      <c r="W226" s="1"/>
      <c r="X226" s="1"/>
      <c r="Y226" s="1"/>
      <c r="Z226" s="1"/>
    </row>
    <row r="227">
      <c r="A227" s="1"/>
      <c r="B227" s="1"/>
      <c r="C227" s="54" t="str">
        <f>IFERROR(__xludf.DUMMYFUNCTION("""COMPUTED_VALUE"""),"KITCHBOX
(Dimensões: A 419 x L 89 x P 457 mm) Alcance mangueira 6,2 metros")</f>
        <v>KITCHBOX
(Dimensões: A 419 x L 89 x P 457 mm) Alcance mangueira 6,2 metros</v>
      </c>
      <c r="D227" s="64" t="str">
        <f>IFERROR(__xludf.DUMMYFUNCTION("IMPORTRANGE(""https://docs.google.com/spreadsheets/d/1ZgkzeBdhSokvqCpGgO9LgqfDTs6HIgXYJH9ON5WjN-s/edit?gid=891027965#gid=891027965"",""secundário!d1"")"),"ASPIRVAC 2")</f>
        <v>ASPIRVAC 2</v>
      </c>
      <c r="E227" s="56">
        <v>0.0</v>
      </c>
      <c r="F227" s="58">
        <f>IFERROR(__xludf.DUMMYFUNCTION("""COMPUTED_VALUE"""),0.0)</f>
        <v>0</v>
      </c>
      <c r="G227" s="58" t="str">
        <f t="shared" si="7"/>
        <v/>
      </c>
      <c r="H227" s="57">
        <f t="shared" si="3"/>
        <v>0</v>
      </c>
      <c r="I227" s="59" t="str">
        <f t="shared" si="8"/>
        <v/>
      </c>
      <c r="J227" s="12"/>
      <c r="K227" s="1"/>
      <c r="L227" s="1"/>
      <c r="M227" s="1"/>
      <c r="N227" s="1"/>
      <c r="O227" s="1"/>
      <c r="P227" s="1"/>
      <c r="Q227" s="1"/>
      <c r="R227" s="1"/>
      <c r="S227" s="1"/>
      <c r="T227" s="1"/>
      <c r="U227" s="1"/>
      <c r="V227" s="1"/>
      <c r="W227" s="1"/>
      <c r="X227" s="1"/>
      <c r="Y227" s="1"/>
      <c r="Z227" s="1"/>
    </row>
    <row r="228">
      <c r="A228" s="1"/>
      <c r="B228" s="1"/>
      <c r="C228" s="48" t="str">
        <f>IFERROR(__xludf.DUMMYFUNCTION("""COMPUTED_VALUE"""),"LIGADOR FLEXIVEL p/ ligação de glutão e centrais de aspiração METRO")</f>
        <v>LIGADOR FLEXIVEL p/ ligação de glutão e centrais de aspiração METRO</v>
      </c>
      <c r="D228" s="61" t="str">
        <f>IFERROR(__xludf.DUMMYFUNCTION("IMPORTRANGE(""https://docs.google.com/spreadsheets/d/1ZgkzeBdhSokvqCpGgO9LgqfDTs6HIgXYJH9ON5WjN-s/edit?gid=891027965#gid=891027965"",""secundário!d1"")"),"ASPIRVAC 2")</f>
        <v>ASPIRVAC 2</v>
      </c>
      <c r="E228" s="50">
        <v>0.0</v>
      </c>
      <c r="F228" s="52">
        <f>IFERROR(__xludf.DUMMYFUNCTION("""COMPUTED_VALUE"""),62.0)</f>
        <v>62</v>
      </c>
      <c r="G228" s="52">
        <f t="shared" si="7"/>
        <v>62</v>
      </c>
      <c r="H228" s="51">
        <f t="shared" si="3"/>
        <v>124</v>
      </c>
      <c r="I228" s="53">
        <f t="shared" si="8"/>
        <v>1</v>
      </c>
      <c r="J228" s="12"/>
      <c r="K228" s="1"/>
      <c r="L228" s="1"/>
      <c r="M228" s="1"/>
      <c r="N228" s="1"/>
      <c r="O228" s="1"/>
      <c r="P228" s="1"/>
      <c r="Q228" s="1"/>
      <c r="R228" s="1"/>
      <c r="S228" s="1"/>
      <c r="T228" s="1"/>
      <c r="U228" s="1"/>
      <c r="V228" s="1"/>
      <c r="W228" s="1"/>
      <c r="X228" s="1"/>
      <c r="Y228" s="1"/>
      <c r="Z228" s="1"/>
    </row>
    <row r="229">
      <c r="A229" s="1"/>
      <c r="B229" s="1"/>
      <c r="C229" s="54" t="str">
        <f>IFERROR(__xludf.DUMMYFUNCTION("""COMPUTED_VALUE"""),"MANGUEIRA PH FLEX 2.0 AV506 – 9 METROS  
")</f>
        <v>MANGUEIRA PH FLEX 2.0 AV506 – 9 METROS  
</v>
      </c>
      <c r="D229" s="64" t="str">
        <f>IFERROR(__xludf.DUMMYFUNCTION("IMPORTRANGE(""https://docs.google.com/spreadsheets/d/1ZgkzeBdhSokvqCpGgO9LgqfDTs6HIgXYJH9ON5WjN-s/edit?gid=891027965#gid=891027965"",""secundário!d1"")"),"ASPIRVAC 2")</f>
        <v>ASPIRVAC 2</v>
      </c>
      <c r="E229" s="56">
        <v>0.0</v>
      </c>
      <c r="F229" s="58">
        <f>IFERROR(__xludf.DUMMYFUNCTION("""COMPUTED_VALUE"""),1448.0)</f>
        <v>1448</v>
      </c>
      <c r="G229" s="58">
        <f t="shared" si="7"/>
        <v>1448</v>
      </c>
      <c r="H229" s="57">
        <f t="shared" si="3"/>
        <v>2896</v>
      </c>
      <c r="I229" s="59">
        <f t="shared" si="8"/>
        <v>1</v>
      </c>
      <c r="J229" s="12"/>
      <c r="K229" s="1"/>
      <c r="L229" s="1"/>
      <c r="M229" s="1"/>
      <c r="N229" s="1"/>
      <c r="O229" s="1"/>
      <c r="P229" s="1"/>
      <c r="Q229" s="1"/>
      <c r="R229" s="1"/>
      <c r="S229" s="1"/>
      <c r="T229" s="1"/>
      <c r="U229" s="1"/>
      <c r="V229" s="1"/>
      <c r="W229" s="1"/>
      <c r="X229" s="1"/>
      <c r="Y229" s="1"/>
      <c r="Z229" s="1"/>
    </row>
    <row r="230">
      <c r="A230" s="1"/>
      <c r="B230" s="1"/>
      <c r="C230" s="48" t="str">
        <f>IFERROR(__xludf.DUMMYFUNCTION("""COMPUTED_VALUE"""),"MOLDURA CLASSIC BRANCA p/ AV120
(Dimensões: A 102 x L 268 mm)")</f>
        <v>MOLDURA CLASSIC BRANCA p/ AV120
(Dimensões: A 102 x L 268 mm)</v>
      </c>
      <c r="D230" s="61" t="str">
        <f>IFERROR(__xludf.DUMMYFUNCTION("IMPORTRANGE(""https://docs.google.com/spreadsheets/d/1ZgkzeBdhSokvqCpGgO9LgqfDTs6HIgXYJH9ON5WjN-s/edit?gid=891027965#gid=891027965"",""secundário!d1"")"),"ASPIRVAC 2")</f>
        <v>ASPIRVAC 2</v>
      </c>
      <c r="E230" s="50">
        <v>0.0</v>
      </c>
      <c r="F230" s="52">
        <f>IFERROR(__xludf.DUMMYFUNCTION("""COMPUTED_VALUE"""),40.0)</f>
        <v>40</v>
      </c>
      <c r="G230" s="52">
        <f t="shared" si="7"/>
        <v>40</v>
      </c>
      <c r="H230" s="51">
        <f t="shared" si="3"/>
        <v>80</v>
      </c>
      <c r="I230" s="53">
        <f t="shared" si="8"/>
        <v>1</v>
      </c>
      <c r="J230" s="12"/>
      <c r="K230" s="1"/>
      <c r="L230" s="1"/>
      <c r="M230" s="1"/>
      <c r="N230" s="1"/>
      <c r="O230" s="1"/>
      <c r="P230" s="1"/>
      <c r="Q230" s="1"/>
      <c r="R230" s="1"/>
      <c r="S230" s="1"/>
      <c r="T230" s="1"/>
      <c r="U230" s="1"/>
      <c r="V230" s="1"/>
      <c r="W230" s="1"/>
      <c r="X230" s="1"/>
      <c r="Y230" s="1"/>
      <c r="Z230" s="1"/>
    </row>
    <row r="231">
      <c r="A231" s="1"/>
      <c r="B231" s="1"/>
      <c r="C231" s="54" t="str">
        <f>IFERROR(__xludf.DUMMYFUNCTION("""COMPUTED_VALUE"""),"MOLDURA CLASSIC PRETA P/ AV120PR
(Dimensões: A 102 x L 268 mm)")</f>
        <v>MOLDURA CLASSIC PRETA P/ AV120PR
(Dimensões: A 102 x L 268 mm)</v>
      </c>
      <c r="D231" s="64" t="str">
        <f>IFERROR(__xludf.DUMMYFUNCTION("IMPORTRANGE(""https://docs.google.com/spreadsheets/d/1ZgkzeBdhSokvqCpGgO9LgqfDTs6HIgXYJH9ON5WjN-s/edit?gid=891027965#gid=891027965"",""secundário!d1"")"),"ASPIRVAC 2")</f>
        <v>ASPIRVAC 2</v>
      </c>
      <c r="E231" s="56">
        <v>0.0</v>
      </c>
      <c r="F231" s="58">
        <f>IFERROR(__xludf.DUMMYFUNCTION("""COMPUTED_VALUE"""),40.0)</f>
        <v>40</v>
      </c>
      <c r="G231" s="58">
        <f t="shared" si="7"/>
        <v>40</v>
      </c>
      <c r="H231" s="57">
        <f t="shared" si="3"/>
        <v>80</v>
      </c>
      <c r="I231" s="59">
        <f t="shared" si="8"/>
        <v>1</v>
      </c>
      <c r="J231" s="12"/>
      <c r="K231" s="1"/>
      <c r="L231" s="1"/>
      <c r="M231" s="1"/>
      <c r="N231" s="1"/>
      <c r="O231" s="1"/>
      <c r="P231" s="1"/>
      <c r="Q231" s="1"/>
      <c r="R231" s="1"/>
      <c r="S231" s="1"/>
      <c r="T231" s="1"/>
      <c r="U231" s="1"/>
      <c r="V231" s="1"/>
      <c r="W231" s="1"/>
      <c r="X231" s="1"/>
      <c r="Y231" s="1"/>
      <c r="Z231" s="1"/>
    </row>
    <row r="232">
      <c r="A232" s="1"/>
      <c r="B232" s="1"/>
      <c r="C232" s="48" t="str">
        <f>IFERROR(__xludf.DUMMYFUNCTION("""COMPUTED_VALUE"""),"MOLDURA QUADRADA BRANCA p/ AV121
(Dimensões: A 56,04 x L 229,14 mm)")</f>
        <v>MOLDURA QUADRADA BRANCA p/ AV121
(Dimensões: A 56,04 x L 229,14 mm)</v>
      </c>
      <c r="D232" s="61" t="str">
        <f>IFERROR(__xludf.DUMMYFUNCTION("IMPORTRANGE(""https://docs.google.com/spreadsheets/d/1ZgkzeBdhSokvqCpGgO9LgqfDTs6HIgXYJH9ON5WjN-s/edit?gid=891027965#gid=891027965"",""secundário!d1"")"),"ASPIRVAC 2")</f>
        <v>ASPIRVAC 2</v>
      </c>
      <c r="E232" s="50">
        <v>0.0</v>
      </c>
      <c r="F232" s="52">
        <f>IFERROR(__xludf.DUMMYFUNCTION("""COMPUTED_VALUE"""),30.0)</f>
        <v>30</v>
      </c>
      <c r="G232" s="52">
        <f t="shared" si="7"/>
        <v>30</v>
      </c>
      <c r="H232" s="51">
        <f t="shared" si="3"/>
        <v>60</v>
      </c>
      <c r="I232" s="53">
        <f t="shared" si="8"/>
        <v>1</v>
      </c>
      <c r="J232" s="12"/>
      <c r="K232" s="1"/>
      <c r="L232" s="1"/>
      <c r="M232" s="1"/>
      <c r="N232" s="1"/>
      <c r="O232" s="1"/>
      <c r="P232" s="1"/>
      <c r="Q232" s="1"/>
      <c r="R232" s="1"/>
      <c r="S232" s="1"/>
      <c r="T232" s="1"/>
      <c r="U232" s="1"/>
      <c r="V232" s="1"/>
      <c r="W232" s="1"/>
      <c r="X232" s="1"/>
      <c r="Y232" s="1"/>
      <c r="Z232" s="1"/>
    </row>
    <row r="233">
      <c r="A233" s="1"/>
      <c r="B233" s="1"/>
      <c r="C233" s="54" t="str">
        <f>IFERROR(__xludf.DUMMYFUNCTION("""COMPUTED_VALUE"""),"MOLDURA QUADRADA PRETO p/ AV121PR
(Dimensões: A 56,04 x 229,14 mm)")</f>
        <v>MOLDURA QUADRADA PRETO p/ AV121PR
(Dimensões: A 56,04 x 229,14 mm)</v>
      </c>
      <c r="D233" s="64" t="str">
        <f>IFERROR(__xludf.DUMMYFUNCTION("IMPORTRANGE(""https://docs.google.com/spreadsheets/d/1ZgkzeBdhSokvqCpGgO9LgqfDTs6HIgXYJH9ON5WjN-s/edit?gid=891027965#gid=891027965"",""secundário!d1"")"),"ASPIRVAC 2")</f>
        <v>ASPIRVAC 2</v>
      </c>
      <c r="E233" s="56">
        <v>0.0</v>
      </c>
      <c r="F233" s="58">
        <f>IFERROR(__xludf.DUMMYFUNCTION("""COMPUTED_VALUE"""),30.0)</f>
        <v>30</v>
      </c>
      <c r="G233" s="58">
        <f t="shared" si="7"/>
        <v>30</v>
      </c>
      <c r="H233" s="57">
        <f t="shared" si="3"/>
        <v>60</v>
      </c>
      <c r="I233" s="59">
        <f t="shared" si="8"/>
        <v>1</v>
      </c>
      <c r="J233" s="12"/>
      <c r="K233" s="1"/>
      <c r="L233" s="1"/>
      <c r="M233" s="1"/>
      <c r="N233" s="1"/>
      <c r="O233" s="1"/>
      <c r="P233" s="1"/>
      <c r="Q233" s="1"/>
      <c r="R233" s="1"/>
      <c r="S233" s="1"/>
      <c r="T233" s="1"/>
      <c r="U233" s="1"/>
      <c r="V233" s="1"/>
      <c r="W233" s="1"/>
      <c r="X233" s="1"/>
      <c r="Y233" s="1"/>
      <c r="Z233" s="1"/>
    </row>
    <row r="234">
      <c r="A234" s="1"/>
      <c r="B234" s="1"/>
      <c r="C234" s="48" t="str">
        <f>IFERROR(__xludf.DUMMYFUNCTION("""COMPUTED_VALUE"""),"MOLDURA REDONDA BRANCA p/ AV121
(Dimensões: A 60,78 x L 229,39 mm)")</f>
        <v>MOLDURA REDONDA BRANCA p/ AV121
(Dimensões: A 60,78 x L 229,39 mm)</v>
      </c>
      <c r="D234" s="61" t="str">
        <f>IFERROR(__xludf.DUMMYFUNCTION("IMPORTRANGE(""https://docs.google.com/spreadsheets/d/1ZgkzeBdhSokvqCpGgO9LgqfDTs6HIgXYJH9ON5WjN-s/edit?gid=891027965#gid=891027965"",""secundário!d1"")"),"ASPIRVAC 2")</f>
        <v>ASPIRVAC 2</v>
      </c>
      <c r="E234" s="50">
        <v>0.0</v>
      </c>
      <c r="F234" s="52">
        <f>IFERROR(__xludf.DUMMYFUNCTION("""COMPUTED_VALUE"""),30.0)</f>
        <v>30</v>
      </c>
      <c r="G234" s="52">
        <f t="shared" si="7"/>
        <v>30</v>
      </c>
      <c r="H234" s="51">
        <f t="shared" si="3"/>
        <v>60</v>
      </c>
      <c r="I234" s="53">
        <f t="shared" si="8"/>
        <v>1</v>
      </c>
      <c r="J234" s="12"/>
      <c r="K234" s="1"/>
      <c r="L234" s="1"/>
      <c r="M234" s="1"/>
      <c r="N234" s="1"/>
      <c r="O234" s="1"/>
      <c r="P234" s="1"/>
      <c r="Q234" s="1"/>
      <c r="R234" s="1"/>
      <c r="S234" s="1"/>
      <c r="T234" s="1"/>
      <c r="U234" s="1"/>
      <c r="V234" s="1"/>
      <c r="W234" s="1"/>
      <c r="X234" s="1"/>
      <c r="Y234" s="1"/>
      <c r="Z234" s="1"/>
    </row>
    <row r="235">
      <c r="A235" s="1"/>
      <c r="B235" s="1"/>
      <c r="C235" s="54" t="str">
        <f>IFERROR(__xludf.DUMMYFUNCTION("""COMPUTED_VALUE"""),"MOLDURA VINTAGE BRANCA p/ AV121
(Dimensões: A 65,12 x L 229,50 mm)")</f>
        <v>MOLDURA VINTAGE BRANCA p/ AV121
(Dimensões: A 65,12 x L 229,50 mm)</v>
      </c>
      <c r="D235" s="64" t="str">
        <f>IFERROR(__xludf.DUMMYFUNCTION("IMPORTRANGE(""https://docs.google.com/spreadsheets/d/1ZgkzeBdhSokvqCpGgO9LgqfDTs6HIgXYJH9ON5WjN-s/edit?gid=891027965#gid=891027965"",""secundário!d1"")"),"ASPIRVAC 2")</f>
        <v>ASPIRVAC 2</v>
      </c>
      <c r="E235" s="56">
        <v>0.0</v>
      </c>
      <c r="F235" s="58">
        <f>IFERROR(__xludf.DUMMYFUNCTION("""COMPUTED_VALUE"""),30.0)</f>
        <v>30</v>
      </c>
      <c r="G235" s="58">
        <f t="shared" si="7"/>
        <v>30</v>
      </c>
      <c r="H235" s="57">
        <f t="shared" si="3"/>
        <v>60</v>
      </c>
      <c r="I235" s="59">
        <f t="shared" si="8"/>
        <v>1</v>
      </c>
      <c r="J235" s="12"/>
      <c r="K235" s="1"/>
      <c r="L235" s="1"/>
      <c r="M235" s="1"/>
      <c r="N235" s="1"/>
      <c r="O235" s="1"/>
      <c r="P235" s="1"/>
      <c r="Q235" s="1"/>
      <c r="R235" s="1"/>
      <c r="S235" s="1"/>
      <c r="T235" s="1"/>
      <c r="U235" s="1"/>
      <c r="V235" s="1"/>
      <c r="W235" s="1"/>
      <c r="X235" s="1"/>
      <c r="Y235" s="1"/>
      <c r="Z235" s="1"/>
    </row>
    <row r="236">
      <c r="A236" s="1"/>
      <c r="B236" s="1"/>
      <c r="C236" s="48" t="str">
        <f>IFERROR(__xludf.DUMMYFUNCTION("""COMPUTED_VALUE"""),"MOTOR DOMEL 1400 W THRU-FLOW 01 ESTÁGIO
463.3.404.8")</f>
        <v>MOTOR DOMEL 1400 W THRU-FLOW 01 ESTÁGIO
463.3.404.8</v>
      </c>
      <c r="D236" s="61" t="str">
        <f>IFERROR(__xludf.DUMMYFUNCTION("IMPORTRANGE(""https://docs.google.com/spreadsheets/d/1ZgkzeBdhSokvqCpGgO9LgqfDTs6HIgXYJH9ON5WjN-s/edit?gid=891027965#gid=891027965"",""secundário!d1"")"),"ASPIRVAC 2")</f>
        <v>ASPIRVAC 2</v>
      </c>
      <c r="E236" s="50">
        <v>0.0</v>
      </c>
      <c r="F236" s="52">
        <f>IFERROR(__xludf.DUMMYFUNCTION("""COMPUTED_VALUE"""),1230.0)</f>
        <v>1230</v>
      </c>
      <c r="G236" s="52">
        <f t="shared" si="7"/>
        <v>1230</v>
      </c>
      <c r="H236" s="51">
        <f t="shared" si="3"/>
        <v>2460</v>
      </c>
      <c r="I236" s="53">
        <f t="shared" si="8"/>
        <v>1</v>
      </c>
      <c r="J236" s="12"/>
      <c r="K236" s="1"/>
      <c r="L236" s="1"/>
      <c r="M236" s="1"/>
      <c r="N236" s="1"/>
      <c r="O236" s="1"/>
      <c r="P236" s="1"/>
      <c r="Q236" s="1"/>
      <c r="R236" s="1"/>
      <c r="S236" s="1"/>
      <c r="T236" s="1"/>
      <c r="U236" s="1"/>
      <c r="V236" s="1"/>
      <c r="W236" s="1"/>
      <c r="X236" s="1"/>
      <c r="Y236" s="1"/>
      <c r="Z236" s="1"/>
    </row>
    <row r="237">
      <c r="A237" s="1"/>
      <c r="B237" s="1"/>
      <c r="C237" s="54" t="str">
        <f>IFERROR(__xludf.DUMMYFUNCTION("""COMPUTED_VALUE"""),"MOTOR DOMEL 1750 W BY-PASS TANGENCIAL
02 ESTÁGIOS
491.3.714
(PARA MODELO BEAM)")</f>
        <v>MOTOR DOMEL 1750 W BY-PASS TANGENCIAL
02 ESTÁGIOS
491.3.714
(PARA MODELO BEAM)</v>
      </c>
      <c r="D237" s="64" t="str">
        <f>IFERROR(__xludf.DUMMYFUNCTION("IMPORTRANGE(""https://docs.google.com/spreadsheets/d/1ZgkzeBdhSokvqCpGgO9LgqfDTs6HIgXYJH9ON5WjN-s/edit?gid=891027965#gid=891027965"",""secundário!d1"")"),"ASPIRVAC 2")</f>
        <v>ASPIRVAC 2</v>
      </c>
      <c r="E237" s="56">
        <v>0.0</v>
      </c>
      <c r="F237" s="58">
        <f>IFERROR(__xludf.DUMMYFUNCTION("""COMPUTED_VALUE"""),1890.0)</f>
        <v>1890</v>
      </c>
      <c r="G237" s="58">
        <f t="shared" si="7"/>
        <v>1890</v>
      </c>
      <c r="H237" s="57">
        <f t="shared" si="3"/>
        <v>3780</v>
      </c>
      <c r="I237" s="59">
        <f t="shared" si="8"/>
        <v>1</v>
      </c>
      <c r="J237" s="12"/>
      <c r="K237" s="1"/>
      <c r="L237" s="1"/>
      <c r="M237" s="1"/>
      <c r="N237" s="1"/>
      <c r="O237" s="1"/>
      <c r="P237" s="1"/>
      <c r="Q237" s="1"/>
      <c r="R237" s="1"/>
      <c r="S237" s="1"/>
      <c r="T237" s="1"/>
      <c r="U237" s="1"/>
      <c r="V237" s="1"/>
      <c r="W237" s="1"/>
      <c r="X237" s="1"/>
      <c r="Y237" s="1"/>
      <c r="Z237" s="1"/>
    </row>
    <row r="238">
      <c r="A238" s="1"/>
      <c r="B238" s="1"/>
      <c r="C238" s="48" t="str">
        <f>IFERROR(__xludf.DUMMYFUNCTION("""COMPUTED_VALUE"""),"MOTOR DOMEL 1750 W THRU-FLOW 01 ESTÁGIO
462.3.452
(PARA MODELO BEAM)")</f>
        <v>MOTOR DOMEL 1750 W THRU-FLOW 01 ESTÁGIO
462.3.452
(PARA MODELO BEAM)</v>
      </c>
      <c r="D238" s="61" t="str">
        <f>IFERROR(__xludf.DUMMYFUNCTION("IMPORTRANGE(""https://docs.google.com/spreadsheets/d/1ZgkzeBdhSokvqCpGgO9LgqfDTs6HIgXYJH9ON5WjN-s/edit?gid=891027965#gid=891027965"",""secundário!d1"")"),"ASPIRVAC 2")</f>
        <v>ASPIRVAC 2</v>
      </c>
      <c r="E238" s="50">
        <v>0.0</v>
      </c>
      <c r="F238" s="52">
        <f>IFERROR(__xludf.DUMMYFUNCTION("""COMPUTED_VALUE"""),1695.0)</f>
        <v>1695</v>
      </c>
      <c r="G238" s="52">
        <f t="shared" si="7"/>
        <v>1695</v>
      </c>
      <c r="H238" s="51">
        <f t="shared" si="3"/>
        <v>3390</v>
      </c>
      <c r="I238" s="53">
        <f t="shared" si="8"/>
        <v>1</v>
      </c>
      <c r="J238" s="12"/>
      <c r="K238" s="1"/>
      <c r="L238" s="1"/>
      <c r="M238" s="1"/>
      <c r="N238" s="1"/>
      <c r="O238" s="1"/>
      <c r="P238" s="1"/>
      <c r="Q238" s="1"/>
      <c r="R238" s="1"/>
      <c r="S238" s="1"/>
      <c r="T238" s="1"/>
      <c r="U238" s="1"/>
      <c r="V238" s="1"/>
      <c r="W238" s="1"/>
      <c r="X238" s="1"/>
      <c r="Y238" s="1"/>
      <c r="Z238" s="1"/>
    </row>
    <row r="239">
      <c r="A239" s="1"/>
      <c r="B239" s="1"/>
      <c r="C239" s="54" t="str">
        <f>IFERROR(__xludf.DUMMYFUNCTION("""COMPUTED_VALUE"""),"MOTOR DOMEL 1750 W THRU-FLOW 01 ESTÁGIO
463.3.201")</f>
        <v>MOTOR DOMEL 1750 W THRU-FLOW 01 ESTÁGIO
463.3.201</v>
      </c>
      <c r="D239" s="64" t="str">
        <f>IFERROR(__xludf.DUMMYFUNCTION("IMPORTRANGE(""https://docs.google.com/spreadsheets/d/1ZgkzeBdhSokvqCpGgO9LgqfDTs6HIgXYJH9ON5WjN-s/edit?gid=891027965#gid=891027965"",""secundário!d1"")"),"ASPIRVAC 2")</f>
        <v>ASPIRVAC 2</v>
      </c>
      <c r="E239" s="56">
        <v>0.0</v>
      </c>
      <c r="F239" s="58">
        <f>IFERROR(__xludf.DUMMYFUNCTION("""COMPUTED_VALUE"""),1390.0)</f>
        <v>1390</v>
      </c>
      <c r="G239" s="58">
        <f t="shared" si="7"/>
        <v>1390</v>
      </c>
      <c r="H239" s="57">
        <f t="shared" si="3"/>
        <v>2780</v>
      </c>
      <c r="I239" s="59">
        <f t="shared" si="8"/>
        <v>1</v>
      </c>
      <c r="J239" s="12"/>
      <c r="K239" s="1"/>
      <c r="L239" s="1"/>
      <c r="M239" s="1"/>
      <c r="N239" s="1"/>
      <c r="O239" s="1"/>
      <c r="P239" s="1"/>
      <c r="Q239" s="1"/>
      <c r="R239" s="1"/>
      <c r="S239" s="1"/>
      <c r="T239" s="1"/>
      <c r="U239" s="1"/>
      <c r="V239" s="1"/>
      <c r="W239" s="1"/>
      <c r="X239" s="1"/>
      <c r="Y239" s="1"/>
      <c r="Z239" s="1"/>
    </row>
    <row r="240">
      <c r="A240" s="1"/>
      <c r="B240" s="1"/>
      <c r="C240" s="48" t="str">
        <f>IFERROR(__xludf.DUMMYFUNCTION("""COMPUTED_VALUE"""),"MOTOR DOMEL 1900 W BY-PASS TANGENCIAL
03 ESTÁGIOS
491.3.761")</f>
        <v>MOTOR DOMEL 1900 W BY-PASS TANGENCIAL
03 ESTÁGIOS
491.3.761</v>
      </c>
      <c r="D240" s="61" t="str">
        <f>IFERROR(__xludf.DUMMYFUNCTION("IMPORTRANGE(""https://docs.google.com/spreadsheets/d/1ZgkzeBdhSokvqCpGgO9LgqfDTs6HIgXYJH9ON5WjN-s/edit?gid=891027965#gid=891027965"",""secundário!d1"")"),"ASPIRVAC 2")</f>
        <v>ASPIRVAC 2</v>
      </c>
      <c r="E240" s="50">
        <v>0.0</v>
      </c>
      <c r="F240" s="52">
        <f>IFERROR(__xludf.DUMMYFUNCTION("""COMPUTED_VALUE"""),2198.0)</f>
        <v>2198</v>
      </c>
      <c r="G240" s="52">
        <f t="shared" si="7"/>
        <v>2198</v>
      </c>
      <c r="H240" s="51">
        <f t="shared" si="3"/>
        <v>4396</v>
      </c>
      <c r="I240" s="53">
        <f t="shared" si="8"/>
        <v>1</v>
      </c>
      <c r="J240" s="12"/>
      <c r="K240" s="1"/>
      <c r="L240" s="1"/>
      <c r="M240" s="1"/>
      <c r="N240" s="1"/>
      <c r="O240" s="1"/>
      <c r="P240" s="1"/>
      <c r="Q240" s="1"/>
      <c r="R240" s="1"/>
      <c r="S240" s="1"/>
      <c r="T240" s="1"/>
      <c r="U240" s="1"/>
      <c r="V240" s="1"/>
      <c r="W240" s="1"/>
      <c r="X240" s="1"/>
      <c r="Y240" s="1"/>
      <c r="Z240" s="1"/>
    </row>
    <row r="241">
      <c r="A241" s="1"/>
      <c r="B241" s="1"/>
      <c r="C241" s="54" t="str">
        <f>IFERROR(__xludf.DUMMYFUNCTION("""COMPUTED_VALUE"""),"MOTOR DOMEL 2000 W THRU-FLOW 01 ESTÁGIO
462.3.651-9")</f>
        <v>MOTOR DOMEL 2000 W THRU-FLOW 01 ESTÁGIO
462.3.651-9</v>
      </c>
      <c r="D241" s="64" t="str">
        <f>IFERROR(__xludf.DUMMYFUNCTION("IMPORTRANGE(""https://docs.google.com/spreadsheets/d/1ZgkzeBdhSokvqCpGgO9LgqfDTs6HIgXYJH9ON5WjN-s/edit?gid=891027965#gid=891027965"",""secundário!d1"")"),"ASPIRVAC 2")</f>
        <v>ASPIRVAC 2</v>
      </c>
      <c r="E241" s="56">
        <v>0.0</v>
      </c>
      <c r="F241" s="58">
        <f>IFERROR(__xludf.DUMMYFUNCTION("""COMPUTED_VALUE"""),1890.0)</f>
        <v>1890</v>
      </c>
      <c r="G241" s="58">
        <f t="shared" si="7"/>
        <v>1890</v>
      </c>
      <c r="H241" s="57">
        <f t="shared" si="3"/>
        <v>3780</v>
      </c>
      <c r="I241" s="59">
        <f t="shared" si="8"/>
        <v>1</v>
      </c>
      <c r="J241" s="12"/>
      <c r="K241" s="1"/>
      <c r="L241" s="1"/>
      <c r="M241" s="1"/>
      <c r="N241" s="1"/>
      <c r="O241" s="1"/>
      <c r="P241" s="1"/>
      <c r="Q241" s="1"/>
      <c r="R241" s="1"/>
      <c r="S241" s="1"/>
      <c r="T241" s="1"/>
      <c r="U241" s="1"/>
      <c r="V241" s="1"/>
      <c r="W241" s="1"/>
      <c r="X241" s="1"/>
      <c r="Y241" s="1"/>
      <c r="Z241" s="1"/>
    </row>
    <row r="242">
      <c r="A242" s="1"/>
      <c r="B242" s="1"/>
      <c r="C242" s="48" t="str">
        <f>IFERROR(__xludf.DUMMYFUNCTION("""COMPUTED_VALUE"""),"MOTOR DOMEL 2100 W THRU-FLOW 01 ESTÁGIO
463.3.601.3")</f>
        <v>MOTOR DOMEL 2100 W THRU-FLOW 01 ESTÁGIO
463.3.601.3</v>
      </c>
      <c r="D242" s="61" t="str">
        <f>IFERROR(__xludf.DUMMYFUNCTION("IMPORTRANGE(""https://docs.google.com/spreadsheets/d/1ZgkzeBdhSokvqCpGgO9LgqfDTs6HIgXYJH9ON5WjN-s/edit?gid=891027965#gid=891027965"",""secundário!d1"")"),"ASPIRVAC 2")</f>
        <v>ASPIRVAC 2</v>
      </c>
      <c r="E242" s="50">
        <v>0.0</v>
      </c>
      <c r="F242" s="52">
        <f>IFERROR(__xludf.DUMMYFUNCTION("""COMPUTED_VALUE"""),1551.0)</f>
        <v>1551</v>
      </c>
      <c r="G242" s="52">
        <f t="shared" si="7"/>
        <v>1551</v>
      </c>
      <c r="H242" s="51">
        <f t="shared" si="3"/>
        <v>3102</v>
      </c>
      <c r="I242" s="53">
        <f t="shared" si="8"/>
        <v>1</v>
      </c>
      <c r="J242" s="12"/>
      <c r="K242" s="1"/>
      <c r="L242" s="1"/>
      <c r="M242" s="1"/>
      <c r="N242" s="1"/>
      <c r="O242" s="1"/>
      <c r="P242" s="1"/>
      <c r="Q242" s="1"/>
      <c r="R242" s="1"/>
      <c r="S242" s="1"/>
      <c r="T242" s="1"/>
      <c r="U242" s="1"/>
      <c r="V242" s="1"/>
      <c r="W242" s="1"/>
      <c r="X242" s="1"/>
      <c r="Y242" s="1"/>
      <c r="Z242" s="1"/>
    </row>
    <row r="243">
      <c r="A243" s="1"/>
      <c r="B243" s="1"/>
      <c r="C243" s="54" t="str">
        <f>IFERROR(__xludf.DUMMYFUNCTION("""COMPUTED_VALUE"""),"MOTOR DOMEL1600 W THRU-FLOW 02 ESTÁGIOS
496.3.719.2")</f>
        <v>MOTOR DOMEL1600 W THRU-FLOW 02 ESTÁGIOS
496.3.719.2</v>
      </c>
      <c r="D243" s="64" t="str">
        <f>IFERROR(__xludf.DUMMYFUNCTION("IMPORTRANGE(""https://docs.google.com/spreadsheets/d/1ZgkzeBdhSokvqCpGgO9LgqfDTs6HIgXYJH9ON5WjN-s/edit?gid=891027965#gid=891027965"",""secundário!d1"")"),"ASPIRVAC 2")</f>
        <v>ASPIRVAC 2</v>
      </c>
      <c r="E243" s="56">
        <v>0.0</v>
      </c>
      <c r="F243" s="58">
        <f>IFERROR(__xludf.DUMMYFUNCTION("""COMPUTED_VALUE"""),2081.0)</f>
        <v>2081</v>
      </c>
      <c r="G243" s="58">
        <f t="shared" si="7"/>
        <v>2081</v>
      </c>
      <c r="H243" s="57">
        <f t="shared" si="3"/>
        <v>4162</v>
      </c>
      <c r="I243" s="59">
        <f t="shared" si="8"/>
        <v>1</v>
      </c>
      <c r="J243" s="12"/>
      <c r="K243" s="1"/>
      <c r="L243" s="1"/>
      <c r="M243" s="1"/>
      <c r="N243" s="1"/>
      <c r="O243" s="1"/>
      <c r="P243" s="1"/>
      <c r="Q243" s="1"/>
      <c r="R243" s="1"/>
      <c r="S243" s="1"/>
      <c r="T243" s="1"/>
      <c r="U243" s="1"/>
      <c r="V243" s="1"/>
      <c r="W243" s="1"/>
      <c r="X243" s="1"/>
      <c r="Y243" s="1"/>
      <c r="Z243" s="1"/>
    </row>
    <row r="244">
      <c r="A244" s="1"/>
      <c r="B244" s="1"/>
      <c r="C244" s="48" t="str">
        <f>IFERROR(__xludf.DUMMYFUNCTION("""COMPUTED_VALUE"""),"MOTOR DRY-WET 1400 W BY-PASS 02 ESTÁGIOS
HRA")</f>
        <v>MOTOR DRY-WET 1400 W BY-PASS 02 ESTÁGIOS
HRA</v>
      </c>
      <c r="D244" s="61" t="str">
        <f>IFERROR(__xludf.DUMMYFUNCTION("IMPORTRANGE(""https://docs.google.com/spreadsheets/d/1ZgkzeBdhSokvqCpGgO9LgqfDTs6HIgXYJH9ON5WjN-s/edit?gid=891027965#gid=891027965"",""secundário!d1"")"),"ASPIRVAC 2")</f>
        <v>ASPIRVAC 2</v>
      </c>
      <c r="E244" s="50">
        <v>0.0</v>
      </c>
      <c r="F244" s="52">
        <f>IFERROR(__xludf.DUMMYFUNCTION("""COMPUTED_VALUE"""),1320.0)</f>
        <v>1320</v>
      </c>
      <c r="G244" s="52">
        <f t="shared" si="7"/>
        <v>1320</v>
      </c>
      <c r="H244" s="51">
        <f t="shared" si="3"/>
        <v>2640</v>
      </c>
      <c r="I244" s="53">
        <f t="shared" si="8"/>
        <v>1</v>
      </c>
      <c r="J244" s="12"/>
      <c r="K244" s="1"/>
      <c r="L244" s="1"/>
      <c r="M244" s="1"/>
      <c r="N244" s="1"/>
      <c r="O244" s="1"/>
      <c r="P244" s="1"/>
      <c r="Q244" s="1"/>
      <c r="R244" s="1"/>
      <c r="S244" s="1"/>
      <c r="T244" s="1"/>
      <c r="U244" s="1"/>
      <c r="V244" s="1"/>
      <c r="W244" s="1"/>
      <c r="X244" s="1"/>
      <c r="Y244" s="1"/>
      <c r="Z244" s="1"/>
    </row>
    <row r="245">
      <c r="A245" s="1"/>
      <c r="B245" s="1"/>
      <c r="C245" s="54" t="str">
        <f>IFERROR(__xludf.DUMMYFUNCTION("""COMPUTED_VALUE"""),"PLACA DE COMANDO ASPIRVAC")</f>
        <v>PLACA DE COMANDO ASPIRVAC</v>
      </c>
      <c r="D245" s="64" t="str">
        <f>IFERROR(__xludf.DUMMYFUNCTION("IMPORTRANGE(""https://docs.google.com/spreadsheets/d/1ZgkzeBdhSokvqCpGgO9LgqfDTs6HIgXYJH9ON5WjN-s/edit?gid=891027965#gid=891027965"",""secundário!d1"")"),"ASPIRVAC 2")</f>
        <v>ASPIRVAC 2</v>
      </c>
      <c r="E245" s="56">
        <v>0.0</v>
      </c>
      <c r="F245" s="58">
        <f>IFERROR(__xludf.DUMMYFUNCTION("""COMPUTED_VALUE"""),978.0)</f>
        <v>978</v>
      </c>
      <c r="G245" s="58">
        <f t="shared" si="7"/>
        <v>978</v>
      </c>
      <c r="H245" s="57">
        <f t="shared" si="3"/>
        <v>1956</v>
      </c>
      <c r="I245" s="59">
        <f t="shared" si="8"/>
        <v>1</v>
      </c>
      <c r="J245" s="12"/>
      <c r="K245" s="1"/>
      <c r="L245" s="1"/>
      <c r="M245" s="1"/>
      <c r="N245" s="1"/>
      <c r="O245" s="1"/>
      <c r="P245" s="1"/>
      <c r="Q245" s="1"/>
      <c r="R245" s="1"/>
      <c r="S245" s="1"/>
      <c r="T245" s="1"/>
      <c r="U245" s="1"/>
      <c r="V245" s="1"/>
      <c r="W245" s="1"/>
      <c r="X245" s="1"/>
      <c r="Y245" s="1"/>
      <c r="Z245" s="1"/>
    </row>
    <row r="246">
      <c r="A246" s="1"/>
      <c r="B246" s="1"/>
      <c r="C246" s="48" t="str">
        <f>IFERROR(__xludf.DUMMYFUNCTION("""COMPUTED_VALUE"""),"PLACA DE MONTAGEM 2 FUROS (CONSULTAR ESTOQUE)")</f>
        <v>PLACA DE MONTAGEM 2 FUROS (CONSULTAR ESTOQUE)</v>
      </c>
      <c r="D246" s="61" t="str">
        <f>IFERROR(__xludf.DUMMYFUNCTION("IMPORTRANGE(""https://docs.google.com/spreadsheets/d/1ZgkzeBdhSokvqCpGgO9LgqfDTs6HIgXYJH9ON5WjN-s/edit?gid=891027965#gid=891027965"",""secundário!d1"")"),"ASPIRVAC 2")</f>
        <v>ASPIRVAC 2</v>
      </c>
      <c r="E246" s="50">
        <v>0.0</v>
      </c>
      <c r="F246" s="52">
        <f>IFERROR(__xludf.DUMMYFUNCTION("""COMPUTED_VALUE"""),18.0)</f>
        <v>18</v>
      </c>
      <c r="G246" s="52">
        <f t="shared" si="7"/>
        <v>18</v>
      </c>
      <c r="H246" s="51">
        <f t="shared" si="3"/>
        <v>36</v>
      </c>
      <c r="I246" s="53">
        <f t="shared" si="8"/>
        <v>1</v>
      </c>
      <c r="J246" s="12"/>
      <c r="K246" s="1"/>
      <c r="L246" s="1"/>
      <c r="M246" s="1"/>
      <c r="N246" s="1"/>
      <c r="O246" s="1"/>
      <c r="P246" s="1"/>
      <c r="Q246" s="1"/>
      <c r="R246" s="1"/>
      <c r="S246" s="1"/>
      <c r="T246" s="1"/>
      <c r="U246" s="1"/>
      <c r="V246" s="1"/>
      <c r="W246" s="1"/>
      <c r="X246" s="1"/>
      <c r="Y246" s="1"/>
      <c r="Z246" s="1"/>
    </row>
    <row r="247">
      <c r="A247" s="1"/>
      <c r="B247" s="1"/>
      <c r="C247" s="54" t="str">
        <f>IFERROR(__xludf.DUMMYFUNCTION("""COMPUTED_VALUE"""),"PLACA DE MONTAGEM 4 FUROS c/ tampa de proteção")</f>
        <v>PLACA DE MONTAGEM 4 FUROS c/ tampa de proteção</v>
      </c>
      <c r="D247" s="64" t="str">
        <f>IFERROR(__xludf.DUMMYFUNCTION("IMPORTRANGE(""https://docs.google.com/spreadsheets/d/1ZgkzeBdhSokvqCpGgO9LgqfDTs6HIgXYJH9ON5WjN-s/edit?gid=891027965#gid=891027965"",""secundário!d1"")"),"ASPIRVAC 2")</f>
        <v>ASPIRVAC 2</v>
      </c>
      <c r="E247" s="56">
        <v>0.0</v>
      </c>
      <c r="F247" s="58">
        <f>IFERROR(__xludf.DUMMYFUNCTION("""COMPUTED_VALUE"""),22.0)</f>
        <v>22</v>
      </c>
      <c r="G247" s="58">
        <f t="shared" si="7"/>
        <v>22</v>
      </c>
      <c r="H247" s="57">
        <f t="shared" si="3"/>
        <v>44</v>
      </c>
      <c r="I247" s="59">
        <f t="shared" si="8"/>
        <v>1</v>
      </c>
      <c r="J247" s="12"/>
      <c r="K247" s="1"/>
      <c r="L247" s="1"/>
      <c r="M247" s="1"/>
      <c r="N247" s="1"/>
      <c r="O247" s="1"/>
      <c r="P247" s="1"/>
      <c r="Q247" s="1"/>
      <c r="R247" s="1"/>
      <c r="S247" s="1"/>
      <c r="T247" s="1"/>
      <c r="U247" s="1"/>
      <c r="V247" s="1"/>
      <c r="W247" s="1"/>
      <c r="X247" s="1"/>
      <c r="Y247" s="1"/>
      <c r="Z247" s="1"/>
    </row>
    <row r="248">
      <c r="A248" s="1"/>
      <c r="B248" s="1"/>
      <c r="C248" s="48" t="str">
        <f>IFERROR(__xludf.DUMMYFUNCTION("""COMPUTED_VALUE"""),"PLACA DE MONTAGEM 4 FUROS c/ tampa de proteção 60 UND.")</f>
        <v>PLACA DE MONTAGEM 4 FUROS c/ tampa de proteção 60 UND.</v>
      </c>
      <c r="D248" s="61" t="str">
        <f>IFERROR(__xludf.DUMMYFUNCTION("IMPORTRANGE(""https://docs.google.com/spreadsheets/d/1ZgkzeBdhSokvqCpGgO9LgqfDTs6HIgXYJH9ON5WjN-s/edit?gid=891027965#gid=891027965"",""secundário!d1"")"),"ASPIRVAC 2")</f>
        <v>ASPIRVAC 2</v>
      </c>
      <c r="E248" s="50">
        <v>0.0</v>
      </c>
      <c r="F248" s="52">
        <f>IFERROR(__xludf.DUMMYFUNCTION("""COMPUTED_VALUE"""),20.0)</f>
        <v>20</v>
      </c>
      <c r="G248" s="52">
        <f t="shared" si="7"/>
        <v>20</v>
      </c>
      <c r="H248" s="51">
        <f t="shared" si="3"/>
        <v>40</v>
      </c>
      <c r="I248" s="53">
        <f t="shared" si="8"/>
        <v>1</v>
      </c>
      <c r="J248" s="12"/>
      <c r="K248" s="1"/>
      <c r="L248" s="1"/>
      <c r="M248" s="1"/>
      <c r="N248" s="1"/>
      <c r="O248" s="1"/>
      <c r="P248" s="1"/>
      <c r="Q248" s="1"/>
      <c r="R248" s="1"/>
      <c r="S248" s="1"/>
      <c r="T248" s="1"/>
      <c r="U248" s="1"/>
      <c r="V248" s="1"/>
      <c r="W248" s="1"/>
      <c r="X248" s="1"/>
      <c r="Y248" s="1"/>
      <c r="Z248" s="1"/>
    </row>
    <row r="249">
      <c r="A249" s="1"/>
      <c r="B249" s="1"/>
      <c r="C249" s="54" t="str">
        <f>IFERROR(__xludf.DUMMYFUNCTION("""COMPUTED_VALUE"""),"PLACA DE MONTAGEM PH FLEX 2.0 COM TAMPA DE PROTEÇÃO
L 144 X P 85 x H 262 mm")</f>
        <v>PLACA DE MONTAGEM PH FLEX 2.0 COM TAMPA DE PROTEÇÃO
L 144 X P 85 x H 262 mm</v>
      </c>
      <c r="D249" s="64" t="str">
        <f>IFERROR(__xludf.DUMMYFUNCTION("IMPORTRANGE(""https://docs.google.com/spreadsheets/d/1ZgkzeBdhSokvqCpGgO9LgqfDTs6HIgXYJH9ON5WjN-s/edit?gid=891027965#gid=891027965"",""secundário!d1"")"),"ASPIRVAC 2")</f>
        <v>ASPIRVAC 2</v>
      </c>
      <c r="E249" s="56">
        <v>0.0</v>
      </c>
      <c r="F249" s="58">
        <f>IFERROR(__xludf.DUMMYFUNCTION("""COMPUTED_VALUE"""),1280.0)</f>
        <v>1280</v>
      </c>
      <c r="G249" s="58">
        <f t="shared" si="7"/>
        <v>1280</v>
      </c>
      <c r="H249" s="57">
        <f t="shared" si="3"/>
        <v>2560</v>
      </c>
      <c r="I249" s="59">
        <f t="shared" si="8"/>
        <v>1</v>
      </c>
      <c r="J249" s="12"/>
      <c r="K249" s="1"/>
      <c r="L249" s="1"/>
      <c r="M249" s="1"/>
      <c r="N249" s="1"/>
      <c r="O249" s="1"/>
      <c r="P249" s="1"/>
      <c r="Q249" s="1"/>
      <c r="R249" s="1"/>
      <c r="S249" s="1"/>
      <c r="T249" s="1"/>
      <c r="U249" s="1"/>
      <c r="V249" s="1"/>
      <c r="W249" s="1"/>
      <c r="X249" s="1"/>
      <c r="Y249" s="1"/>
      <c r="Z249" s="1"/>
    </row>
    <row r="250">
      <c r="A250" s="1"/>
      <c r="B250" s="1"/>
      <c r="C250" s="48" t="str">
        <f>IFERROR(__xludf.DUMMYFUNCTION("""COMPUTED_VALUE"""),"PROTETOR DE MANGUEIRA 9 metros")</f>
        <v>PROTETOR DE MANGUEIRA 9 metros</v>
      </c>
      <c r="D250" s="61" t="str">
        <f>IFERROR(__xludf.DUMMYFUNCTION("IMPORTRANGE(""https://docs.google.com/spreadsheets/d/1ZgkzeBdhSokvqCpGgO9LgqfDTs6HIgXYJH9ON5WjN-s/edit?gid=891027965#gid=891027965"",""secundário!d1"")"),"ASPIRVAC 2")</f>
        <v>ASPIRVAC 2</v>
      </c>
      <c r="E250" s="50">
        <v>0.0</v>
      </c>
      <c r="F250" s="52">
        <f>IFERROR(__xludf.DUMMYFUNCTION("""COMPUTED_VALUE"""),260.0)</f>
        <v>260</v>
      </c>
      <c r="G250" s="52">
        <f t="shared" si="7"/>
        <v>260</v>
      </c>
      <c r="H250" s="51">
        <f t="shared" si="3"/>
        <v>520</v>
      </c>
      <c r="I250" s="53">
        <f t="shared" si="8"/>
        <v>1</v>
      </c>
      <c r="J250" s="12"/>
      <c r="K250" s="1"/>
      <c r="L250" s="1"/>
      <c r="M250" s="1"/>
      <c r="N250" s="1"/>
      <c r="O250" s="1"/>
      <c r="P250" s="1"/>
      <c r="Q250" s="1"/>
      <c r="R250" s="1"/>
      <c r="S250" s="1"/>
      <c r="T250" s="1"/>
      <c r="U250" s="1"/>
      <c r="V250" s="1"/>
      <c r="W250" s="1"/>
      <c r="X250" s="1"/>
      <c r="Y250" s="1"/>
      <c r="Z250" s="1"/>
    </row>
    <row r="251">
      <c r="A251" s="1"/>
      <c r="B251" s="1"/>
      <c r="C251" s="54" t="str">
        <f>IFERROR(__xludf.DUMMYFUNCTION("""COMPUTED_VALUE"""),"PUNHO MANG. PLÁSTICO STD")</f>
        <v>PUNHO MANG. PLÁSTICO STD</v>
      </c>
      <c r="D251" s="64" t="str">
        <f>IFERROR(__xludf.DUMMYFUNCTION("IMPORTRANGE(""https://docs.google.com/spreadsheets/d/1ZgkzeBdhSokvqCpGgO9LgqfDTs6HIgXYJH9ON5WjN-s/edit?gid=891027965#gid=891027965"",""secundário!d1"")"),"ASPIRVAC 2")</f>
        <v>ASPIRVAC 2</v>
      </c>
      <c r="E251" s="56">
        <v>0.0</v>
      </c>
      <c r="F251" s="58">
        <f>IFERROR(__xludf.DUMMYFUNCTION("""COMPUTED_VALUE"""),90.0)</f>
        <v>90</v>
      </c>
      <c r="G251" s="58">
        <f t="shared" si="7"/>
        <v>90</v>
      </c>
      <c r="H251" s="57">
        <f t="shared" si="3"/>
        <v>180</v>
      </c>
      <c r="I251" s="59">
        <f t="shared" si="8"/>
        <v>1</v>
      </c>
      <c r="J251" s="12"/>
      <c r="K251" s="1"/>
      <c r="L251" s="1"/>
      <c r="M251" s="1"/>
      <c r="N251" s="1"/>
      <c r="O251" s="1"/>
      <c r="P251" s="1"/>
      <c r="Q251" s="1"/>
      <c r="R251" s="1"/>
      <c r="S251" s="1"/>
      <c r="T251" s="1"/>
      <c r="U251" s="1"/>
      <c r="V251" s="1"/>
      <c r="W251" s="1"/>
      <c r="X251" s="1"/>
      <c r="Y251" s="1"/>
      <c r="Z251" s="1"/>
    </row>
    <row r="252">
      <c r="A252" s="1"/>
      <c r="B252" s="1"/>
      <c r="C252" s="48" t="str">
        <f>IFERROR(__xludf.DUMMYFUNCTION("""COMPUTED_VALUE"""),"PUNHO MANG. PLÁSTICO STD (ponta de
metal)")</f>
        <v>PUNHO MANG. PLÁSTICO STD (ponta de
metal)</v>
      </c>
      <c r="D252" s="61" t="str">
        <f>IFERROR(__xludf.DUMMYFUNCTION("IMPORTRANGE(""https://docs.google.com/spreadsheets/d/1ZgkzeBdhSokvqCpGgO9LgqfDTs6HIgXYJH9ON5WjN-s/edit?gid=891027965#gid=891027965"",""secundário!d1"")"),"ASPIRVAC 2")</f>
        <v>ASPIRVAC 2</v>
      </c>
      <c r="E252" s="50">
        <v>0.0</v>
      </c>
      <c r="F252" s="52">
        <f>IFERROR(__xludf.DUMMYFUNCTION("""COMPUTED_VALUE"""),160.0)</f>
        <v>160</v>
      </c>
      <c r="G252" s="52">
        <f t="shared" si="7"/>
        <v>160</v>
      </c>
      <c r="H252" s="51">
        <f t="shared" si="3"/>
        <v>320</v>
      </c>
      <c r="I252" s="53">
        <f t="shared" si="8"/>
        <v>1</v>
      </c>
      <c r="J252" s="12"/>
      <c r="K252" s="1"/>
      <c r="L252" s="1"/>
      <c r="M252" s="1"/>
      <c r="N252" s="1"/>
      <c r="O252" s="1"/>
      <c r="P252" s="1"/>
      <c r="Q252" s="1"/>
      <c r="R252" s="1"/>
      <c r="S252" s="1"/>
      <c r="T252" s="1"/>
      <c r="U252" s="1"/>
      <c r="V252" s="1"/>
      <c r="W252" s="1"/>
      <c r="X252" s="1"/>
      <c r="Y252" s="1"/>
      <c r="Z252" s="1"/>
    </row>
    <row r="253">
      <c r="A253" s="1"/>
      <c r="B253" s="1"/>
      <c r="C253" s="54" t="str">
        <f>IFERROR(__xludf.DUMMYFUNCTION("""COMPUTED_VALUE"""),"PUNHO PH PRETO")</f>
        <v>PUNHO PH PRETO</v>
      </c>
      <c r="D253" s="64" t="str">
        <f>IFERROR(__xludf.DUMMYFUNCTION("IMPORTRANGE(""https://docs.google.com/spreadsheets/d/1ZgkzeBdhSokvqCpGgO9LgqfDTs6HIgXYJH9ON5WjN-s/edit?gid=891027965#gid=891027965"",""secundário!d1"")"),"ASPIRVAC 2")</f>
        <v>ASPIRVAC 2</v>
      </c>
      <c r="E253" s="56">
        <v>0.0</v>
      </c>
      <c r="F253" s="58">
        <f>IFERROR(__xludf.DUMMYFUNCTION("""COMPUTED_VALUE"""),615.0)</f>
        <v>615</v>
      </c>
      <c r="G253" s="58">
        <f t="shared" si="7"/>
        <v>615</v>
      </c>
      <c r="H253" s="57">
        <f t="shared" si="3"/>
        <v>1230</v>
      </c>
      <c r="I253" s="59">
        <f t="shared" si="8"/>
        <v>1</v>
      </c>
      <c r="J253" s="12"/>
      <c r="K253" s="1"/>
      <c r="L253" s="1"/>
      <c r="M253" s="1"/>
      <c r="N253" s="1"/>
      <c r="O253" s="1"/>
      <c r="P253" s="1"/>
      <c r="Q253" s="1"/>
      <c r="R253" s="1"/>
      <c r="S253" s="1"/>
      <c r="T253" s="1"/>
      <c r="U253" s="1"/>
      <c r="V253" s="1"/>
      <c r="W253" s="1"/>
      <c r="X253" s="1"/>
      <c r="Y253" s="1"/>
      <c r="Z253" s="1"/>
    </row>
    <row r="254">
      <c r="A254" s="1"/>
      <c r="B254" s="1"/>
      <c r="C254" s="48" t="str">
        <f>IFERROR(__xludf.DUMMYFUNCTION("""COMPUTED_VALUE"""),"SILENCIADOR PRETO GRANDE (L 34,5 cm)")</f>
        <v>SILENCIADOR PRETO GRANDE (L 34,5 cm)</v>
      </c>
      <c r="D254" s="61" t="str">
        <f>IFERROR(__xludf.DUMMYFUNCTION("IMPORTRANGE(""https://docs.google.com/spreadsheets/d/1ZgkzeBdhSokvqCpGgO9LgqfDTs6HIgXYJH9ON5WjN-s/edit?gid=891027965#gid=891027965"",""secundário!d1"")"),"ASPIRVAC 2")</f>
        <v>ASPIRVAC 2</v>
      </c>
      <c r="E254" s="50">
        <v>0.0</v>
      </c>
      <c r="F254" s="52">
        <f>IFERROR(__xludf.DUMMYFUNCTION("""COMPUTED_VALUE"""),170.0)</f>
        <v>170</v>
      </c>
      <c r="G254" s="52">
        <f t="shared" si="7"/>
        <v>170</v>
      </c>
      <c r="H254" s="51">
        <f t="shared" si="3"/>
        <v>340</v>
      </c>
      <c r="I254" s="53">
        <f t="shared" si="8"/>
        <v>1</v>
      </c>
      <c r="J254" s="12"/>
      <c r="K254" s="1"/>
      <c r="L254" s="1"/>
      <c r="M254" s="1"/>
      <c r="N254" s="1"/>
      <c r="O254" s="1"/>
      <c r="P254" s="1"/>
      <c r="Q254" s="1"/>
      <c r="R254" s="1"/>
      <c r="S254" s="1"/>
      <c r="T254" s="1"/>
      <c r="U254" s="1"/>
      <c r="V254" s="1"/>
      <c r="W254" s="1"/>
      <c r="X254" s="1"/>
      <c r="Y254" s="1"/>
      <c r="Z254" s="1"/>
    </row>
    <row r="255">
      <c r="A255" s="1"/>
      <c r="B255" s="1"/>
      <c r="C255" s="54" t="str">
        <f>IFERROR(__xludf.DUMMYFUNCTION("""COMPUTED_VALUE"""),"SUPORTE METÁLICO PARA MANGUEIRA")</f>
        <v>SUPORTE METÁLICO PARA MANGUEIRA</v>
      </c>
      <c r="D255" s="64" t="str">
        <f>IFERROR(__xludf.DUMMYFUNCTION("IMPORTRANGE(""https://docs.google.com/spreadsheets/d/1ZgkzeBdhSokvqCpGgO9LgqfDTs6HIgXYJH9ON5WjN-s/edit?gid=891027965#gid=891027965"",""secundário!d1"")"),"ASPIRVAC 2")</f>
        <v>ASPIRVAC 2</v>
      </c>
      <c r="E255" s="56">
        <v>0.0</v>
      </c>
      <c r="F255" s="58">
        <f>IFERROR(__xludf.DUMMYFUNCTION("""COMPUTED_VALUE"""),50.0)</f>
        <v>50</v>
      </c>
      <c r="G255" s="58">
        <f t="shared" si="7"/>
        <v>50</v>
      </c>
      <c r="H255" s="57">
        <f t="shared" si="3"/>
        <v>100</v>
      </c>
      <c r="I255" s="59">
        <f t="shared" si="8"/>
        <v>1</v>
      </c>
      <c r="J255" s="12"/>
      <c r="K255" s="1"/>
      <c r="L255" s="1"/>
      <c r="M255" s="1"/>
      <c r="N255" s="1"/>
      <c r="O255" s="1"/>
      <c r="P255" s="1"/>
      <c r="Q255" s="1"/>
      <c r="R255" s="1"/>
      <c r="S255" s="1"/>
      <c r="T255" s="1"/>
      <c r="U255" s="1"/>
      <c r="V255" s="1"/>
      <c r="W255" s="1"/>
      <c r="X255" s="1"/>
      <c r="Y255" s="1"/>
      <c r="Z255" s="1"/>
    </row>
    <row r="256">
      <c r="A256" s="1"/>
      <c r="B256" s="1"/>
      <c r="C256" s="48" t="str">
        <f>IFERROR(__xludf.DUMMYFUNCTION("""COMPUTED_VALUE"""),"SUPORTE PLÁSTICO PARA MANGUEIRA")</f>
        <v>SUPORTE PLÁSTICO PARA MANGUEIRA</v>
      </c>
      <c r="D256" s="61" t="str">
        <f>IFERROR(__xludf.DUMMYFUNCTION("IMPORTRANGE(""https://docs.google.com/spreadsheets/d/1ZgkzeBdhSokvqCpGgO9LgqfDTs6HIgXYJH9ON5WjN-s/edit?gid=891027965#gid=891027965"",""secundário!d1"")"),"ASPIRVAC 2")</f>
        <v>ASPIRVAC 2</v>
      </c>
      <c r="E256" s="50">
        <v>0.0</v>
      </c>
      <c r="F256" s="52">
        <f>IFERROR(__xludf.DUMMYFUNCTION("""COMPUTED_VALUE"""),53.0)</f>
        <v>53</v>
      </c>
      <c r="G256" s="52">
        <f t="shared" si="7"/>
        <v>53</v>
      </c>
      <c r="H256" s="51">
        <f t="shared" si="3"/>
        <v>106</v>
      </c>
      <c r="I256" s="53">
        <f t="shared" si="8"/>
        <v>1</v>
      </c>
      <c r="J256" s="12"/>
      <c r="K256" s="1"/>
      <c r="L256" s="1"/>
      <c r="M256" s="1"/>
      <c r="N256" s="1"/>
      <c r="O256" s="1"/>
      <c r="P256" s="1"/>
      <c r="Q256" s="1"/>
      <c r="R256" s="1"/>
      <c r="S256" s="1"/>
      <c r="T256" s="1"/>
      <c r="U256" s="1"/>
      <c r="V256" s="1"/>
      <c r="W256" s="1"/>
      <c r="X256" s="1"/>
      <c r="Y256" s="1"/>
      <c r="Z256" s="1"/>
    </row>
    <row r="257">
      <c r="A257" s="1"/>
      <c r="B257" s="1"/>
      <c r="C257" s="54" t="str">
        <f>IFERROR(__xludf.DUMMYFUNCTION("""COMPUTED_VALUE"""),"TAMPA TERMINAL PARA TUBO 32 mm")</f>
        <v>TAMPA TERMINAL PARA TUBO 32 mm</v>
      </c>
      <c r="D257" s="64" t="str">
        <f>IFERROR(__xludf.DUMMYFUNCTION("IMPORTRANGE(""https://docs.google.com/spreadsheets/d/1ZgkzeBdhSokvqCpGgO9LgqfDTs6HIgXYJH9ON5WjN-s/edit?gid=891027965#gid=891027965"",""secundário!d1"")"),"ASPIRVAC 2")</f>
        <v>ASPIRVAC 2</v>
      </c>
      <c r="E257" s="56">
        <v>0.0</v>
      </c>
      <c r="F257" s="58">
        <f>IFERROR(__xludf.DUMMYFUNCTION("""COMPUTED_VALUE"""),6.0)</f>
        <v>6</v>
      </c>
      <c r="G257" s="58">
        <f t="shared" si="7"/>
        <v>6</v>
      </c>
      <c r="H257" s="57">
        <f t="shared" si="3"/>
        <v>12</v>
      </c>
      <c r="I257" s="59">
        <f t="shared" si="8"/>
        <v>1</v>
      </c>
      <c r="J257" s="12"/>
      <c r="K257" s="1"/>
      <c r="L257" s="1"/>
      <c r="M257" s="1"/>
      <c r="N257" s="1"/>
      <c r="O257" s="1"/>
      <c r="P257" s="1"/>
      <c r="Q257" s="1"/>
      <c r="R257" s="1"/>
      <c r="S257" s="1"/>
      <c r="T257" s="1"/>
      <c r="U257" s="1"/>
      <c r="V257" s="1"/>
      <c r="W257" s="1"/>
      <c r="X257" s="1"/>
      <c r="Y257" s="1"/>
      <c r="Z257" s="1"/>
    </row>
    <row r="258">
      <c r="A258" s="1"/>
      <c r="B258" s="1"/>
      <c r="C258" s="48" t="str">
        <f>IFERROR(__xludf.DUMMYFUNCTION("""COMPUTED_VALUE"""),"TERMINAL DE MANGUEIRA STD ROTATIVO")</f>
        <v>TERMINAL DE MANGUEIRA STD ROTATIVO</v>
      </c>
      <c r="D258" s="61" t="str">
        <f>IFERROR(__xludf.DUMMYFUNCTION("IMPORTRANGE(""https://docs.google.com/spreadsheets/d/1ZgkzeBdhSokvqCpGgO9LgqfDTs6HIgXYJH9ON5WjN-s/edit?gid=891027965#gid=891027965"",""secundário!d1"")"),"ASPIRVAC 2")</f>
        <v>ASPIRVAC 2</v>
      </c>
      <c r="E258" s="50">
        <v>0.0</v>
      </c>
      <c r="F258" s="52">
        <f>IFERROR(__xludf.DUMMYFUNCTION("""COMPUTED_VALUE"""),98.0)</f>
        <v>98</v>
      </c>
      <c r="G258" s="52">
        <f t="shared" si="7"/>
        <v>98</v>
      </c>
      <c r="H258" s="51">
        <f t="shared" si="3"/>
        <v>196</v>
      </c>
      <c r="I258" s="53">
        <f t="shared" si="8"/>
        <v>1</v>
      </c>
      <c r="J258" s="12"/>
      <c r="K258" s="1"/>
      <c r="L258" s="1"/>
      <c r="M258" s="1"/>
      <c r="N258" s="1"/>
      <c r="O258" s="1"/>
      <c r="P258" s="1"/>
      <c r="Q258" s="1"/>
      <c r="R258" s="1"/>
      <c r="S258" s="1"/>
      <c r="T258" s="1"/>
      <c r="U258" s="1"/>
      <c r="V258" s="1"/>
      <c r="W258" s="1"/>
      <c r="X258" s="1"/>
      <c r="Y258" s="1"/>
      <c r="Z258" s="1"/>
    </row>
    <row r="259">
      <c r="A259" s="1"/>
      <c r="B259" s="1"/>
      <c r="C259" s="54" t="str">
        <f>IFERROR(__xludf.DUMMYFUNCTION("""COMPUTED_VALUE"""),"TERMINAL PLÁSTICO p/ ligador")</f>
        <v>TERMINAL PLÁSTICO p/ ligador</v>
      </c>
      <c r="D259" s="64" t="str">
        <f>IFERROR(__xludf.DUMMYFUNCTION("IMPORTRANGE(""https://docs.google.com/spreadsheets/d/1ZgkzeBdhSokvqCpGgO9LgqfDTs6HIgXYJH9ON5WjN-s/edit?gid=891027965#gid=891027965"",""secundário!d1"")"),"ASPIRVAC 2")</f>
        <v>ASPIRVAC 2</v>
      </c>
      <c r="E259" s="56">
        <v>0.0</v>
      </c>
      <c r="F259" s="58">
        <f>IFERROR(__xludf.DUMMYFUNCTION("""COMPUTED_VALUE"""),20.0)</f>
        <v>20</v>
      </c>
      <c r="G259" s="58">
        <f t="shared" si="7"/>
        <v>20</v>
      </c>
      <c r="H259" s="57">
        <f t="shared" si="3"/>
        <v>40</v>
      </c>
      <c r="I259" s="59">
        <f t="shared" si="8"/>
        <v>1</v>
      </c>
      <c r="J259" s="12"/>
      <c r="K259" s="1"/>
      <c r="L259" s="1"/>
      <c r="M259" s="1"/>
      <c r="N259" s="1"/>
      <c r="O259" s="1"/>
      <c r="P259" s="1"/>
      <c r="Q259" s="1"/>
      <c r="R259" s="1"/>
      <c r="S259" s="1"/>
      <c r="T259" s="1"/>
      <c r="U259" s="1"/>
      <c r="V259" s="1"/>
      <c r="W259" s="1"/>
      <c r="X259" s="1"/>
      <c r="Y259" s="1"/>
      <c r="Z259" s="1"/>
    </row>
    <row r="260">
      <c r="A260" s="1"/>
      <c r="B260" s="1"/>
      <c r="C260" s="48" t="str">
        <f>IFERROR(__xludf.DUMMYFUNCTION("""COMPUTED_VALUE"""),"TOMADA DE EXAUSTÃO BRANCA
(Dimensões: A 95 x L 95 mm)")</f>
        <v>TOMADA DE EXAUSTÃO BRANCA
(Dimensões: A 95 x L 95 mm)</v>
      </c>
      <c r="D260" s="61" t="str">
        <f>IFERROR(__xludf.DUMMYFUNCTION("IMPORTRANGE(""https://docs.google.com/spreadsheets/d/1ZgkzeBdhSokvqCpGgO9LgqfDTs6HIgXYJH9ON5WjN-s/edit?gid=891027965#gid=891027965"",""secundário!d1"")"),"ASPIRVAC 2")</f>
        <v>ASPIRVAC 2</v>
      </c>
      <c r="E260" s="50">
        <v>0.0</v>
      </c>
      <c r="F260" s="52">
        <f>IFERROR(__xludf.DUMMYFUNCTION("""COMPUTED_VALUE"""),59.0)</f>
        <v>59</v>
      </c>
      <c r="G260" s="52">
        <f t="shared" si="7"/>
        <v>59</v>
      </c>
      <c r="H260" s="51">
        <f t="shared" si="3"/>
        <v>118</v>
      </c>
      <c r="I260" s="53">
        <f t="shared" si="8"/>
        <v>1</v>
      </c>
      <c r="J260" s="12"/>
      <c r="K260" s="1"/>
      <c r="L260" s="1"/>
      <c r="M260" s="1"/>
      <c r="N260" s="1"/>
      <c r="O260" s="1"/>
      <c r="P260" s="1"/>
      <c r="Q260" s="1"/>
      <c r="R260" s="1"/>
      <c r="S260" s="1"/>
      <c r="T260" s="1"/>
      <c r="U260" s="1"/>
      <c r="V260" s="1"/>
      <c r="W260" s="1"/>
      <c r="X260" s="1"/>
      <c r="Y260" s="1"/>
      <c r="Z260" s="1"/>
    </row>
    <row r="261">
      <c r="A261" s="1"/>
      <c r="B261" s="1"/>
      <c r="C261" s="54" t="str">
        <f>IFERROR(__xludf.DUMMYFUNCTION("""COMPUTED_VALUE"""),"TOMADA DE PAREDE AMÉRICA BRANCA
(Dimensões: A 124 x L 80 mm)")</f>
        <v>TOMADA DE PAREDE AMÉRICA BRANCA
(Dimensões: A 124 x L 80 mm)</v>
      </c>
      <c r="D261" s="64" t="str">
        <f>IFERROR(__xludf.DUMMYFUNCTION("IMPORTRANGE(""https://docs.google.com/spreadsheets/d/1ZgkzeBdhSokvqCpGgO9LgqfDTs6HIgXYJH9ON5WjN-s/edit?gid=891027965#gid=891027965"",""secundário!d1"")"),"ASPIRVAC 2")</f>
        <v>ASPIRVAC 2</v>
      </c>
      <c r="E261" s="56">
        <v>0.0</v>
      </c>
      <c r="F261" s="58">
        <f>IFERROR(__xludf.DUMMYFUNCTION("""COMPUTED_VALUE"""),43.0)</f>
        <v>43</v>
      </c>
      <c r="G261" s="58">
        <f t="shared" si="7"/>
        <v>43</v>
      </c>
      <c r="H261" s="57">
        <f t="shared" si="3"/>
        <v>86</v>
      </c>
      <c r="I261" s="59">
        <f t="shared" si="8"/>
        <v>1</v>
      </c>
      <c r="J261" s="12"/>
      <c r="K261" s="1"/>
      <c r="L261" s="1"/>
      <c r="M261" s="1"/>
      <c r="N261" s="1"/>
      <c r="O261" s="1"/>
      <c r="P261" s="1"/>
      <c r="Q261" s="1"/>
      <c r="R261" s="1"/>
      <c r="S261" s="1"/>
      <c r="T261" s="1"/>
      <c r="U261" s="1"/>
      <c r="V261" s="1"/>
      <c r="W261" s="1"/>
      <c r="X261" s="1"/>
      <c r="Y261" s="1"/>
      <c r="Z261" s="1"/>
    </row>
    <row r="262">
      <c r="A262" s="1"/>
      <c r="B262" s="1"/>
      <c r="C262" s="48" t="str">
        <f>IFERROR(__xludf.DUMMYFUNCTION("""COMPUTED_VALUE"""),"TOMADA DE PAREDE AMÉRICA BRANCA (Dimensões: A 124 x L 80 mm) 24 UND")</f>
        <v>TOMADA DE PAREDE AMÉRICA BRANCA (Dimensões: A 124 x L 80 mm) 24 UND</v>
      </c>
      <c r="D262" s="61" t="str">
        <f>IFERROR(__xludf.DUMMYFUNCTION("IMPORTRANGE(""https://docs.google.com/spreadsheets/d/1ZgkzeBdhSokvqCpGgO9LgqfDTs6HIgXYJH9ON5WjN-s/edit?gid=891027965#gid=891027965"",""secundário!d1"")"),"ASPIRVAC 2")</f>
        <v>ASPIRVAC 2</v>
      </c>
      <c r="E262" s="50">
        <v>0.0</v>
      </c>
      <c r="F262" s="52">
        <f>IFERROR(__xludf.DUMMYFUNCTION("""COMPUTED_VALUE"""),40.0)</f>
        <v>40</v>
      </c>
      <c r="G262" s="52">
        <f t="shared" si="7"/>
        <v>40</v>
      </c>
      <c r="H262" s="51">
        <f t="shared" si="3"/>
        <v>80</v>
      </c>
      <c r="I262" s="53">
        <f t="shared" si="8"/>
        <v>1</v>
      </c>
      <c r="J262" s="12"/>
      <c r="K262" s="1"/>
      <c r="L262" s="1"/>
      <c r="M262" s="1"/>
      <c r="N262" s="1"/>
      <c r="O262" s="1"/>
      <c r="P262" s="1"/>
      <c r="Q262" s="1"/>
      <c r="R262" s="1"/>
      <c r="S262" s="1"/>
      <c r="T262" s="1"/>
      <c r="U262" s="1"/>
      <c r="V262" s="1"/>
      <c r="W262" s="1"/>
      <c r="X262" s="1"/>
      <c r="Y262" s="1"/>
      <c r="Z262" s="1"/>
    </row>
    <row r="263">
      <c r="A263" s="1"/>
      <c r="B263" s="1"/>
      <c r="C263" s="54" t="str">
        <f>IFERROR(__xludf.DUMMYFUNCTION("""COMPUTED_VALUE"""),"TOMADA DE PAREDE AMÉRICA CINZA
(Dimensões: A 124 x L 80 mm)")</f>
        <v>TOMADA DE PAREDE AMÉRICA CINZA
(Dimensões: A 124 x L 80 mm)</v>
      </c>
      <c r="D263" s="64" t="str">
        <f>IFERROR(__xludf.DUMMYFUNCTION("IMPORTRANGE(""https://docs.google.com/spreadsheets/d/1ZgkzeBdhSokvqCpGgO9LgqfDTs6HIgXYJH9ON5WjN-s/edit?gid=891027965#gid=891027965"",""secundário!d1"")"),"ASPIRVAC 2")</f>
        <v>ASPIRVAC 2</v>
      </c>
      <c r="E263" s="56">
        <v>0.0</v>
      </c>
      <c r="F263" s="58">
        <f>IFERROR(__xludf.DUMMYFUNCTION("""COMPUTED_VALUE"""),43.0)</f>
        <v>43</v>
      </c>
      <c r="G263" s="58">
        <f t="shared" si="7"/>
        <v>43</v>
      </c>
      <c r="H263" s="57">
        <f t="shared" si="3"/>
        <v>86</v>
      </c>
      <c r="I263" s="59">
        <f t="shared" si="8"/>
        <v>1</v>
      </c>
      <c r="J263" s="12"/>
      <c r="K263" s="1"/>
      <c r="L263" s="1"/>
      <c r="M263" s="1"/>
      <c r="N263" s="1"/>
      <c r="O263" s="1"/>
      <c r="P263" s="1"/>
      <c r="Q263" s="1"/>
      <c r="R263" s="1"/>
      <c r="S263" s="1"/>
      <c r="T263" s="1"/>
      <c r="U263" s="1"/>
      <c r="V263" s="1"/>
      <c r="W263" s="1"/>
      <c r="X263" s="1"/>
      <c r="Y263" s="1"/>
      <c r="Z263" s="1"/>
    </row>
    <row r="264">
      <c r="A264" s="1"/>
      <c r="B264" s="1"/>
      <c r="C264" s="48" t="str">
        <f>IFERROR(__xludf.DUMMYFUNCTION("""COMPUTED_VALUE"""),"TOMADA DE PAREDE AMERICANA BRANCA
(Dimensões: A 131 x L 90 mm)")</f>
        <v>TOMADA DE PAREDE AMERICANA BRANCA
(Dimensões: A 131 x L 90 mm)</v>
      </c>
      <c r="D264" s="61" t="str">
        <f>IFERROR(__xludf.DUMMYFUNCTION("IMPORTRANGE(""https://docs.google.com/spreadsheets/d/1ZgkzeBdhSokvqCpGgO9LgqfDTs6HIgXYJH9ON5WjN-s/edit?gid=891027965#gid=891027965"",""secundário!d1"")"),"ASPIRVAC 2")</f>
        <v>ASPIRVAC 2</v>
      </c>
      <c r="E264" s="50">
        <v>0.0</v>
      </c>
      <c r="F264" s="52">
        <f>IFERROR(__xludf.DUMMYFUNCTION("""COMPUTED_VALUE"""),65.0)</f>
        <v>65</v>
      </c>
      <c r="G264" s="52">
        <f t="shared" si="7"/>
        <v>65</v>
      </c>
      <c r="H264" s="51">
        <f t="shared" si="3"/>
        <v>130</v>
      </c>
      <c r="I264" s="53">
        <f t="shared" si="8"/>
        <v>1</v>
      </c>
      <c r="J264" s="12"/>
      <c r="K264" s="1"/>
      <c r="L264" s="1"/>
      <c r="M264" s="1"/>
      <c r="N264" s="1"/>
      <c r="O264" s="1"/>
      <c r="P264" s="1"/>
      <c r="Q264" s="1"/>
      <c r="R264" s="1"/>
      <c r="S264" s="1"/>
      <c r="T264" s="1"/>
      <c r="U264" s="1"/>
      <c r="V264" s="1"/>
      <c r="W264" s="1"/>
      <c r="X264" s="1"/>
      <c r="Y264" s="1"/>
      <c r="Z264" s="1"/>
    </row>
    <row r="265">
      <c r="A265" s="1"/>
      <c r="B265" s="1"/>
      <c r="C265" s="54" t="str">
        <f>IFERROR(__xludf.DUMMYFUNCTION("""COMPUTED_VALUE"""),"TOMADA DE PAREDE AMERICANA BRANCA
(Dimensões: A 131 x L 90 mm) 48 UND")</f>
        <v>TOMADA DE PAREDE AMERICANA BRANCA
(Dimensões: A 131 x L 90 mm) 48 UND</v>
      </c>
      <c r="D265" s="64" t="str">
        <f>IFERROR(__xludf.DUMMYFUNCTION("IMPORTRANGE(""https://docs.google.com/spreadsheets/d/1ZgkzeBdhSokvqCpGgO9LgqfDTs6HIgXYJH9ON5WjN-s/edit?gid=891027965#gid=891027965"",""secundário!d1"")"),"ASPIRVAC 2")</f>
        <v>ASPIRVAC 2</v>
      </c>
      <c r="E265" s="56">
        <v>0.0</v>
      </c>
      <c r="F265" s="58">
        <f>IFERROR(__xludf.DUMMYFUNCTION("""COMPUTED_VALUE"""),63.0)</f>
        <v>63</v>
      </c>
      <c r="G265" s="58">
        <f t="shared" si="7"/>
        <v>63</v>
      </c>
      <c r="H265" s="57">
        <f t="shared" si="3"/>
        <v>126</v>
      </c>
      <c r="I265" s="59">
        <f t="shared" si="8"/>
        <v>1</v>
      </c>
      <c r="J265" s="12"/>
      <c r="K265" s="1"/>
      <c r="L265" s="1"/>
      <c r="M265" s="1"/>
      <c r="N265" s="1"/>
      <c r="O265" s="1"/>
      <c r="P265" s="1"/>
      <c r="Q265" s="1"/>
      <c r="R265" s="1"/>
      <c r="S265" s="1"/>
      <c r="T265" s="1"/>
      <c r="U265" s="1"/>
      <c r="V265" s="1"/>
      <c r="W265" s="1"/>
      <c r="X265" s="1"/>
      <c r="Y265" s="1"/>
      <c r="Z265" s="1"/>
    </row>
    <row r="266">
      <c r="A266" s="1"/>
      <c r="B266" s="1"/>
      <c r="C266" s="48" t="str">
        <f>IFERROR(__xludf.DUMMYFUNCTION("""COMPUTED_VALUE"""),"TOMADA DE PAREDE AMERICANA CREME
(Dimensões: A 131 x L 90 mm)")</f>
        <v>TOMADA DE PAREDE AMERICANA CREME
(Dimensões: A 131 x L 90 mm)</v>
      </c>
      <c r="D266" s="61" t="str">
        <f>IFERROR(__xludf.DUMMYFUNCTION("IMPORTRANGE(""https://docs.google.com/spreadsheets/d/1ZgkzeBdhSokvqCpGgO9LgqfDTs6HIgXYJH9ON5WjN-s/edit?gid=891027965#gid=891027965"",""secundário!d1"")"),"ASPIRVAC 2")</f>
        <v>ASPIRVAC 2</v>
      </c>
      <c r="E266" s="50">
        <v>0.0</v>
      </c>
      <c r="F266" s="52">
        <f>IFERROR(__xludf.DUMMYFUNCTION("""COMPUTED_VALUE"""),63.0)</f>
        <v>63</v>
      </c>
      <c r="G266" s="52">
        <f t="shared" si="7"/>
        <v>63</v>
      </c>
      <c r="H266" s="51">
        <f t="shared" si="3"/>
        <v>126</v>
      </c>
      <c r="I266" s="53">
        <f t="shared" si="8"/>
        <v>1</v>
      </c>
      <c r="J266" s="12"/>
      <c r="K266" s="1"/>
      <c r="L266" s="1"/>
      <c r="M266" s="1"/>
      <c r="N266" s="1"/>
      <c r="O266" s="1"/>
      <c r="P266" s="1"/>
      <c r="Q266" s="1"/>
      <c r="R266" s="1"/>
      <c r="S266" s="1"/>
      <c r="T266" s="1"/>
      <c r="U266" s="1"/>
      <c r="V266" s="1"/>
      <c r="W266" s="1"/>
      <c r="X266" s="1"/>
      <c r="Y266" s="1"/>
      <c r="Z266" s="1"/>
    </row>
    <row r="267">
      <c r="A267" s="1"/>
      <c r="B267" s="1"/>
      <c r="C267" s="54" t="str">
        <f>IFERROR(__xludf.DUMMYFUNCTION("""COMPUTED_VALUE"""),"TOMADA DE PAREDE PREMIER BRANCA
(Dimensões: A 121 x L90 mm)")</f>
        <v>TOMADA DE PAREDE PREMIER BRANCA
(Dimensões: A 121 x L90 mm)</v>
      </c>
      <c r="D267" s="64" t="str">
        <f>IFERROR(__xludf.DUMMYFUNCTION("IMPORTRANGE(""https://docs.google.com/spreadsheets/d/1ZgkzeBdhSokvqCpGgO9LgqfDTs6HIgXYJH9ON5WjN-s/edit?gid=891027965#gid=891027965"",""secundário!d1"")"),"ASPIRVAC 2")</f>
        <v>ASPIRVAC 2</v>
      </c>
      <c r="E267" s="56">
        <v>0.0</v>
      </c>
      <c r="F267" s="58">
        <f>IFERROR(__xludf.DUMMYFUNCTION("""COMPUTED_VALUE"""),65.0)</f>
        <v>65</v>
      </c>
      <c r="G267" s="58">
        <f t="shared" si="7"/>
        <v>65</v>
      </c>
      <c r="H267" s="57">
        <f t="shared" si="3"/>
        <v>130</v>
      </c>
      <c r="I267" s="59">
        <f t="shared" si="8"/>
        <v>1</v>
      </c>
      <c r="J267" s="12"/>
      <c r="K267" s="1"/>
      <c r="L267" s="1"/>
      <c r="M267" s="1"/>
      <c r="N267" s="1"/>
      <c r="O267" s="1"/>
      <c r="P267" s="1"/>
      <c r="Q267" s="1"/>
      <c r="R267" s="1"/>
      <c r="S267" s="1"/>
      <c r="T267" s="1"/>
      <c r="U267" s="1"/>
      <c r="V267" s="1"/>
      <c r="W267" s="1"/>
      <c r="X267" s="1"/>
      <c r="Y267" s="1"/>
      <c r="Z267" s="1"/>
    </row>
    <row r="268">
      <c r="A268" s="1"/>
      <c r="B268" s="1"/>
      <c r="C268" s="48" t="str">
        <f>IFERROR(__xludf.DUMMYFUNCTION("""COMPUTED_VALUE"""),"TOMADA DE PAREDE PREMIER BRANCA
(Dimensões: A 121 x L90 mm) 20 UND")</f>
        <v>TOMADA DE PAREDE PREMIER BRANCA
(Dimensões: A 121 x L90 mm) 20 UND</v>
      </c>
      <c r="D268" s="61" t="str">
        <f>IFERROR(__xludf.DUMMYFUNCTION("IMPORTRANGE(""https://docs.google.com/spreadsheets/d/1ZgkzeBdhSokvqCpGgO9LgqfDTs6HIgXYJH9ON5WjN-s/edit?gid=891027965#gid=891027965"",""secundário!d1"")"),"ASPIRVAC 2")</f>
        <v>ASPIRVAC 2</v>
      </c>
      <c r="E268" s="50">
        <v>0.0</v>
      </c>
      <c r="F268" s="52">
        <f>IFERROR(__xludf.DUMMYFUNCTION("""COMPUTED_VALUE"""),62.0)</f>
        <v>62</v>
      </c>
      <c r="G268" s="52">
        <f t="shared" si="7"/>
        <v>62</v>
      </c>
      <c r="H268" s="51">
        <f t="shared" si="3"/>
        <v>124</v>
      </c>
      <c r="I268" s="53">
        <f t="shared" si="8"/>
        <v>1</v>
      </c>
      <c r="J268" s="12"/>
      <c r="K268" s="1"/>
      <c r="L268" s="1"/>
      <c r="M268" s="1"/>
      <c r="N268" s="1"/>
      <c r="O268" s="1"/>
      <c r="P268" s="1"/>
      <c r="Q268" s="1"/>
      <c r="R268" s="1"/>
      <c r="S268" s="1"/>
      <c r="T268" s="1"/>
      <c r="U268" s="1"/>
      <c r="V268" s="1"/>
      <c r="W268" s="1"/>
      <c r="X268" s="1"/>
      <c r="Y268" s="1"/>
      <c r="Z268" s="1"/>
    </row>
    <row r="269">
      <c r="A269" s="1"/>
      <c r="B269" s="1"/>
      <c r="C269" s="54" t="str">
        <f>IFERROR(__xludf.DUMMYFUNCTION("""COMPUTED_VALUE"""),"TOMADA DE PAREDE PREMIER EVO BRANCA
(Dimensões: A 121 x L 90 mm)")</f>
        <v>TOMADA DE PAREDE PREMIER EVO BRANCA
(Dimensões: A 121 x L 90 mm)</v>
      </c>
      <c r="D269" s="64" t="str">
        <f>IFERROR(__xludf.DUMMYFUNCTION("IMPORTRANGE(""https://docs.google.com/spreadsheets/d/1ZgkzeBdhSokvqCpGgO9LgqfDTs6HIgXYJH9ON5WjN-s/edit?gid=891027965#gid=891027965"",""secundário!d1"")"),"ASPIRVAC 2")</f>
        <v>ASPIRVAC 2</v>
      </c>
      <c r="E269" s="56">
        <v>0.0</v>
      </c>
      <c r="F269" s="58">
        <f>IFERROR(__xludf.DUMMYFUNCTION("""COMPUTED_VALUE"""),70.0)</f>
        <v>70</v>
      </c>
      <c r="G269" s="58">
        <f t="shared" si="7"/>
        <v>70</v>
      </c>
      <c r="H269" s="57">
        <f t="shared" si="3"/>
        <v>140</v>
      </c>
      <c r="I269" s="59">
        <f t="shared" si="8"/>
        <v>1</v>
      </c>
      <c r="J269" s="12"/>
      <c r="K269" s="1"/>
      <c r="L269" s="1"/>
      <c r="M269" s="1"/>
      <c r="N269" s="1"/>
      <c r="O269" s="1"/>
      <c r="P269" s="1"/>
      <c r="Q269" s="1"/>
      <c r="R269" s="1"/>
      <c r="S269" s="1"/>
      <c r="T269" s="1"/>
      <c r="U269" s="1"/>
      <c r="V269" s="1"/>
      <c r="W269" s="1"/>
      <c r="X269" s="1"/>
      <c r="Y269" s="1"/>
      <c r="Z269" s="1"/>
    </row>
    <row r="270">
      <c r="A270" s="1"/>
      <c r="B270" s="1"/>
      <c r="C270" s="48" t="str">
        <f>IFERROR(__xludf.DUMMYFUNCTION("""COMPUTED_VALUE"""),"TOMADA DE PAREDE PREMIER EVO BRANCA
(Dimensões: A 121 x L 90 mm) 24UND")</f>
        <v>TOMADA DE PAREDE PREMIER EVO BRANCA
(Dimensões: A 121 x L 90 mm) 24UND</v>
      </c>
      <c r="D270" s="61" t="str">
        <f>IFERROR(__xludf.DUMMYFUNCTION("IMPORTRANGE(""https://docs.google.com/spreadsheets/d/1ZgkzeBdhSokvqCpGgO9LgqfDTs6HIgXYJH9ON5WjN-s/edit?gid=891027965#gid=891027965"",""secundário!d1"")"),"ASPIRVAC 2")</f>
        <v>ASPIRVAC 2</v>
      </c>
      <c r="E270" s="50">
        <v>0.0</v>
      </c>
      <c r="F270" s="52">
        <f>IFERROR(__xludf.DUMMYFUNCTION("""COMPUTED_VALUE"""),66.0)</f>
        <v>66</v>
      </c>
      <c r="G270" s="52">
        <f t="shared" si="7"/>
        <v>66</v>
      </c>
      <c r="H270" s="51">
        <f t="shared" si="3"/>
        <v>132</v>
      </c>
      <c r="I270" s="53">
        <f t="shared" si="8"/>
        <v>1</v>
      </c>
      <c r="J270" s="12"/>
      <c r="K270" s="1"/>
      <c r="L270" s="1"/>
      <c r="M270" s="1"/>
      <c r="N270" s="1"/>
      <c r="O270" s="1"/>
      <c r="P270" s="1"/>
      <c r="Q270" s="1"/>
      <c r="R270" s="1"/>
      <c r="S270" s="1"/>
      <c r="T270" s="1"/>
      <c r="U270" s="1"/>
      <c r="V270" s="1"/>
      <c r="W270" s="1"/>
      <c r="X270" s="1"/>
      <c r="Y270" s="1"/>
      <c r="Z270" s="1"/>
    </row>
    <row r="271">
      <c r="A271" s="1"/>
      <c r="B271" s="1"/>
      <c r="C271" s="54" t="str">
        <f>IFERROR(__xludf.DUMMYFUNCTION("""COMPUTED_VALUE"""),"TOMADA DE RODAPÉ / GLUTÃO GV PRETO
(Dimensões: A 52,63 X L 224,96 x 106 mm)")</f>
        <v>TOMADA DE RODAPÉ / GLUTÃO GV PRETO
(Dimensões: A 52,63 X L 224,96 x 106 mm)</v>
      </c>
      <c r="D271" s="64" t="str">
        <f>IFERROR(__xludf.DUMMYFUNCTION("IMPORTRANGE(""https://docs.google.com/spreadsheets/d/1ZgkzeBdhSokvqCpGgO9LgqfDTs6HIgXYJH9ON5WjN-s/edit?gid=891027965#gid=891027965"",""secundário!d1"")"),"ASPIRVAC 2")</f>
        <v>ASPIRVAC 2</v>
      </c>
      <c r="E271" s="56">
        <v>0.0</v>
      </c>
      <c r="F271" s="58">
        <f>IFERROR(__xludf.DUMMYFUNCTION("""COMPUTED_VALUE"""),210.0)</f>
        <v>210</v>
      </c>
      <c r="G271" s="58">
        <f t="shared" si="7"/>
        <v>210</v>
      </c>
      <c r="H271" s="57">
        <f t="shared" si="3"/>
        <v>420</v>
      </c>
      <c r="I271" s="59">
        <f t="shared" si="8"/>
        <v>1</v>
      </c>
      <c r="J271" s="12"/>
      <c r="K271" s="1"/>
      <c r="L271" s="1"/>
      <c r="M271" s="1"/>
      <c r="N271" s="1"/>
      <c r="O271" s="1"/>
      <c r="P271" s="1"/>
      <c r="Q271" s="1"/>
      <c r="R271" s="1"/>
      <c r="S271" s="1"/>
      <c r="T271" s="1"/>
      <c r="U271" s="1"/>
      <c r="V271" s="1"/>
      <c r="W271" s="1"/>
      <c r="X271" s="1"/>
      <c r="Y271" s="1"/>
      <c r="Z271" s="1"/>
    </row>
    <row r="272">
      <c r="A272" s="1"/>
      <c r="B272" s="1"/>
      <c r="C272" s="48" t="str">
        <f>IFERROR(__xludf.DUMMYFUNCTION("""COMPUTED_VALUE"""),"TOMADA DE RODAPÉ/GLUTÃO CLASSIC BRANCA
(Dimensões: A 54 x L 215 x P 216 mm)")</f>
        <v>TOMADA DE RODAPÉ/GLUTÃO CLASSIC BRANCA
(Dimensões: A 54 x L 215 x P 216 mm)</v>
      </c>
      <c r="D272" s="61" t="str">
        <f>IFERROR(__xludf.DUMMYFUNCTION("IMPORTRANGE(""https://docs.google.com/spreadsheets/d/1ZgkzeBdhSokvqCpGgO9LgqfDTs6HIgXYJH9ON5WjN-s/edit?gid=891027965#gid=891027965"",""secundário!d1"")"),"ASPIRVAC 2")</f>
        <v>ASPIRVAC 2</v>
      </c>
      <c r="E272" s="50">
        <v>0.0</v>
      </c>
      <c r="F272" s="52">
        <f>IFERROR(__xludf.DUMMYFUNCTION("""COMPUTED_VALUE"""),340.0)</f>
        <v>340</v>
      </c>
      <c r="G272" s="52">
        <f t="shared" si="7"/>
        <v>340</v>
      </c>
      <c r="H272" s="51">
        <f t="shared" si="3"/>
        <v>680</v>
      </c>
      <c r="I272" s="53">
        <f t="shared" si="8"/>
        <v>1</v>
      </c>
      <c r="J272" s="12"/>
      <c r="K272" s="1"/>
      <c r="L272" s="1"/>
      <c r="M272" s="1"/>
      <c r="N272" s="1"/>
      <c r="O272" s="1"/>
      <c r="P272" s="1"/>
      <c r="Q272" s="1"/>
      <c r="R272" s="1"/>
      <c r="S272" s="1"/>
      <c r="T272" s="1"/>
      <c r="U272" s="1"/>
      <c r="V272" s="1"/>
      <c r="W272" s="1"/>
      <c r="X272" s="1"/>
      <c r="Y272" s="1"/>
      <c r="Z272" s="1"/>
    </row>
    <row r="273">
      <c r="A273" s="1"/>
      <c r="B273" s="1"/>
      <c r="C273" s="54" t="str">
        <f>IFERROR(__xludf.DUMMYFUNCTION("""COMPUTED_VALUE"""),"TOMADA DE RODAPÉ/GLUTÃO CLASSIC BRANCA
(Dimensões: A 54 x L 215 x P 216 mm) 20 UND")</f>
        <v>TOMADA DE RODAPÉ/GLUTÃO CLASSIC BRANCA
(Dimensões: A 54 x L 215 x P 216 mm) 20 UND</v>
      </c>
      <c r="D273" s="64" t="str">
        <f>IFERROR(__xludf.DUMMYFUNCTION("IMPORTRANGE(""https://docs.google.com/spreadsheets/d/1ZgkzeBdhSokvqCpGgO9LgqfDTs6HIgXYJH9ON5WjN-s/edit?gid=891027965#gid=891027965"",""secundário!d1"")"),"ASPIRVAC 2")</f>
        <v>ASPIRVAC 2</v>
      </c>
      <c r="E273" s="56">
        <v>0.0</v>
      </c>
      <c r="F273" s="58">
        <f>IFERROR(__xludf.DUMMYFUNCTION("""COMPUTED_VALUE"""),320.0)</f>
        <v>320</v>
      </c>
      <c r="G273" s="58">
        <f t="shared" si="7"/>
        <v>320</v>
      </c>
      <c r="H273" s="57">
        <f t="shared" si="3"/>
        <v>640</v>
      </c>
      <c r="I273" s="59">
        <f t="shared" si="8"/>
        <v>1</v>
      </c>
      <c r="J273" s="12"/>
      <c r="K273" s="1"/>
      <c r="L273" s="1"/>
      <c r="M273" s="1"/>
      <c r="N273" s="1"/>
      <c r="O273" s="1"/>
      <c r="P273" s="1"/>
      <c r="Q273" s="1"/>
      <c r="R273" s="1"/>
      <c r="S273" s="1"/>
      <c r="T273" s="1"/>
      <c r="U273" s="1"/>
      <c r="V273" s="1"/>
      <c r="W273" s="1"/>
      <c r="X273" s="1"/>
      <c r="Y273" s="1"/>
      <c r="Z273" s="1"/>
    </row>
    <row r="274">
      <c r="A274" s="1"/>
      <c r="B274" s="1"/>
      <c r="C274" s="48" t="str">
        <f>IFERROR(__xludf.DUMMYFUNCTION("""COMPUTED_VALUE"""),"TOMADA DE RODAPÉ/GLUTÃO CLASSIC PRETA
(Dimensões: A 54 x L 215 x P216 mm)")</f>
        <v>TOMADA DE RODAPÉ/GLUTÃO CLASSIC PRETA
(Dimensões: A 54 x L 215 x P216 mm)</v>
      </c>
      <c r="D274" s="61" t="str">
        <f>IFERROR(__xludf.DUMMYFUNCTION("IMPORTRANGE(""https://docs.google.com/spreadsheets/d/1ZgkzeBdhSokvqCpGgO9LgqfDTs6HIgXYJH9ON5WjN-s/edit?gid=891027965#gid=891027965"",""secundário!d1"")"),"ASPIRVAC 2")</f>
        <v>ASPIRVAC 2</v>
      </c>
      <c r="E274" s="50">
        <v>0.0</v>
      </c>
      <c r="F274" s="52">
        <f>IFERROR(__xludf.DUMMYFUNCTION("""COMPUTED_VALUE"""),340.0)</f>
        <v>340</v>
      </c>
      <c r="G274" s="52">
        <f t="shared" si="7"/>
        <v>340</v>
      </c>
      <c r="H274" s="51">
        <f t="shared" si="3"/>
        <v>680</v>
      </c>
      <c r="I274" s="53">
        <f t="shared" si="8"/>
        <v>1</v>
      </c>
      <c r="J274" s="12"/>
      <c r="K274" s="1"/>
      <c r="L274" s="1"/>
      <c r="M274" s="1"/>
      <c r="N274" s="1"/>
      <c r="O274" s="1"/>
      <c r="P274" s="1"/>
      <c r="Q274" s="1"/>
      <c r="R274" s="1"/>
      <c r="S274" s="1"/>
      <c r="T274" s="1"/>
      <c r="U274" s="1"/>
      <c r="V274" s="1"/>
      <c r="W274" s="1"/>
      <c r="X274" s="1"/>
      <c r="Y274" s="1"/>
      <c r="Z274" s="1"/>
    </row>
    <row r="275">
      <c r="A275" s="1"/>
      <c r="B275" s="1"/>
      <c r="C275" s="54" t="str">
        <f>IFERROR(__xludf.DUMMYFUNCTION("""COMPUTED_VALUE"""),"TOMADA DE RODAPÉ/GLUTÃO GV BRANCO
(Dimensões: A 52,63 x L 224,96 x P 106 mm)")</f>
        <v>TOMADA DE RODAPÉ/GLUTÃO GV BRANCO
(Dimensões: A 52,63 x L 224,96 x P 106 mm)</v>
      </c>
      <c r="D275" s="64" t="str">
        <f>IFERROR(__xludf.DUMMYFUNCTION("IMPORTRANGE(""https://docs.google.com/spreadsheets/d/1ZgkzeBdhSokvqCpGgO9LgqfDTs6HIgXYJH9ON5WjN-s/edit?gid=891027965#gid=891027965"",""secundário!d1"")"),"ASPIRVAC 2")</f>
        <v>ASPIRVAC 2</v>
      </c>
      <c r="E275" s="56">
        <v>0.0</v>
      </c>
      <c r="F275" s="58">
        <f>IFERROR(__xludf.DUMMYFUNCTION("""COMPUTED_VALUE"""),210.0)</f>
        <v>210</v>
      </c>
      <c r="G275" s="58">
        <f t="shared" si="7"/>
        <v>210</v>
      </c>
      <c r="H275" s="57">
        <f t="shared" si="3"/>
        <v>420</v>
      </c>
      <c r="I275" s="59">
        <f t="shared" si="8"/>
        <v>1</v>
      </c>
      <c r="J275" s="12"/>
      <c r="K275" s="1"/>
      <c r="L275" s="1"/>
      <c r="M275" s="1"/>
      <c r="N275" s="1"/>
      <c r="O275" s="1"/>
      <c r="P275" s="1"/>
      <c r="Q275" s="1"/>
      <c r="R275" s="1"/>
      <c r="S275" s="1"/>
      <c r="T275" s="1"/>
      <c r="U275" s="1"/>
      <c r="V275" s="1"/>
      <c r="W275" s="1"/>
      <c r="X275" s="1"/>
      <c r="Y275" s="1"/>
      <c r="Z275" s="1"/>
    </row>
    <row r="276">
      <c r="A276" s="1"/>
      <c r="B276" s="1"/>
      <c r="C276" s="48" t="str">
        <f>IFERROR(__xludf.DUMMYFUNCTION("""COMPUTED_VALUE"""),"TOMADA GV SMPLY FLEX BRANCA
(Dimensões: A 180 x L 150 x P 80 mm) Comprimento máximo mangueira 3,6 metros")</f>
        <v>TOMADA GV SMPLY FLEX BRANCA
(Dimensões: A 180 x L 150 x P 80 mm) Comprimento máximo mangueira 3,6 metros</v>
      </c>
      <c r="D276" s="61" t="str">
        <f>IFERROR(__xludf.DUMMYFUNCTION("IMPORTRANGE(""https://docs.google.com/spreadsheets/d/1ZgkzeBdhSokvqCpGgO9LgqfDTs6HIgXYJH9ON5WjN-s/edit?gid=891027965#gid=891027965"",""secundário!d1"")"),"ASPIRVAC 2")</f>
        <v>ASPIRVAC 2</v>
      </c>
      <c r="E276" s="50">
        <v>0.0</v>
      </c>
      <c r="F276" s="52">
        <f>IFERROR(__xludf.DUMMYFUNCTION("""COMPUTED_VALUE"""),1100.0)</f>
        <v>1100</v>
      </c>
      <c r="G276" s="52">
        <f t="shared" si="7"/>
        <v>1100</v>
      </c>
      <c r="H276" s="51">
        <f t="shared" si="3"/>
        <v>2200</v>
      </c>
      <c r="I276" s="53">
        <f t="shared" si="8"/>
        <v>1</v>
      </c>
      <c r="J276" s="12"/>
      <c r="K276" s="1"/>
      <c r="L276" s="1"/>
      <c r="M276" s="1"/>
      <c r="N276" s="1"/>
      <c r="O276" s="1"/>
      <c r="P276" s="1"/>
      <c r="Q276" s="1"/>
      <c r="R276" s="1"/>
      <c r="S276" s="1"/>
      <c r="T276" s="1"/>
      <c r="U276" s="1"/>
      <c r="V276" s="1"/>
      <c r="W276" s="1"/>
      <c r="X276" s="1"/>
      <c r="Y276" s="1"/>
      <c r="Z276" s="1"/>
    </row>
    <row r="277">
      <c r="A277" s="1"/>
      <c r="B277" s="1"/>
      <c r="C277" s="54" t="str">
        <f>IFERROR(__xludf.DUMMYFUNCTION("""COMPUTED_VALUE"""),"TOMADA PH FLEX 2.0 BRANCA")</f>
        <v>TOMADA PH FLEX 2.0 BRANCA</v>
      </c>
      <c r="D277" s="64" t="str">
        <f>IFERROR(__xludf.DUMMYFUNCTION("IMPORTRANGE(""https://docs.google.com/spreadsheets/d/1ZgkzeBdhSokvqCpGgO9LgqfDTs6HIgXYJH9ON5WjN-s/edit?gid=891027965#gid=891027965"",""secundário!d1"")"),"ASPIRVAC 2")</f>
        <v>ASPIRVAC 2</v>
      </c>
      <c r="E277" s="56">
        <v>0.0</v>
      </c>
      <c r="F277" s="58">
        <f>IFERROR(__xludf.DUMMYFUNCTION("""COMPUTED_VALUE"""),515.0)</f>
        <v>515</v>
      </c>
      <c r="G277" s="58">
        <f t="shared" si="7"/>
        <v>515</v>
      </c>
      <c r="H277" s="57">
        <f t="shared" si="3"/>
        <v>1030</v>
      </c>
      <c r="I277" s="59">
        <f t="shared" si="8"/>
        <v>1</v>
      </c>
      <c r="J277" s="12"/>
      <c r="K277" s="1"/>
      <c r="L277" s="1"/>
      <c r="M277" s="1"/>
      <c r="N277" s="1"/>
      <c r="O277" s="1"/>
      <c r="P277" s="1"/>
      <c r="Q277" s="1"/>
      <c r="R277" s="1"/>
      <c r="S277" s="1"/>
      <c r="T277" s="1"/>
      <c r="U277" s="1"/>
      <c r="V277" s="1"/>
      <c r="W277" s="1"/>
      <c r="X277" s="1"/>
      <c r="Y277" s="1"/>
      <c r="Z277" s="1"/>
    </row>
    <row r="278">
      <c r="A278" s="1"/>
      <c r="B278" s="1"/>
      <c r="C278" s="48" t="str">
        <f>IFERROR(__xludf.DUMMYFUNCTION("""COMPUTED_VALUE"""),"TOMADA PH FLEX 2.0 PARA PINTAR")</f>
        <v>TOMADA PH FLEX 2.0 PARA PINTAR</v>
      </c>
      <c r="D278" s="61" t="str">
        <f>IFERROR(__xludf.DUMMYFUNCTION("IMPORTRANGE(""https://docs.google.com/spreadsheets/d/1ZgkzeBdhSokvqCpGgO9LgqfDTs6HIgXYJH9ON5WjN-s/edit?gid=891027965#gid=891027965"",""secundário!d1"")"),"ASPIRVAC 2")</f>
        <v>ASPIRVAC 2</v>
      </c>
      <c r="E278" s="50">
        <v>0.0</v>
      </c>
      <c r="F278" s="52">
        <f>IFERROR(__xludf.DUMMYFUNCTION("""COMPUTED_VALUE"""),515.0)</f>
        <v>515</v>
      </c>
      <c r="G278" s="52">
        <f t="shared" si="7"/>
        <v>515</v>
      </c>
      <c r="H278" s="51">
        <f t="shared" si="3"/>
        <v>1030</v>
      </c>
      <c r="I278" s="53">
        <f t="shared" si="8"/>
        <v>1</v>
      </c>
      <c r="J278" s="12"/>
      <c r="K278" s="1"/>
      <c r="L278" s="1"/>
      <c r="M278" s="1"/>
      <c r="N278" s="1"/>
      <c r="O278" s="1"/>
      <c r="P278" s="1"/>
      <c r="Q278" s="1"/>
      <c r="R278" s="1"/>
      <c r="S278" s="1"/>
      <c r="T278" s="1"/>
      <c r="U278" s="1"/>
      <c r="V278" s="1"/>
      <c r="W278" s="1"/>
      <c r="X278" s="1"/>
      <c r="Y278" s="1"/>
      <c r="Z278" s="1"/>
    </row>
    <row r="279">
      <c r="A279" s="1"/>
      <c r="B279" s="1"/>
      <c r="C279" s="54" t="str">
        <f>IFERROR(__xludf.DUMMYFUNCTION("""COMPUTED_VALUE"""),"TOMADA TÉCNICA SERVIÇO BRANCA
(Dimensões: A 70 x L 61 mm)")</f>
        <v>TOMADA TÉCNICA SERVIÇO BRANCA
(Dimensões: A 70 x L 61 mm)</v>
      </c>
      <c r="D279" s="64" t="str">
        <f>IFERROR(__xludf.DUMMYFUNCTION("IMPORTRANGE(""https://docs.google.com/spreadsheets/d/1ZgkzeBdhSokvqCpGgO9LgqfDTs6HIgXYJH9ON5WjN-s/edit?gid=891027965#gid=891027965"",""secundário!d1"")"),"ASPIRVAC 2")</f>
        <v>ASPIRVAC 2</v>
      </c>
      <c r="E279" s="56">
        <v>0.0</v>
      </c>
      <c r="F279" s="58">
        <f>IFERROR(__xludf.DUMMYFUNCTION("""COMPUTED_VALUE"""),50.0)</f>
        <v>50</v>
      </c>
      <c r="G279" s="58">
        <f t="shared" si="7"/>
        <v>50</v>
      </c>
      <c r="H279" s="57">
        <f t="shared" si="3"/>
        <v>100</v>
      </c>
      <c r="I279" s="59">
        <f t="shared" si="8"/>
        <v>1</v>
      </c>
      <c r="J279" s="12"/>
      <c r="K279" s="1"/>
      <c r="L279" s="1"/>
      <c r="M279" s="1"/>
      <c r="N279" s="1"/>
      <c r="O279" s="1"/>
      <c r="P279" s="1"/>
      <c r="Q279" s="1"/>
      <c r="R279" s="1"/>
      <c r="S279" s="1"/>
      <c r="T279" s="1"/>
      <c r="U279" s="1"/>
      <c r="V279" s="1"/>
      <c r="W279" s="1"/>
      <c r="X279" s="1"/>
      <c r="Y279" s="1"/>
      <c r="Z279" s="1"/>
    </row>
    <row r="280">
      <c r="A280" s="1"/>
      <c r="B280" s="1"/>
      <c r="C280" s="48" t="str">
        <f>IFERROR(__xludf.DUMMYFUNCTION("""COMPUTED_VALUE"""),"TUBO TELESCÓPICO CROMADO")</f>
        <v>TUBO TELESCÓPICO CROMADO</v>
      </c>
      <c r="D280" s="61" t="str">
        <f>IFERROR(__xludf.DUMMYFUNCTION("IMPORTRANGE(""https://docs.google.com/spreadsheets/d/1ZgkzeBdhSokvqCpGgO9LgqfDTs6HIgXYJH9ON5WjN-s/edit?gid=891027965#gid=891027965"",""secundário!d1"")"),"ASPIRVAC 2")</f>
        <v>ASPIRVAC 2</v>
      </c>
      <c r="E280" s="50">
        <v>0.0</v>
      </c>
      <c r="F280" s="52">
        <f>IFERROR(__xludf.DUMMYFUNCTION("""COMPUTED_VALUE"""),183.0)</f>
        <v>183</v>
      </c>
      <c r="G280" s="52">
        <f t="shared" si="7"/>
        <v>183</v>
      </c>
      <c r="H280" s="51">
        <f t="shared" si="3"/>
        <v>366</v>
      </c>
      <c r="I280" s="53">
        <f t="shared" si="8"/>
        <v>1</v>
      </c>
      <c r="J280" s="12"/>
      <c r="K280" s="1"/>
      <c r="L280" s="1"/>
      <c r="M280" s="1"/>
      <c r="N280" s="1"/>
      <c r="O280" s="1"/>
      <c r="P280" s="1"/>
      <c r="Q280" s="1"/>
      <c r="R280" s="1"/>
      <c r="S280" s="1"/>
      <c r="T280" s="1"/>
      <c r="U280" s="1"/>
      <c r="V280" s="1"/>
      <c r="W280" s="1"/>
      <c r="X280" s="1"/>
      <c r="Y280" s="1"/>
      <c r="Z280" s="1"/>
    </row>
    <row r="281">
      <c r="A281" s="1"/>
      <c r="B281" s="1"/>
      <c r="C281" s="54" t="str">
        <f>IFERROR(__xludf.DUMMYFUNCTION("""COMPUTED_VALUE"""),"TUBO TELESCÓPICO CROMADO PREMIUM")</f>
        <v>TUBO TELESCÓPICO CROMADO PREMIUM</v>
      </c>
      <c r="D281" s="64" t="str">
        <f>IFERROR(__xludf.DUMMYFUNCTION("IMPORTRANGE(""https://docs.google.com/spreadsheets/d/1ZgkzeBdhSokvqCpGgO9LgqfDTs6HIgXYJH9ON5WjN-s/edit?gid=891027965#gid=891027965"",""secundário!d1"")"),"ASPIRVAC 2")</f>
        <v>ASPIRVAC 2</v>
      </c>
      <c r="E281" s="56">
        <v>0.0</v>
      </c>
      <c r="F281" s="58">
        <f>IFERROR(__xludf.DUMMYFUNCTION("""COMPUTED_VALUE"""),195.0)</f>
        <v>195</v>
      </c>
      <c r="G281" s="58">
        <f t="shared" si="7"/>
        <v>195</v>
      </c>
      <c r="H281" s="57">
        <f t="shared" si="3"/>
        <v>390</v>
      </c>
      <c r="I281" s="59">
        <f t="shared" si="8"/>
        <v>1</v>
      </c>
      <c r="J281" s="12"/>
      <c r="K281" s="1"/>
      <c r="L281" s="1"/>
      <c r="M281" s="1"/>
      <c r="N281" s="1"/>
      <c r="O281" s="1"/>
      <c r="P281" s="1"/>
      <c r="Q281" s="1"/>
      <c r="R281" s="1"/>
      <c r="S281" s="1"/>
      <c r="T281" s="1"/>
      <c r="U281" s="1"/>
      <c r="V281" s="1"/>
      <c r="W281" s="1"/>
      <c r="X281" s="1"/>
      <c r="Y281" s="1"/>
      <c r="Z281" s="1"/>
    </row>
    <row r="282">
      <c r="A282" s="1"/>
      <c r="B282" s="1"/>
      <c r="C282" s="48" t="str">
        <f>IFERROR(__xludf.DUMMYFUNCTION("""COMPUTED_VALUE"""),"TUBO TELESCÓPICO PLÁSTICO PRETO")</f>
        <v>TUBO TELESCÓPICO PLÁSTICO PRETO</v>
      </c>
      <c r="D282" s="61" t="str">
        <f>IFERROR(__xludf.DUMMYFUNCTION("IMPORTRANGE(""https://docs.google.com/spreadsheets/d/1ZgkzeBdhSokvqCpGgO9LgqfDTs6HIgXYJH9ON5WjN-s/edit?gid=891027965#gid=891027965"",""secundário!d1"")"),"ASPIRVAC 2")</f>
        <v>ASPIRVAC 2</v>
      </c>
      <c r="E282" s="50">
        <v>0.0</v>
      </c>
      <c r="F282" s="52">
        <f>IFERROR(__xludf.DUMMYFUNCTION("""COMPUTED_VALUE"""),130.0)</f>
        <v>130</v>
      </c>
      <c r="G282" s="52">
        <f t="shared" si="7"/>
        <v>130</v>
      </c>
      <c r="H282" s="51">
        <f t="shared" si="3"/>
        <v>260</v>
      </c>
      <c r="I282" s="53">
        <f t="shared" si="8"/>
        <v>1</v>
      </c>
      <c r="J282" s="12"/>
      <c r="K282" s="1"/>
      <c r="L282" s="1"/>
      <c r="M282" s="1"/>
      <c r="N282" s="1"/>
      <c r="O282" s="1"/>
      <c r="P282" s="1"/>
      <c r="Q282" s="1"/>
      <c r="R282" s="1"/>
      <c r="S282" s="1"/>
      <c r="T282" s="1"/>
      <c r="U282" s="1"/>
      <c r="V282" s="1"/>
      <c r="W282" s="1"/>
      <c r="X282" s="1"/>
      <c r="Y282" s="1"/>
      <c r="Z282" s="1"/>
    </row>
    <row r="283">
      <c r="A283" s="1"/>
      <c r="B283" s="1"/>
      <c r="C283" s="54" t="str">
        <f>IFERROR(__xludf.DUMMYFUNCTION("""COMPUTED_VALUE"""),"UNIÃO COM BATENTE")</f>
        <v>UNIÃO COM BATENTE</v>
      </c>
      <c r="D283" s="64" t="str">
        <f>IFERROR(__xludf.DUMMYFUNCTION("IMPORTRANGE(""https://docs.google.com/spreadsheets/d/1ZgkzeBdhSokvqCpGgO9LgqfDTs6HIgXYJH9ON5WjN-s/edit?gid=891027965#gid=891027965"",""secundário!d1"")"),"ASPIRVAC 2")</f>
        <v>ASPIRVAC 2</v>
      </c>
      <c r="E283" s="56">
        <v>0.0</v>
      </c>
      <c r="F283" s="58">
        <f>IFERROR(__xludf.DUMMYFUNCTION("""COMPUTED_VALUE"""),7.3)</f>
        <v>7.3</v>
      </c>
      <c r="G283" s="58">
        <f t="shared" si="7"/>
        <v>7.3</v>
      </c>
      <c r="H283" s="57">
        <f t="shared" si="3"/>
        <v>14.6</v>
      </c>
      <c r="I283" s="59">
        <f t="shared" si="8"/>
        <v>1</v>
      </c>
      <c r="J283" s="12"/>
      <c r="K283" s="1"/>
      <c r="L283" s="1"/>
      <c r="M283" s="1"/>
      <c r="N283" s="1"/>
      <c r="O283" s="1"/>
      <c r="P283" s="1"/>
      <c r="Q283" s="1"/>
      <c r="R283" s="1"/>
      <c r="S283" s="1"/>
      <c r="T283" s="1"/>
      <c r="U283" s="1"/>
      <c r="V283" s="1"/>
      <c r="W283" s="1"/>
      <c r="X283" s="1"/>
      <c r="Y283" s="1"/>
      <c r="Z283" s="1"/>
    </row>
    <row r="284">
      <c r="A284" s="1"/>
      <c r="B284" s="1"/>
      <c r="C284" s="48" t="str">
        <f>IFERROR(__xludf.DUMMYFUNCTION("""COMPUTED_VALUE"""),"UNIÃO SEM BATENTE")</f>
        <v>UNIÃO SEM BATENTE</v>
      </c>
      <c r="D284" s="61" t="str">
        <f>IFERROR(__xludf.DUMMYFUNCTION("IMPORTRANGE(""https://docs.google.com/spreadsheets/d/1ZgkzeBdhSokvqCpGgO9LgqfDTs6HIgXYJH9ON5WjN-s/edit?gid=891027965#gid=891027965"",""secundário!d1"")"),"ASPIRVAC 2")</f>
        <v>ASPIRVAC 2</v>
      </c>
      <c r="E284" s="50">
        <v>0.0</v>
      </c>
      <c r="F284" s="52">
        <f>IFERROR(__xludf.DUMMYFUNCTION("""COMPUTED_VALUE"""),6.5)</f>
        <v>6.5</v>
      </c>
      <c r="G284" s="52">
        <f t="shared" si="7"/>
        <v>6.5</v>
      </c>
      <c r="H284" s="51">
        <f t="shared" si="3"/>
        <v>13</v>
      </c>
      <c r="I284" s="53">
        <f t="shared" si="8"/>
        <v>1</v>
      </c>
      <c r="J284" s="12"/>
      <c r="K284" s="1"/>
      <c r="L284" s="1"/>
      <c r="M284" s="1"/>
      <c r="N284" s="1"/>
      <c r="O284" s="1"/>
      <c r="P284" s="1"/>
      <c r="Q284" s="1"/>
      <c r="R284" s="1"/>
      <c r="S284" s="1"/>
      <c r="T284" s="1"/>
      <c r="U284" s="1"/>
      <c r="V284" s="1"/>
      <c r="W284" s="1"/>
      <c r="X284" s="1"/>
      <c r="Y284" s="1"/>
      <c r="Z284" s="1"/>
    </row>
    <row r="285">
      <c r="A285" s="1"/>
      <c r="B285" s="1"/>
      <c r="C285" s="63" t="str">
        <f>IFERROR(__xludf.DUMMYFUNCTION("IMPORTRANGE(""https://docs.google.com/spreadsheets/d/1GMOWcUb26jVTosRt5EqlFYb5WfKNVSDMwfDXmDOMGao/edit?gid=410167636#gid=410167636"",""beam!c2:c226"")"),"CENTRAL IVD660 + KIT DE ACESSÓRIOS STANDARD MANGUEIRA DE 9M Dimensões(cm) 49,4X26,7  / AirWatts 660/ Motor 1.600W")</f>
        <v>CENTRAL IVD660 + KIT DE ACESSÓRIOS STANDARD MANGUEIRA DE 9M Dimensões(cm) 49,4X26,7  / AirWatts 660/ Motor 1.600W</v>
      </c>
      <c r="D285" s="64" t="str">
        <f>IFERROR(__xludf.DUMMYFUNCTION("IMPORTRANGE(""https://docs.google.com/spreadsheets/d/1GMOWcUb26jVTosRt5EqlFYb5WfKNVSDMwfDXmDOMGao/edit?gid=410167636#gid=410167636"",""beam!f1"")"),"BEAM")</f>
        <v>BEAM</v>
      </c>
      <c r="E285" s="56">
        <v>0.0</v>
      </c>
      <c r="F285" s="65">
        <f>IFERROR(__xludf.DUMMYFUNCTION("IMPORTRANGE(""https://docs.google.com/spreadsheets/d/1GMOWcUb26jVTosRt5EqlFYb5WfKNVSDMwfDXmDOMGao/edit?gid=410167636#gid=410167636"",""beam!E2:E226"")"),7270.0)</f>
        <v>7270</v>
      </c>
      <c r="G285" s="58">
        <f t="shared" ref="G285:G364" si="9">F285</f>
        <v>7270</v>
      </c>
      <c r="H285" s="58">
        <f t="shared" ref="H285:H509" si="10">F285*1.7</f>
        <v>12359</v>
      </c>
      <c r="I285" s="59">
        <f t="shared" ref="I285:I374" si="11">IF(G285&gt;0,(H285-G285)/G285,IF(H285&gt;0,0,0))</f>
        <v>0.7</v>
      </c>
      <c r="J285" s="12"/>
      <c r="K285" s="1"/>
      <c r="L285" s="1"/>
      <c r="M285" s="1"/>
      <c r="N285" s="1"/>
      <c r="O285" s="1"/>
      <c r="P285" s="1"/>
      <c r="Q285" s="1"/>
      <c r="R285" s="1"/>
      <c r="S285" s="1"/>
      <c r="T285" s="1"/>
      <c r="U285" s="1"/>
      <c r="V285" s="1"/>
      <c r="W285" s="1"/>
      <c r="X285" s="1"/>
      <c r="Y285" s="1"/>
      <c r="Z285" s="1"/>
    </row>
    <row r="286">
      <c r="A286" s="1"/>
      <c r="B286" s="1"/>
      <c r="C286" s="60" t="str">
        <f>IFERROR(__xludf.DUMMYFUNCTION("""COMPUTED_VALUE"""),"CENTRAL IVD660 + KIT DE ACESSÓRIOS STANDARD MANGUEIRA 11M Dimensões(cm) 49,4X26,7  / AirWatts 660/ Motor 1.600W")</f>
        <v>CENTRAL IVD660 + KIT DE ACESSÓRIOS STANDARD MANGUEIRA 11M Dimensões(cm) 49,4X26,7  / AirWatts 660/ Motor 1.600W</v>
      </c>
      <c r="D286" s="61" t="str">
        <f>IFERROR(__xludf.DUMMYFUNCTION("IMPORTRANGE(""https://docs.google.com/spreadsheets/d/1GMOWcUb26jVTosRt5EqlFYb5WfKNVSDMwfDXmDOMGao/edit?gid=410167636#gid=410167636"",""beam!f1"")"),"BEAM")</f>
        <v>BEAM</v>
      </c>
      <c r="E286" s="50">
        <v>0.0</v>
      </c>
      <c r="F286" s="51">
        <f>IFERROR(__xludf.DUMMYFUNCTION("""COMPUTED_VALUE"""),7445.0)</f>
        <v>7445</v>
      </c>
      <c r="G286" s="52">
        <f t="shared" si="9"/>
        <v>7445</v>
      </c>
      <c r="H286" s="52">
        <f t="shared" si="10"/>
        <v>12656.5</v>
      </c>
      <c r="I286" s="53">
        <f t="shared" si="11"/>
        <v>0.7</v>
      </c>
      <c r="J286" s="12"/>
      <c r="K286" s="1"/>
      <c r="L286" s="1"/>
      <c r="M286" s="1"/>
      <c r="N286" s="1"/>
      <c r="O286" s="1"/>
      <c r="P286" s="1"/>
      <c r="Q286" s="1"/>
      <c r="R286" s="1"/>
      <c r="S286" s="1"/>
      <c r="T286" s="1"/>
      <c r="U286" s="1"/>
      <c r="V286" s="1"/>
      <c r="W286" s="1"/>
      <c r="X286" s="1"/>
      <c r="Y286" s="1"/>
      <c r="Z286" s="1"/>
    </row>
    <row r="287">
      <c r="A287" s="1"/>
      <c r="B287" s="1"/>
      <c r="C287" s="63" t="str">
        <f>IFERROR(__xludf.DUMMYFUNCTION("""COMPUTED_VALUE"""),"CENTRAL IVD660 + KIT PREMIUM MANGUEIRA DE 9M       
Dimensões(cm) 49,4X26,7  / AirWatts 660/ Motor 1.600W")</f>
        <v>CENTRAL IVD660 + KIT PREMIUM MANGUEIRA DE 9M       
Dimensões(cm) 49,4X26,7  / AirWatts 660/ Motor 1.600W</v>
      </c>
      <c r="D287" s="64" t="str">
        <f>IFERROR(__xludf.DUMMYFUNCTION("IMPORTRANGE(""https://docs.google.com/spreadsheets/d/1GMOWcUb26jVTosRt5EqlFYb5WfKNVSDMwfDXmDOMGao/edit?gid=410167636#gid=410167636"",""beam!f1"")"),"BEAM")</f>
        <v>BEAM</v>
      </c>
      <c r="E287" s="56">
        <v>0.0</v>
      </c>
      <c r="F287" s="57">
        <f>IFERROR(__xludf.DUMMYFUNCTION("""COMPUTED_VALUE"""),8225.0)</f>
        <v>8225</v>
      </c>
      <c r="G287" s="58">
        <f t="shared" si="9"/>
        <v>8225</v>
      </c>
      <c r="H287" s="58">
        <f t="shared" si="10"/>
        <v>13982.5</v>
      </c>
      <c r="I287" s="59">
        <f t="shared" si="11"/>
        <v>0.7</v>
      </c>
      <c r="J287" s="12"/>
      <c r="K287" s="1"/>
      <c r="L287" s="1"/>
      <c r="M287" s="1"/>
      <c r="N287" s="1"/>
      <c r="O287" s="1"/>
      <c r="P287" s="1"/>
      <c r="Q287" s="1"/>
      <c r="R287" s="1"/>
      <c r="S287" s="1"/>
      <c r="T287" s="1"/>
      <c r="U287" s="1"/>
      <c r="V287" s="1"/>
      <c r="W287" s="1"/>
      <c r="X287" s="1"/>
      <c r="Y287" s="1"/>
      <c r="Z287" s="1"/>
    </row>
    <row r="288">
      <c r="A288" s="1"/>
      <c r="B288" s="1"/>
      <c r="C288" s="60" t="str">
        <f>IFERROR(__xludf.DUMMYFUNCTION("""COMPUTED_VALUE"""),"CENTRAL IVD660 + KIT DE ACESSÓRIOS PREMIUM MANGUEIRA 11M Dimensões(cm) 49,4X26,7  / AirWatts 660/ Motor 1.600W")</f>
        <v>CENTRAL IVD660 + KIT DE ACESSÓRIOS PREMIUM MANGUEIRA 11M Dimensões(cm) 49,4X26,7  / AirWatts 660/ Motor 1.600W</v>
      </c>
      <c r="D288" s="61" t="str">
        <f>IFERROR(__xludf.DUMMYFUNCTION("IMPORTRANGE(""https://docs.google.com/spreadsheets/d/1GMOWcUb26jVTosRt5EqlFYb5WfKNVSDMwfDXmDOMGao/edit?gid=410167636#gid=410167636"",""beam!f1"")"),"BEAM")</f>
        <v>BEAM</v>
      </c>
      <c r="E288" s="50">
        <v>0.0</v>
      </c>
      <c r="F288" s="51">
        <f>IFERROR(__xludf.DUMMYFUNCTION("""COMPUTED_VALUE"""),8420.0)</f>
        <v>8420</v>
      </c>
      <c r="G288" s="52">
        <f t="shared" si="9"/>
        <v>8420</v>
      </c>
      <c r="H288" s="52">
        <f t="shared" si="10"/>
        <v>14314</v>
      </c>
      <c r="I288" s="53">
        <f t="shared" si="11"/>
        <v>0.7</v>
      </c>
      <c r="J288" s="12"/>
      <c r="K288" s="1"/>
      <c r="L288" s="1"/>
      <c r="M288" s="1"/>
      <c r="N288" s="1"/>
      <c r="O288" s="1"/>
      <c r="P288" s="1"/>
      <c r="Q288" s="1"/>
      <c r="R288" s="1"/>
      <c r="S288" s="1"/>
      <c r="T288" s="1"/>
      <c r="U288" s="1"/>
      <c r="V288" s="1"/>
      <c r="W288" s="1"/>
      <c r="X288" s="1"/>
      <c r="Y288" s="1"/>
      <c r="Z288" s="1"/>
    </row>
    <row r="289">
      <c r="A289" s="1"/>
      <c r="B289" s="1"/>
      <c r="C289" s="63" t="str">
        <f>IFERROR(__xludf.DUMMYFUNCTION("""COMPUTED_VALUE"""),"CENTRAL RMD220 + KIT DE ACESSÓRIOS STANDARD Dimensões(cm) 46,1X24,3X10 / AirWatts 400 / Motor 1.200W / Instalação (Vertical e Horizontal)")</f>
        <v>CENTRAL RMD220 + KIT DE ACESSÓRIOS STANDARD Dimensões(cm) 46,1X24,3X10 / AirWatts 400 / Motor 1.200W / Instalação (Vertical e Horizontal)</v>
      </c>
      <c r="D289" s="64" t="str">
        <f>IFERROR(__xludf.DUMMYFUNCTION("IMPORTRANGE(""https://docs.google.com/spreadsheets/d/1GMOWcUb26jVTosRt5EqlFYb5WfKNVSDMwfDXmDOMGao/edit?gid=410167636#gid=410167636"",""beam!f1"")"),"BEAM")</f>
        <v>BEAM</v>
      </c>
      <c r="E289" s="56">
        <v>0.0</v>
      </c>
      <c r="F289" s="57">
        <f>IFERROR(__xludf.DUMMYFUNCTION("""COMPUTED_VALUE"""),6540.0)</f>
        <v>6540</v>
      </c>
      <c r="G289" s="58">
        <f t="shared" si="9"/>
        <v>6540</v>
      </c>
      <c r="H289" s="58">
        <f t="shared" si="10"/>
        <v>11118</v>
      </c>
      <c r="I289" s="59">
        <f t="shared" si="11"/>
        <v>0.7</v>
      </c>
      <c r="J289" s="12"/>
      <c r="K289" s="1"/>
      <c r="L289" s="1"/>
      <c r="M289" s="1"/>
      <c r="N289" s="1"/>
      <c r="O289" s="1"/>
      <c r="P289" s="1"/>
      <c r="Q289" s="1"/>
      <c r="R289" s="1"/>
      <c r="S289" s="1"/>
      <c r="T289" s="1"/>
      <c r="U289" s="1"/>
      <c r="V289" s="1"/>
      <c r="W289" s="1"/>
      <c r="X289" s="1"/>
      <c r="Y289" s="1"/>
      <c r="Z289" s="1"/>
    </row>
    <row r="290">
      <c r="A290" s="1"/>
      <c r="B290" s="1"/>
      <c r="C290" s="60" t="str">
        <f>IFERROR(__xludf.DUMMYFUNCTION("""COMPUTED_VALUE"""),"CENTRAL RMD220 + KIT DE ACESSÓRIOS + FILTROS EXTRAS Dimensões(cm) 46,1X24,3X10 / AirWatts 400 / Motor 1.200W / Instalação (Vertical e Horizontal)")</f>
        <v>CENTRAL RMD220 + KIT DE ACESSÓRIOS + FILTROS EXTRAS Dimensões(cm) 46,1X24,3X10 / AirWatts 400 / Motor 1.200W / Instalação (Vertical e Horizontal)</v>
      </c>
      <c r="D290" s="61" t="str">
        <f>IFERROR(__xludf.DUMMYFUNCTION("IMPORTRANGE(""https://docs.google.com/spreadsheets/d/1GMOWcUb26jVTosRt5EqlFYb5WfKNVSDMwfDXmDOMGao/edit?gid=410167636#gid=410167636"",""beam!f1"")"),"BEAM")</f>
        <v>BEAM</v>
      </c>
      <c r="E290" s="50">
        <v>0.0</v>
      </c>
      <c r="F290" s="51">
        <f>IFERROR(__xludf.DUMMYFUNCTION("""COMPUTED_VALUE"""),6860.0)</f>
        <v>6860</v>
      </c>
      <c r="G290" s="52">
        <f t="shared" si="9"/>
        <v>6860</v>
      </c>
      <c r="H290" s="52">
        <f t="shared" si="10"/>
        <v>11662</v>
      </c>
      <c r="I290" s="53">
        <f t="shared" si="11"/>
        <v>0.7</v>
      </c>
      <c r="J290" s="12"/>
      <c r="K290" s="1"/>
      <c r="L290" s="1"/>
      <c r="M290" s="1"/>
      <c r="N290" s="1"/>
      <c r="O290" s="1"/>
      <c r="P290" s="1"/>
      <c r="Q290" s="1"/>
      <c r="R290" s="1"/>
      <c r="S290" s="1"/>
      <c r="T290" s="1"/>
      <c r="U290" s="1"/>
      <c r="V290" s="1"/>
      <c r="W290" s="1"/>
      <c r="X290" s="1"/>
      <c r="Y290" s="1"/>
      <c r="Z290" s="1"/>
    </row>
    <row r="291">
      <c r="A291" s="1"/>
      <c r="B291" s="1"/>
      <c r="C291" s="63" t="str">
        <f>IFERROR(__xludf.DUMMYFUNCTION("""COMPUTED_VALUE"""),"CENTRAL  CSRM+ KIT DE ACESSÓRIOS STANDARD Super Compacta / AirWatts 400/ Motor 1.200W")</f>
        <v>CENTRAL  CSRM+ KIT DE ACESSÓRIOS STANDARD Super Compacta / AirWatts 400/ Motor 1.200W</v>
      </c>
      <c r="D291" s="64" t="str">
        <f>IFERROR(__xludf.DUMMYFUNCTION("IMPORTRANGE(""https://docs.google.com/spreadsheets/d/1GMOWcUb26jVTosRt5EqlFYb5WfKNVSDMwfDXmDOMGao/edit?gid=410167636#gid=410167636"",""beam!f1"")"),"BEAM")</f>
        <v>BEAM</v>
      </c>
      <c r="E291" s="56">
        <v>0.0</v>
      </c>
      <c r="F291" s="57">
        <f>IFERROR(__xludf.DUMMYFUNCTION("""COMPUTED_VALUE"""),6425.0)</f>
        <v>6425</v>
      </c>
      <c r="G291" s="58">
        <f t="shared" si="9"/>
        <v>6425</v>
      </c>
      <c r="H291" s="58">
        <f t="shared" si="10"/>
        <v>10922.5</v>
      </c>
      <c r="I291" s="59">
        <f t="shared" si="11"/>
        <v>0.7</v>
      </c>
      <c r="J291" s="12"/>
      <c r="K291" s="1"/>
      <c r="L291" s="1"/>
      <c r="M291" s="1"/>
      <c r="N291" s="1"/>
      <c r="O291" s="1"/>
      <c r="P291" s="1"/>
      <c r="Q291" s="1"/>
      <c r="R291" s="1"/>
      <c r="S291" s="1"/>
      <c r="T291" s="1"/>
      <c r="U291" s="1"/>
      <c r="V291" s="1"/>
      <c r="W291" s="1"/>
      <c r="X291" s="1"/>
      <c r="Y291" s="1"/>
      <c r="Z291" s="1"/>
    </row>
    <row r="292">
      <c r="A292" s="1"/>
      <c r="B292" s="1"/>
      <c r="C292" s="60" t="str">
        <f>IFERROR(__xludf.DUMMYFUNCTION("""COMPUTED_VALUE"""),"CENTRAL  CSRM+ KIT DE ACESSÓRIOS
Super Compacta / AirWatts 400/ Motor 1.200W")</f>
        <v>CENTRAL  CSRM+ KIT DE ACESSÓRIOS
Super Compacta / AirWatts 400/ Motor 1.200W</v>
      </c>
      <c r="D292" s="61" t="str">
        <f>IFERROR(__xludf.DUMMYFUNCTION("IMPORTRANGE(""https://docs.google.com/spreadsheets/d/1GMOWcUb26jVTosRt5EqlFYb5WfKNVSDMwfDXmDOMGao/edit?gid=410167636#gid=410167636"",""beam!f1"")"),"BEAM")</f>
        <v>BEAM</v>
      </c>
      <c r="E292" s="50">
        <v>0.0</v>
      </c>
      <c r="F292" s="51">
        <f>IFERROR(__xludf.DUMMYFUNCTION("""COMPUTED_VALUE"""),6690.0)</f>
        <v>6690</v>
      </c>
      <c r="G292" s="52">
        <f t="shared" si="9"/>
        <v>6690</v>
      </c>
      <c r="H292" s="52">
        <f t="shared" si="10"/>
        <v>11373</v>
      </c>
      <c r="I292" s="53">
        <f t="shared" si="11"/>
        <v>0.7</v>
      </c>
      <c r="J292" s="12"/>
      <c r="K292" s="1"/>
      <c r="L292" s="1"/>
      <c r="M292" s="1"/>
      <c r="N292" s="1"/>
      <c r="O292" s="1"/>
      <c r="P292" s="1"/>
      <c r="Q292" s="1"/>
      <c r="R292" s="1"/>
      <c r="S292" s="1"/>
      <c r="T292" s="1"/>
      <c r="U292" s="1"/>
      <c r="V292" s="1"/>
      <c r="W292" s="1"/>
      <c r="X292" s="1"/>
      <c r="Y292" s="1"/>
      <c r="Z292" s="1"/>
    </row>
    <row r="293">
      <c r="A293" s="1"/>
      <c r="B293" s="1"/>
      <c r="C293" s="63" t="str">
        <f>IFERROR(__xludf.DUMMYFUNCTION("""COMPUTED_VALUE"""),"CENTRAL BM 285EA  + KIT DE ACESSÓRIOS STANDARD MANG. 9 METROS Dimensões(cm) 92x28 / 605 AirWatts- Filtro Permanente AutoLimpante - 1.600W")</f>
        <v>CENTRAL BM 285EA  + KIT DE ACESSÓRIOS STANDARD MANG. 9 METROS Dimensões(cm) 92x28 / 605 AirWatts- Filtro Permanente AutoLimpante - 1.600W</v>
      </c>
      <c r="D293" s="64" t="str">
        <f>IFERROR(__xludf.DUMMYFUNCTION("IMPORTRANGE(""https://docs.google.com/spreadsheets/d/1GMOWcUb26jVTosRt5EqlFYb5WfKNVSDMwfDXmDOMGao/edit?gid=410167636#gid=410167636"",""beam!f1"")"),"BEAM")</f>
        <v>BEAM</v>
      </c>
      <c r="E293" s="56">
        <v>0.0</v>
      </c>
      <c r="F293" s="57">
        <f>IFERROR(__xludf.DUMMYFUNCTION("""COMPUTED_VALUE"""),11850.0)</f>
        <v>11850</v>
      </c>
      <c r="G293" s="58">
        <f t="shared" si="9"/>
        <v>11850</v>
      </c>
      <c r="H293" s="58">
        <f t="shared" si="10"/>
        <v>20145</v>
      </c>
      <c r="I293" s="59">
        <f t="shared" si="11"/>
        <v>0.7</v>
      </c>
      <c r="J293" s="12"/>
      <c r="K293" s="1"/>
      <c r="L293" s="1"/>
      <c r="M293" s="1"/>
      <c r="N293" s="1"/>
      <c r="O293" s="1"/>
      <c r="P293" s="1"/>
      <c r="Q293" s="1"/>
      <c r="R293" s="1"/>
      <c r="S293" s="1"/>
      <c r="T293" s="1"/>
      <c r="U293" s="1"/>
      <c r="V293" s="1"/>
      <c r="W293" s="1"/>
      <c r="X293" s="1"/>
      <c r="Y293" s="1"/>
      <c r="Z293" s="1"/>
    </row>
    <row r="294">
      <c r="A294" s="1"/>
      <c r="B294" s="1"/>
      <c r="C294" s="60" t="str">
        <f>IFERROR(__xludf.DUMMYFUNCTION("""COMPUTED_VALUE"""),"CENTRAL BM 285EA  + KIT DE ACESSÓRIOS STANDARD MANG. 11 METROS Dimensões(cm) 92x28 / 605 AirWatts- Filtro Permanente AutoLimpante - 1.600W")</f>
        <v>CENTRAL BM 285EA  + KIT DE ACESSÓRIOS STANDARD MANG. 11 METROS Dimensões(cm) 92x28 / 605 AirWatts- Filtro Permanente AutoLimpante - 1.600W</v>
      </c>
      <c r="D294" s="61" t="str">
        <f>IFERROR(__xludf.DUMMYFUNCTION("IMPORTRANGE(""https://docs.google.com/spreadsheets/d/1GMOWcUb26jVTosRt5EqlFYb5WfKNVSDMwfDXmDOMGao/edit?gid=410167636#gid=410167636"",""beam!f1"")"),"BEAM")</f>
        <v>BEAM</v>
      </c>
      <c r="E294" s="50">
        <v>0.0</v>
      </c>
      <c r="F294" s="51">
        <f>IFERROR(__xludf.DUMMYFUNCTION("""COMPUTED_VALUE"""),12145.0)</f>
        <v>12145</v>
      </c>
      <c r="G294" s="52">
        <f t="shared" si="9"/>
        <v>12145</v>
      </c>
      <c r="H294" s="52">
        <f t="shared" si="10"/>
        <v>20646.5</v>
      </c>
      <c r="I294" s="53">
        <f t="shared" si="11"/>
        <v>0.7</v>
      </c>
      <c r="J294" s="12"/>
      <c r="K294" s="1"/>
      <c r="L294" s="1"/>
      <c r="M294" s="1"/>
      <c r="N294" s="1"/>
      <c r="O294" s="1"/>
      <c r="P294" s="1"/>
      <c r="Q294" s="1"/>
      <c r="R294" s="1"/>
      <c r="S294" s="1"/>
      <c r="T294" s="1"/>
      <c r="U294" s="1"/>
      <c r="V294" s="1"/>
      <c r="W294" s="1"/>
      <c r="X294" s="1"/>
      <c r="Y294" s="1"/>
      <c r="Z294" s="1"/>
    </row>
    <row r="295">
      <c r="A295" s="1"/>
      <c r="B295" s="1"/>
      <c r="C295" s="63" t="str">
        <f>IFERROR(__xludf.DUMMYFUNCTION("""COMPUTED_VALUE"""),"CENTRAL BM 285EA  + KIT DE ACESSÓRIOS PREMIUM MANG. 9 METROS Dimensões(cm) 92x28 / 605 AirWatts- Filtro Permanente AutoLimpante - 1.600W")</f>
        <v>CENTRAL BM 285EA  + KIT DE ACESSÓRIOS PREMIUM MANG. 9 METROS Dimensões(cm) 92x28 / 605 AirWatts- Filtro Permanente AutoLimpante - 1.600W</v>
      </c>
      <c r="D295" s="64" t="str">
        <f>IFERROR(__xludf.DUMMYFUNCTION("IMPORTRANGE(""https://docs.google.com/spreadsheets/d/1GMOWcUb26jVTosRt5EqlFYb5WfKNVSDMwfDXmDOMGao/edit?gid=410167636#gid=410167636"",""beam!f1"")"),"BEAM")</f>
        <v>BEAM</v>
      </c>
      <c r="E295" s="56">
        <v>0.0</v>
      </c>
      <c r="F295" s="57">
        <f>IFERROR(__xludf.DUMMYFUNCTION("""COMPUTED_VALUE"""),13555.0)</f>
        <v>13555</v>
      </c>
      <c r="G295" s="58">
        <f t="shared" si="9"/>
        <v>13555</v>
      </c>
      <c r="H295" s="58">
        <f t="shared" si="10"/>
        <v>23043.5</v>
      </c>
      <c r="I295" s="59">
        <f t="shared" si="11"/>
        <v>0.7</v>
      </c>
      <c r="J295" s="12"/>
      <c r="K295" s="1"/>
      <c r="L295" s="1"/>
      <c r="M295" s="1"/>
      <c r="N295" s="1"/>
      <c r="O295" s="1"/>
      <c r="P295" s="1"/>
      <c r="Q295" s="1"/>
      <c r="R295" s="1"/>
      <c r="S295" s="1"/>
      <c r="T295" s="1"/>
      <c r="U295" s="1"/>
      <c r="V295" s="1"/>
      <c r="W295" s="1"/>
      <c r="X295" s="1"/>
      <c r="Y295" s="1"/>
      <c r="Z295" s="1"/>
    </row>
    <row r="296">
      <c r="A296" s="1"/>
      <c r="B296" s="1"/>
      <c r="C296" s="60" t="str">
        <f>IFERROR(__xludf.DUMMYFUNCTION("""COMPUTED_VALUE"""),"CENTRAL BM 285EA  + KIT DE ACESSÓRIOS PREMIUM MANG. 11 METROS Dimensões(cm) 92x28 / 605 AirWatts- Filtro Permanente AutoLimpante - 1.600W")</f>
        <v>CENTRAL BM 285EA  + KIT DE ACESSÓRIOS PREMIUM MANG. 11 METROS Dimensões(cm) 92x28 / 605 AirWatts- Filtro Permanente AutoLimpante - 1.600W</v>
      </c>
      <c r="D296" s="61" t="str">
        <f>IFERROR(__xludf.DUMMYFUNCTION("IMPORTRANGE(""https://docs.google.com/spreadsheets/d/1GMOWcUb26jVTosRt5EqlFYb5WfKNVSDMwfDXmDOMGao/edit?gid=410167636#gid=410167636"",""beam!f1"")"),"BEAM")</f>
        <v>BEAM</v>
      </c>
      <c r="E296" s="50">
        <v>0.0</v>
      </c>
      <c r="F296" s="51">
        <f>IFERROR(__xludf.DUMMYFUNCTION("""COMPUTED_VALUE"""),13610.0)</f>
        <v>13610</v>
      </c>
      <c r="G296" s="52">
        <f t="shared" si="9"/>
        <v>13610</v>
      </c>
      <c r="H296" s="52">
        <f t="shared" si="10"/>
        <v>23137</v>
      </c>
      <c r="I296" s="53">
        <f t="shared" si="11"/>
        <v>0.7</v>
      </c>
      <c r="J296" s="12"/>
      <c r="K296" s="1"/>
      <c r="L296" s="1"/>
      <c r="M296" s="1"/>
      <c r="N296" s="1"/>
      <c r="O296" s="1"/>
      <c r="P296" s="1"/>
      <c r="Q296" s="1"/>
      <c r="R296" s="1"/>
      <c r="S296" s="1"/>
      <c r="T296" s="1"/>
      <c r="U296" s="1"/>
      <c r="V296" s="1"/>
      <c r="W296" s="1"/>
      <c r="X296" s="1"/>
      <c r="Y296" s="1"/>
      <c r="Z296" s="1"/>
    </row>
    <row r="297">
      <c r="A297" s="1"/>
      <c r="B297" s="1"/>
      <c r="C297" s="63" t="str">
        <f>IFERROR(__xludf.DUMMYFUNCTION("""COMPUTED_VALUE"""),"CENTRAL DE ASPIRACAO BM 265EA + KIT STAND. MANG. 9M Dimensões(cm) 63X28  / 605 AirWatts  - Filtro Descartável - 1.600W")</f>
        <v>CENTRAL DE ASPIRACAO BM 265EA + KIT STAND. MANG. 9M Dimensões(cm) 63X28  / 605 AirWatts  - Filtro Descartável - 1.600W</v>
      </c>
      <c r="D297" s="64" t="str">
        <f>IFERROR(__xludf.DUMMYFUNCTION("IMPORTRANGE(""https://docs.google.com/spreadsheets/d/1GMOWcUb26jVTosRt5EqlFYb5WfKNVSDMwfDXmDOMGao/edit?gid=410167636#gid=410167636"",""beam!f1"")"),"BEAM")</f>
        <v>BEAM</v>
      </c>
      <c r="E297" s="56">
        <v>0.0</v>
      </c>
      <c r="F297" s="57">
        <f>IFERROR(__xludf.DUMMYFUNCTION("""COMPUTED_VALUE"""),9300.0)</f>
        <v>9300</v>
      </c>
      <c r="G297" s="58">
        <f t="shared" si="9"/>
        <v>9300</v>
      </c>
      <c r="H297" s="58">
        <f t="shared" si="10"/>
        <v>15810</v>
      </c>
      <c r="I297" s="59">
        <f t="shared" si="11"/>
        <v>0.7</v>
      </c>
      <c r="J297" s="12"/>
      <c r="K297" s="1"/>
      <c r="L297" s="1"/>
      <c r="M297" s="1"/>
      <c r="N297" s="1"/>
      <c r="O297" s="1"/>
      <c r="P297" s="1"/>
      <c r="Q297" s="1"/>
      <c r="R297" s="1"/>
      <c r="S297" s="1"/>
      <c r="T297" s="1"/>
      <c r="U297" s="1"/>
      <c r="V297" s="1"/>
      <c r="W297" s="1"/>
      <c r="X297" s="1"/>
      <c r="Y297" s="1"/>
      <c r="Z297" s="1"/>
    </row>
    <row r="298">
      <c r="A298" s="1"/>
      <c r="B298" s="1"/>
      <c r="C298" s="60" t="str">
        <f>IFERROR(__xludf.DUMMYFUNCTION("""COMPUTED_VALUE"""),"CENTRAL DE ASPIRACAO BM 265EA + KIT STAND. MANG. 11M Dimensões(cm) 63X28  / 605 AirWatts  - Filtro Descartável - 1.600W")</f>
        <v>CENTRAL DE ASPIRACAO BM 265EA + KIT STAND. MANG. 11M Dimensões(cm) 63X28  / 605 AirWatts  - Filtro Descartável - 1.600W</v>
      </c>
      <c r="D298" s="61" t="str">
        <f>IFERROR(__xludf.DUMMYFUNCTION("IMPORTRANGE(""https://docs.google.com/spreadsheets/d/1GMOWcUb26jVTosRt5EqlFYb5WfKNVSDMwfDXmDOMGao/edit?gid=410167636#gid=410167636"",""beam!f1"")"),"BEAM")</f>
        <v>BEAM</v>
      </c>
      <c r="E298" s="50">
        <v>0.0</v>
      </c>
      <c r="F298" s="51">
        <f>IFERROR(__xludf.DUMMYFUNCTION("""COMPUTED_VALUE"""),9595.0)</f>
        <v>9595</v>
      </c>
      <c r="G298" s="52">
        <f t="shared" si="9"/>
        <v>9595</v>
      </c>
      <c r="H298" s="52">
        <f t="shared" si="10"/>
        <v>16311.5</v>
      </c>
      <c r="I298" s="53">
        <f t="shared" si="11"/>
        <v>0.7</v>
      </c>
      <c r="J298" s="12"/>
      <c r="K298" s="1"/>
      <c r="L298" s="1"/>
      <c r="M298" s="1"/>
      <c r="N298" s="1"/>
      <c r="O298" s="1"/>
      <c r="P298" s="1"/>
      <c r="Q298" s="1"/>
      <c r="R298" s="1"/>
      <c r="S298" s="1"/>
      <c r="T298" s="1"/>
      <c r="U298" s="1"/>
      <c r="V298" s="1"/>
      <c r="W298" s="1"/>
      <c r="X298" s="1"/>
      <c r="Y298" s="1"/>
      <c r="Z298" s="1"/>
    </row>
    <row r="299">
      <c r="A299" s="1"/>
      <c r="B299" s="1"/>
      <c r="C299" s="63" t="str">
        <f>IFERROR(__xludf.DUMMYFUNCTION("""COMPUTED_VALUE"""),"CENTRAL DE ASPIRACAO BM 265EA + KIT PREMIUM. MANG. 9M Dimensões(cm) 63X28  / 605 AirWatts  - Filtro Descartável - 1.600W")</f>
        <v>CENTRAL DE ASPIRACAO BM 265EA + KIT PREMIUM. MANG. 9M Dimensões(cm) 63X28  / 605 AirWatts  - Filtro Descartável - 1.600W</v>
      </c>
      <c r="D299" s="64" t="str">
        <f>IFERROR(__xludf.DUMMYFUNCTION("IMPORTRANGE(""https://docs.google.com/spreadsheets/d/1GMOWcUb26jVTosRt5EqlFYb5WfKNVSDMwfDXmDOMGao/edit?gid=410167636#gid=410167636"",""beam!f1"")"),"BEAM")</f>
        <v>BEAM</v>
      </c>
      <c r="E299" s="56">
        <v>0.0</v>
      </c>
      <c r="F299" s="57">
        <f>IFERROR(__xludf.DUMMYFUNCTION("""COMPUTED_VALUE"""),11175.0)</f>
        <v>11175</v>
      </c>
      <c r="G299" s="58">
        <f t="shared" si="9"/>
        <v>11175</v>
      </c>
      <c r="H299" s="58">
        <f t="shared" si="10"/>
        <v>18997.5</v>
      </c>
      <c r="I299" s="59">
        <f t="shared" si="11"/>
        <v>0.7</v>
      </c>
      <c r="J299" s="12"/>
      <c r="K299" s="1"/>
      <c r="L299" s="1"/>
      <c r="M299" s="1"/>
      <c r="N299" s="1"/>
      <c r="O299" s="1"/>
      <c r="P299" s="1"/>
      <c r="Q299" s="1"/>
      <c r="R299" s="1"/>
      <c r="S299" s="1"/>
      <c r="T299" s="1"/>
      <c r="U299" s="1"/>
      <c r="V299" s="1"/>
      <c r="W299" s="1"/>
      <c r="X299" s="1"/>
      <c r="Y299" s="1"/>
      <c r="Z299" s="1"/>
    </row>
    <row r="300">
      <c r="A300" s="1"/>
      <c r="B300" s="1"/>
      <c r="C300" s="60" t="str">
        <f>IFERROR(__xludf.DUMMYFUNCTION("""COMPUTED_VALUE"""),"CENTRAL DE ASPIRACAO BM 265EA + KIT PREMIUM. MANG. 11M Dimensões(cm) 63X28  / 605 AirWatts  - Filtro Descartável - 1.600W")</f>
        <v>CENTRAL DE ASPIRACAO BM 265EA + KIT PREMIUM. MANG. 11M Dimensões(cm) 63X28  / 605 AirWatts  - Filtro Descartável - 1.600W</v>
      </c>
      <c r="D300" s="61" t="str">
        <f>IFERROR(__xludf.DUMMYFUNCTION("IMPORTRANGE(""https://docs.google.com/spreadsheets/d/1GMOWcUb26jVTosRt5EqlFYb5WfKNVSDMwfDXmDOMGao/edit?gid=410167636#gid=410167636"",""beam!f1"")"),"BEAM")</f>
        <v>BEAM</v>
      </c>
      <c r="E300" s="50">
        <v>0.0</v>
      </c>
      <c r="F300" s="51">
        <f>IFERROR(__xludf.DUMMYFUNCTION("""COMPUTED_VALUE"""),11290.0)</f>
        <v>11290</v>
      </c>
      <c r="G300" s="52">
        <f t="shared" si="9"/>
        <v>11290</v>
      </c>
      <c r="H300" s="52">
        <f t="shared" si="10"/>
        <v>19193</v>
      </c>
      <c r="I300" s="53">
        <f t="shared" si="11"/>
        <v>0.7</v>
      </c>
      <c r="J300" s="12"/>
      <c r="K300" s="1"/>
      <c r="L300" s="1"/>
      <c r="M300" s="1"/>
      <c r="N300" s="1"/>
      <c r="O300" s="1"/>
      <c r="P300" s="1"/>
      <c r="Q300" s="1"/>
      <c r="R300" s="1"/>
      <c r="S300" s="1"/>
      <c r="T300" s="1"/>
      <c r="U300" s="1"/>
      <c r="V300" s="1"/>
      <c r="W300" s="1"/>
      <c r="X300" s="1"/>
      <c r="Y300" s="1"/>
      <c r="Z300" s="1"/>
    </row>
    <row r="301">
      <c r="A301" s="1"/>
      <c r="B301" s="1"/>
      <c r="C301" s="63" t="str">
        <f>IFERROR(__xludf.DUMMYFUNCTION("""COMPUTED_VALUE"""),"CENTRAL SC335EA + KIT DE ACESSÓRIOS MANG. 9M
Dimensões(cm) 89x28 / 590 AirWatts-Filtro Permanente AutoLimpante - 1.750W")</f>
        <v>CENTRAL SC335EA + KIT DE ACESSÓRIOS MANG. 9M
Dimensões(cm) 89x28 / 590 AirWatts-Filtro Permanente AutoLimpante - 1.750W</v>
      </c>
      <c r="D301" s="64" t="str">
        <f>IFERROR(__xludf.DUMMYFUNCTION("IMPORTRANGE(""https://docs.google.com/spreadsheets/d/1GMOWcUb26jVTosRt5EqlFYb5WfKNVSDMwfDXmDOMGao/edit?gid=410167636#gid=410167636"",""beam!f1"")"),"BEAM")</f>
        <v>BEAM</v>
      </c>
      <c r="E301" s="56">
        <v>0.0</v>
      </c>
      <c r="F301" s="57">
        <f>IFERROR(__xludf.DUMMYFUNCTION("""COMPUTED_VALUE"""),16264.0)</f>
        <v>16264</v>
      </c>
      <c r="G301" s="58">
        <f t="shared" si="9"/>
        <v>16264</v>
      </c>
      <c r="H301" s="58">
        <f t="shared" si="10"/>
        <v>27648.8</v>
      </c>
      <c r="I301" s="59">
        <f t="shared" si="11"/>
        <v>0.7</v>
      </c>
      <c r="J301" s="12"/>
      <c r="K301" s="1"/>
      <c r="L301" s="1"/>
      <c r="M301" s="1"/>
      <c r="N301" s="1"/>
      <c r="O301" s="1"/>
      <c r="P301" s="1"/>
      <c r="Q301" s="1"/>
      <c r="R301" s="1"/>
      <c r="S301" s="1"/>
      <c r="T301" s="1"/>
      <c r="U301" s="1"/>
      <c r="V301" s="1"/>
      <c r="W301" s="1"/>
      <c r="X301" s="1"/>
      <c r="Y301" s="1"/>
      <c r="Z301" s="1"/>
    </row>
    <row r="302">
      <c r="A302" s="1"/>
      <c r="B302" s="1"/>
      <c r="C302" s="60" t="str">
        <f>IFERROR(__xludf.DUMMYFUNCTION("""COMPUTED_VALUE"""),"CENTRAL SC335EA + KIT DE ACESSÓRIOS MANG. 11M
Dimensões(cm) 89x28 / 590 AirWatts-Filtro Permanente AutoLimpante - 1.750W")</f>
        <v>CENTRAL SC335EA + KIT DE ACESSÓRIOS MANG. 11M
Dimensões(cm) 89x28 / 590 AirWatts-Filtro Permanente AutoLimpante - 1.750W</v>
      </c>
      <c r="D302" s="61" t="str">
        <f>IFERROR(__xludf.DUMMYFUNCTION("IMPORTRANGE(""https://docs.google.com/spreadsheets/d/1GMOWcUb26jVTosRt5EqlFYb5WfKNVSDMwfDXmDOMGao/edit?gid=410167636#gid=410167636"",""beam!f1"")"),"BEAM")</f>
        <v>BEAM</v>
      </c>
      <c r="E302" s="50">
        <v>0.0</v>
      </c>
      <c r="F302" s="51">
        <f>IFERROR(__xludf.DUMMYFUNCTION("""COMPUTED_VALUE"""),16313.0)</f>
        <v>16313</v>
      </c>
      <c r="G302" s="52">
        <f t="shared" si="9"/>
        <v>16313</v>
      </c>
      <c r="H302" s="52">
        <f t="shared" si="10"/>
        <v>27732.1</v>
      </c>
      <c r="I302" s="53">
        <f t="shared" si="11"/>
        <v>0.7</v>
      </c>
      <c r="J302" s="12"/>
      <c r="K302" s="1"/>
      <c r="L302" s="1"/>
      <c r="M302" s="1"/>
      <c r="N302" s="1"/>
      <c r="O302" s="1"/>
      <c r="P302" s="1"/>
      <c r="Q302" s="1"/>
      <c r="R302" s="1"/>
      <c r="S302" s="1"/>
      <c r="T302" s="1"/>
      <c r="U302" s="1"/>
      <c r="V302" s="1"/>
      <c r="W302" s="1"/>
      <c r="X302" s="1"/>
      <c r="Y302" s="1"/>
      <c r="Z302" s="1"/>
    </row>
    <row r="303">
      <c r="A303" s="1"/>
      <c r="B303" s="1"/>
      <c r="C303" s="63" t="str">
        <f>IFERROR(__xludf.DUMMYFUNCTION("""COMPUTED_VALUE"""),"CENTRAL SC385EA + KIT DE ACESSÓRIOS MANG. 9M Dimensões(cm) 106,5x28 / 670 AirWatts-Filtro Permanente AutoLimpante - 1.800W")</f>
        <v>CENTRAL SC385EA + KIT DE ACESSÓRIOS MANG. 9M Dimensões(cm) 106,5x28 / 670 AirWatts-Filtro Permanente AutoLimpante - 1.800W</v>
      </c>
      <c r="D303" s="64" t="str">
        <f>IFERROR(__xludf.DUMMYFUNCTION("IMPORTRANGE(""https://docs.google.com/spreadsheets/d/1GMOWcUb26jVTosRt5EqlFYb5WfKNVSDMwfDXmDOMGao/edit?gid=410167636#gid=410167636"",""beam!f1"")"),"BEAM")</f>
        <v>BEAM</v>
      </c>
      <c r="E303" s="56">
        <v>0.0</v>
      </c>
      <c r="F303" s="57">
        <f>IFERROR(__xludf.DUMMYFUNCTION("""COMPUTED_VALUE"""),21126.0)</f>
        <v>21126</v>
      </c>
      <c r="G303" s="58">
        <f t="shared" si="9"/>
        <v>21126</v>
      </c>
      <c r="H303" s="58">
        <f t="shared" si="10"/>
        <v>35914.2</v>
      </c>
      <c r="I303" s="59">
        <f t="shared" si="11"/>
        <v>0.7</v>
      </c>
      <c r="J303" s="12"/>
      <c r="K303" s="1"/>
      <c r="L303" s="1"/>
      <c r="M303" s="1"/>
      <c r="N303" s="1"/>
      <c r="O303" s="1"/>
      <c r="P303" s="1"/>
      <c r="Q303" s="1"/>
      <c r="R303" s="1"/>
      <c r="S303" s="1"/>
      <c r="T303" s="1"/>
      <c r="U303" s="1"/>
      <c r="V303" s="1"/>
      <c r="W303" s="1"/>
      <c r="X303" s="1"/>
      <c r="Y303" s="1"/>
      <c r="Z303" s="1"/>
    </row>
    <row r="304">
      <c r="A304" s="1"/>
      <c r="B304" s="1"/>
      <c r="C304" s="60" t="str">
        <f>IFERROR(__xludf.DUMMYFUNCTION("""COMPUTED_VALUE"""),"CENTRAL SC385EA + KIT DE ACESSÓRIOS MANG. 11M Dimensões(cm) 106,5x28 / 670 AirWatts-Filtro Permanente AutoLimpante - 1.800W")</f>
        <v>CENTRAL SC385EA + KIT DE ACESSÓRIOS MANG. 11M Dimensões(cm) 106,5x28 / 670 AirWatts-Filtro Permanente AutoLimpante - 1.800W</v>
      </c>
      <c r="D304" s="61" t="str">
        <f>IFERROR(__xludf.DUMMYFUNCTION("IMPORTRANGE(""https://docs.google.com/spreadsheets/d/1GMOWcUb26jVTosRt5EqlFYb5WfKNVSDMwfDXmDOMGao/edit?gid=410167636#gid=410167636"",""beam!f1"")"),"BEAM")</f>
        <v>BEAM</v>
      </c>
      <c r="E304" s="50">
        <v>0.0</v>
      </c>
      <c r="F304" s="51">
        <f>IFERROR(__xludf.DUMMYFUNCTION("""COMPUTED_VALUE"""),21180.0)</f>
        <v>21180</v>
      </c>
      <c r="G304" s="52">
        <f t="shared" si="9"/>
        <v>21180</v>
      </c>
      <c r="H304" s="52">
        <f t="shared" si="10"/>
        <v>36006</v>
      </c>
      <c r="I304" s="53">
        <f t="shared" si="11"/>
        <v>0.7</v>
      </c>
      <c r="J304" s="12"/>
      <c r="K304" s="1"/>
      <c r="L304" s="1"/>
      <c r="M304" s="1"/>
      <c r="N304" s="1"/>
      <c r="O304" s="1"/>
      <c r="P304" s="1"/>
      <c r="Q304" s="1"/>
      <c r="R304" s="1"/>
      <c r="S304" s="1"/>
      <c r="T304" s="1"/>
      <c r="U304" s="1"/>
      <c r="V304" s="1"/>
      <c r="W304" s="1"/>
      <c r="X304" s="1"/>
      <c r="Y304" s="1"/>
      <c r="Z304" s="1"/>
    </row>
    <row r="305">
      <c r="A305" s="1"/>
      <c r="B305" s="1"/>
      <c r="C305" s="63" t="str">
        <f>IFERROR(__xludf.DUMMYFUNCTION("""COMPUTED_VALUE"""),"CENTRAL SC398EA  + KIT DE ACESSÓRIOS MANG. 9M Dimensões(cm) 106,5x35,5/ 700 AirWatts-Filtro Permanente AutoLimpante - 1.850W")</f>
        <v>CENTRAL SC398EA  + KIT DE ACESSÓRIOS MANG. 9M Dimensões(cm) 106,5x35,5/ 700 AirWatts-Filtro Permanente AutoLimpante - 1.850W</v>
      </c>
      <c r="D305" s="64" t="str">
        <f>IFERROR(__xludf.DUMMYFUNCTION("IMPORTRANGE(""https://docs.google.com/spreadsheets/d/1GMOWcUb26jVTosRt5EqlFYb5WfKNVSDMwfDXmDOMGao/edit?gid=410167636#gid=410167636"",""beam!f1"")"),"BEAM")</f>
        <v>BEAM</v>
      </c>
      <c r="E305" s="56">
        <v>0.0</v>
      </c>
      <c r="F305" s="57">
        <f>IFERROR(__xludf.DUMMYFUNCTION("""COMPUTED_VALUE"""),26526.0)</f>
        <v>26526</v>
      </c>
      <c r="G305" s="58">
        <f t="shared" si="9"/>
        <v>26526</v>
      </c>
      <c r="H305" s="58">
        <f t="shared" si="10"/>
        <v>45094.2</v>
      </c>
      <c r="I305" s="59">
        <f t="shared" si="11"/>
        <v>0.7</v>
      </c>
      <c r="J305" s="12"/>
      <c r="K305" s="1"/>
      <c r="L305" s="1"/>
      <c r="M305" s="1"/>
      <c r="N305" s="1"/>
      <c r="O305" s="1"/>
      <c r="P305" s="1"/>
      <c r="Q305" s="1"/>
      <c r="R305" s="1"/>
      <c r="S305" s="1"/>
      <c r="T305" s="1"/>
      <c r="U305" s="1"/>
      <c r="V305" s="1"/>
      <c r="W305" s="1"/>
      <c r="X305" s="1"/>
      <c r="Y305" s="1"/>
      <c r="Z305" s="1"/>
    </row>
    <row r="306">
      <c r="A306" s="1"/>
      <c r="B306" s="1"/>
      <c r="C306" s="60" t="str">
        <f>IFERROR(__xludf.DUMMYFUNCTION("""COMPUTED_VALUE"""),"CENTRAL SC398EA  + KIT DE ACESSÓRIOS MANG. 11M Dimensões(cm) 106,5x35,5/ 700 AirWatts-Filtro Permanente AutoLimpante - 1.850W")</f>
        <v>CENTRAL SC398EA  + KIT DE ACESSÓRIOS MANG. 11M Dimensões(cm) 106,5x35,5/ 700 AirWatts-Filtro Permanente AutoLimpante - 1.850W</v>
      </c>
      <c r="D306" s="61" t="str">
        <f>IFERROR(__xludf.DUMMYFUNCTION("IMPORTRANGE(""https://docs.google.com/spreadsheets/d/1GMOWcUb26jVTosRt5EqlFYb5WfKNVSDMwfDXmDOMGao/edit?gid=410167636#gid=410167636"",""beam!f1"")"),"BEAM")</f>
        <v>BEAM</v>
      </c>
      <c r="E306" s="50">
        <v>0.0</v>
      </c>
      <c r="F306" s="51">
        <f>IFERROR(__xludf.DUMMYFUNCTION("""COMPUTED_VALUE"""),26577.0)</f>
        <v>26577</v>
      </c>
      <c r="G306" s="52">
        <f t="shared" si="9"/>
        <v>26577</v>
      </c>
      <c r="H306" s="52">
        <f t="shared" si="10"/>
        <v>45180.9</v>
      </c>
      <c r="I306" s="53">
        <f t="shared" si="11"/>
        <v>0.7</v>
      </c>
      <c r="J306" s="12"/>
      <c r="K306" s="1"/>
      <c r="L306" s="1"/>
      <c r="M306" s="1"/>
      <c r="N306" s="1"/>
      <c r="O306" s="1"/>
      <c r="P306" s="1"/>
      <c r="Q306" s="1"/>
      <c r="R306" s="1"/>
      <c r="S306" s="1"/>
      <c r="T306" s="1"/>
      <c r="U306" s="1"/>
      <c r="V306" s="1"/>
      <c r="W306" s="1"/>
      <c r="X306" s="1"/>
      <c r="Y306" s="1"/>
      <c r="Z306" s="1"/>
    </row>
    <row r="307">
      <c r="A307" s="1"/>
      <c r="B307" s="1"/>
      <c r="C307" s="63" t="str">
        <f>IFERROR(__xludf.DUMMYFUNCTION("""COMPUTED_VALUE"""),"CENTRAL DE ASPIRACAO 625SB +  KIT DE ACESSÓRIOS MANG. 9M Dimensões 91x38 / 625 AirWatts-Filtro Permanente AutoLimpante - 1.500W")</f>
        <v>CENTRAL DE ASPIRACAO 625SB +  KIT DE ACESSÓRIOS MANG. 9M Dimensões 91x38 / 625 AirWatts-Filtro Permanente AutoLimpante - 1.500W</v>
      </c>
      <c r="D307" s="64" t="str">
        <f>IFERROR(__xludf.DUMMYFUNCTION("IMPORTRANGE(""https://docs.google.com/spreadsheets/d/1GMOWcUb26jVTosRt5EqlFYb5WfKNVSDMwfDXmDOMGao/edit?gid=410167636#gid=410167636"",""beam!f1"")"),"BEAM")</f>
        <v>BEAM</v>
      </c>
      <c r="E307" s="56">
        <v>0.0</v>
      </c>
      <c r="F307" s="57">
        <f>IFERROR(__xludf.DUMMYFUNCTION("""COMPUTED_VALUE"""),20155.0)</f>
        <v>20155</v>
      </c>
      <c r="G307" s="58">
        <f t="shared" si="9"/>
        <v>20155</v>
      </c>
      <c r="H307" s="58">
        <f t="shared" si="10"/>
        <v>34263.5</v>
      </c>
      <c r="I307" s="59">
        <f t="shared" si="11"/>
        <v>0.7</v>
      </c>
      <c r="J307" s="12"/>
      <c r="K307" s="1"/>
      <c r="L307" s="1"/>
      <c r="M307" s="1"/>
      <c r="N307" s="1"/>
      <c r="O307" s="1"/>
      <c r="P307" s="1"/>
      <c r="Q307" s="1"/>
      <c r="R307" s="1"/>
      <c r="S307" s="1"/>
      <c r="T307" s="1"/>
      <c r="U307" s="1"/>
      <c r="V307" s="1"/>
      <c r="W307" s="1"/>
      <c r="X307" s="1"/>
      <c r="Y307" s="1"/>
      <c r="Z307" s="1"/>
    </row>
    <row r="308">
      <c r="A308" s="1"/>
      <c r="B308" s="1"/>
      <c r="C308" s="60" t="str">
        <f>IFERROR(__xludf.DUMMYFUNCTION("""COMPUTED_VALUE"""),"CENTRAL DE ASPIRACAO 625SB +  KIT DE ACESSÓRIOS MANG. 11M Dimensões 91x38 / 625 AirWatts-Filtro Permanente AutoLimpante - 1.500W")</f>
        <v>CENTRAL DE ASPIRACAO 625SB +  KIT DE ACESSÓRIOS MANG. 11M Dimensões 91x38 / 625 AirWatts-Filtro Permanente AutoLimpante - 1.500W</v>
      </c>
      <c r="D308" s="61" t="str">
        <f>IFERROR(__xludf.DUMMYFUNCTION("IMPORTRANGE(""https://docs.google.com/spreadsheets/d/1GMOWcUb26jVTosRt5EqlFYb5WfKNVSDMwfDXmDOMGao/edit?gid=410167636#gid=410167636"",""beam!f1"")"),"BEAM")</f>
        <v>BEAM</v>
      </c>
      <c r="E308" s="50">
        <v>0.0</v>
      </c>
      <c r="F308" s="51">
        <f>IFERROR(__xludf.DUMMYFUNCTION("""COMPUTED_VALUE"""),20399.0)</f>
        <v>20399</v>
      </c>
      <c r="G308" s="52">
        <f t="shared" si="9"/>
        <v>20399</v>
      </c>
      <c r="H308" s="52">
        <f t="shared" si="10"/>
        <v>34678.3</v>
      </c>
      <c r="I308" s="53">
        <f t="shared" si="11"/>
        <v>0.7</v>
      </c>
      <c r="J308" s="12"/>
      <c r="K308" s="1"/>
      <c r="L308" s="1"/>
      <c r="M308" s="1"/>
      <c r="N308" s="1"/>
      <c r="O308" s="1"/>
      <c r="P308" s="1"/>
      <c r="Q308" s="1"/>
      <c r="R308" s="1"/>
      <c r="S308" s="1"/>
      <c r="T308" s="1"/>
      <c r="U308" s="1"/>
      <c r="V308" s="1"/>
      <c r="W308" s="1"/>
      <c r="X308" s="1"/>
      <c r="Y308" s="1"/>
      <c r="Z308" s="1"/>
    </row>
    <row r="309">
      <c r="A309" s="1"/>
      <c r="B309" s="1"/>
      <c r="C309" s="63" t="str">
        <f>IFERROR(__xludf.DUMMYFUNCTION("""COMPUTED_VALUE"""),"CENTRAL DE ASPIRACAO 650TB + KIT DE ACESSÓRIOS MANG 9M Dimensões 108x38 / 650 AirWatts-Filtro Permanente AutoLimpante - 1.500W")</f>
        <v>CENTRAL DE ASPIRACAO 650TB + KIT DE ACESSÓRIOS MANG 9M Dimensões 108x38 / 650 AirWatts-Filtro Permanente AutoLimpante - 1.500W</v>
      </c>
      <c r="D309" s="64" t="str">
        <f>IFERROR(__xludf.DUMMYFUNCTION("IMPORTRANGE(""https://docs.google.com/spreadsheets/d/1GMOWcUb26jVTosRt5EqlFYb5WfKNVSDMwfDXmDOMGao/edit?gid=410167636#gid=410167636"",""beam!f1"")"),"BEAM")</f>
        <v>BEAM</v>
      </c>
      <c r="E309" s="56">
        <v>0.0</v>
      </c>
      <c r="F309" s="57">
        <f>IFERROR(__xludf.DUMMYFUNCTION("""COMPUTED_VALUE"""),23029.0)</f>
        <v>23029</v>
      </c>
      <c r="G309" s="58">
        <f t="shared" si="9"/>
        <v>23029</v>
      </c>
      <c r="H309" s="58">
        <f t="shared" si="10"/>
        <v>39149.3</v>
      </c>
      <c r="I309" s="59">
        <f t="shared" si="11"/>
        <v>0.7</v>
      </c>
      <c r="J309" s="12"/>
      <c r="K309" s="1"/>
      <c r="L309" s="1"/>
      <c r="M309" s="1"/>
      <c r="N309" s="1"/>
      <c r="O309" s="1"/>
      <c r="P309" s="1"/>
      <c r="Q309" s="1"/>
      <c r="R309" s="1"/>
      <c r="S309" s="1"/>
      <c r="T309" s="1"/>
      <c r="U309" s="1"/>
      <c r="V309" s="1"/>
      <c r="W309" s="1"/>
      <c r="X309" s="1"/>
      <c r="Y309" s="1"/>
      <c r="Z309" s="1"/>
    </row>
    <row r="310">
      <c r="A310" s="1"/>
      <c r="B310" s="1"/>
      <c r="C310" s="60" t="str">
        <f>IFERROR(__xludf.DUMMYFUNCTION("""COMPUTED_VALUE"""),"CENTRAL DE ASPIRACAO 650TB + KIT DE ACESSÓRIOS MANG 11M Dimensões 108x38 / 650 AirWatts-Filtro Permanente AutoLimpante - 1.500W")</f>
        <v>CENTRAL DE ASPIRACAO 650TB + KIT DE ACESSÓRIOS MANG 11M Dimensões 108x38 / 650 AirWatts-Filtro Permanente AutoLimpante - 1.500W</v>
      </c>
      <c r="D310" s="61" t="str">
        <f>IFERROR(__xludf.DUMMYFUNCTION("IMPORTRANGE(""https://docs.google.com/spreadsheets/d/1GMOWcUb26jVTosRt5EqlFYb5WfKNVSDMwfDXmDOMGao/edit?gid=410167636#gid=410167636"",""beam!f1"")"),"BEAM")</f>
        <v>BEAM</v>
      </c>
      <c r="E310" s="50">
        <v>0.0</v>
      </c>
      <c r="F310" s="51">
        <f>IFERROR(__xludf.DUMMYFUNCTION("""COMPUTED_VALUE"""),23283.0)</f>
        <v>23283</v>
      </c>
      <c r="G310" s="52">
        <f t="shared" si="9"/>
        <v>23283</v>
      </c>
      <c r="H310" s="52">
        <f t="shared" si="10"/>
        <v>39581.1</v>
      </c>
      <c r="I310" s="53">
        <f t="shared" si="11"/>
        <v>0.7</v>
      </c>
      <c r="J310" s="12"/>
      <c r="K310" s="1"/>
      <c r="L310" s="1"/>
      <c r="M310" s="1"/>
      <c r="N310" s="1"/>
      <c r="O310" s="1"/>
      <c r="P310" s="1"/>
      <c r="Q310" s="1"/>
      <c r="R310" s="1"/>
      <c r="S310" s="1"/>
      <c r="T310" s="1"/>
      <c r="U310" s="1"/>
      <c r="V310" s="1"/>
      <c r="W310" s="1"/>
      <c r="X310" s="1"/>
      <c r="Y310" s="1"/>
      <c r="Z310" s="1"/>
    </row>
    <row r="311">
      <c r="A311" s="1"/>
      <c r="B311" s="1"/>
      <c r="C311" s="63" t="str">
        <f>IFERROR(__xludf.DUMMYFUNCTION("""COMPUTED_VALUE"""),"CENTRAL DE ASPIRACAO 700TC + KIT DE ACESSÓRIOS MANG. 9M Dimensões 91x38 / 700 AirWatts-Filtro Permanente AutoLimpante - 1.600W")</f>
        <v>CENTRAL DE ASPIRACAO 700TC + KIT DE ACESSÓRIOS MANG. 9M Dimensões 91x38 / 700 AirWatts-Filtro Permanente AutoLimpante - 1.600W</v>
      </c>
      <c r="D311" s="64" t="str">
        <f>IFERROR(__xludf.DUMMYFUNCTION("IMPORTRANGE(""https://docs.google.com/spreadsheets/d/1GMOWcUb26jVTosRt5EqlFYb5WfKNVSDMwfDXmDOMGao/edit?gid=410167636#gid=410167636"",""beam!f1"")"),"BEAM")</f>
        <v>BEAM</v>
      </c>
      <c r="E311" s="56">
        <v>0.0</v>
      </c>
      <c r="F311" s="57">
        <f>IFERROR(__xludf.DUMMYFUNCTION("""COMPUTED_VALUE"""),28005.0)</f>
        <v>28005</v>
      </c>
      <c r="G311" s="58">
        <f t="shared" si="9"/>
        <v>28005</v>
      </c>
      <c r="H311" s="58">
        <f t="shared" si="10"/>
        <v>47608.5</v>
      </c>
      <c r="I311" s="59">
        <f t="shared" si="11"/>
        <v>0.7</v>
      </c>
      <c r="J311" s="12"/>
      <c r="K311" s="1"/>
      <c r="L311" s="1"/>
      <c r="M311" s="1"/>
      <c r="N311" s="1"/>
      <c r="O311" s="1"/>
      <c r="P311" s="1"/>
      <c r="Q311" s="1"/>
      <c r="R311" s="1"/>
      <c r="S311" s="1"/>
      <c r="T311" s="1"/>
      <c r="U311" s="1"/>
      <c r="V311" s="1"/>
      <c r="W311" s="1"/>
      <c r="X311" s="1"/>
      <c r="Y311" s="1"/>
      <c r="Z311" s="1"/>
    </row>
    <row r="312">
      <c r="A312" s="1"/>
      <c r="B312" s="1"/>
      <c r="C312" s="60" t="str">
        <f>IFERROR(__xludf.DUMMYFUNCTION("""COMPUTED_VALUE"""),"CENTRAL DE ASPIRACAO 700TC + KIT DE ACESSÓRIOS MANG. 11M Dimensões 91x38 / 700 AirWatts-Filtro Permanente AutoLimpante - 1.600W")</f>
        <v>CENTRAL DE ASPIRACAO 700TC + KIT DE ACESSÓRIOS MANG. 11M Dimensões 91x38 / 700 AirWatts-Filtro Permanente AutoLimpante - 1.600W</v>
      </c>
      <c r="D312" s="61" t="str">
        <f>IFERROR(__xludf.DUMMYFUNCTION("IMPORTRANGE(""https://docs.google.com/spreadsheets/d/1GMOWcUb26jVTosRt5EqlFYb5WfKNVSDMwfDXmDOMGao/edit?gid=410167636#gid=410167636"",""beam!f1"")"),"BEAM")</f>
        <v>BEAM</v>
      </c>
      <c r="E312" s="50">
        <v>0.0</v>
      </c>
      <c r="F312" s="51">
        <f>IFERROR(__xludf.DUMMYFUNCTION("""COMPUTED_VALUE"""),28240.0)</f>
        <v>28240</v>
      </c>
      <c r="G312" s="52">
        <f t="shared" si="9"/>
        <v>28240</v>
      </c>
      <c r="H312" s="52">
        <f t="shared" si="10"/>
        <v>48008</v>
      </c>
      <c r="I312" s="53">
        <f t="shared" si="11"/>
        <v>0.7</v>
      </c>
      <c r="J312" s="12"/>
      <c r="K312" s="1"/>
      <c r="L312" s="1"/>
      <c r="M312" s="1"/>
      <c r="N312" s="1"/>
      <c r="O312" s="1"/>
      <c r="P312" s="1"/>
      <c r="Q312" s="1"/>
      <c r="R312" s="1"/>
      <c r="S312" s="1"/>
      <c r="T312" s="1"/>
      <c r="U312" s="1"/>
      <c r="V312" s="1"/>
      <c r="W312" s="1"/>
      <c r="X312" s="1"/>
      <c r="Y312" s="1"/>
      <c r="Z312" s="1"/>
    </row>
    <row r="313">
      <c r="A313" s="1"/>
      <c r="B313" s="1"/>
      <c r="C313" s="63" t="str">
        <f>IFERROR(__xludf.DUMMYFUNCTION("""COMPUTED_VALUE"""),"CENTRAL GarageVac H220 + KIT DE ACESSÓRIOS ( Escova exclusiva para carro, Extensor preto, Bico, Mangueira progressiva se expande até 11 metros)")</f>
        <v>CENTRAL GarageVac H220 + KIT DE ACESSÓRIOS ( Escova exclusiva para carro, Extensor preto, Bico, Mangueira progressiva se expande até 11 metros)</v>
      </c>
      <c r="D313" s="64" t="str">
        <f>IFERROR(__xludf.DUMMYFUNCTION("IMPORTRANGE(""https://docs.google.com/spreadsheets/d/1GMOWcUb26jVTosRt5EqlFYb5WfKNVSDMwfDXmDOMGao/edit?gid=410167636#gid=410167636"",""beam!f1"")"),"BEAM")</f>
        <v>BEAM</v>
      </c>
      <c r="E313" s="56">
        <v>0.0</v>
      </c>
      <c r="F313" s="57">
        <f>IFERROR(__xludf.DUMMYFUNCTION("""COMPUTED_VALUE"""),5560.0)</f>
        <v>5560</v>
      </c>
      <c r="G313" s="58">
        <f t="shared" si="9"/>
        <v>5560</v>
      </c>
      <c r="H313" s="58">
        <f t="shared" si="10"/>
        <v>9452</v>
      </c>
      <c r="I313" s="59">
        <f t="shared" si="11"/>
        <v>0.7</v>
      </c>
      <c r="J313" s="12"/>
      <c r="K313" s="1"/>
      <c r="L313" s="1"/>
      <c r="M313" s="1"/>
      <c r="N313" s="1"/>
      <c r="O313" s="1"/>
      <c r="P313" s="1"/>
      <c r="Q313" s="1"/>
      <c r="R313" s="1"/>
      <c r="S313" s="1"/>
      <c r="T313" s="1"/>
      <c r="U313" s="1"/>
      <c r="V313" s="1"/>
      <c r="W313" s="1"/>
      <c r="X313" s="1"/>
      <c r="Y313" s="1"/>
      <c r="Z313" s="1"/>
    </row>
    <row r="314">
      <c r="A314" s="1"/>
      <c r="B314" s="1"/>
      <c r="C314" s="60" t="str">
        <f>IFERROR(__xludf.DUMMYFUNCTION("""COMPUTED_VALUE"""),"CENTRAL GarageVac H220 + KIT DE ACESSÓRIOS + FILTRO EXTRAS ( Escova exclusiva para carro, Extensor preto, Bico, Mangueira progressiva se expande até 11 metros)")</f>
        <v>CENTRAL GarageVac H220 + KIT DE ACESSÓRIOS + FILTRO EXTRAS ( Escova exclusiva para carro, Extensor preto, Bico, Mangueira progressiva se expande até 11 metros)</v>
      </c>
      <c r="D314" s="61" t="str">
        <f>IFERROR(__xludf.DUMMYFUNCTION("IMPORTRANGE(""https://docs.google.com/spreadsheets/d/1GMOWcUb26jVTosRt5EqlFYb5WfKNVSDMwfDXmDOMGao/edit?gid=410167636#gid=410167636"",""beam!f1"")"),"BEAM")</f>
        <v>BEAM</v>
      </c>
      <c r="E314" s="50">
        <v>0.0</v>
      </c>
      <c r="F314" s="51">
        <f>IFERROR(__xludf.DUMMYFUNCTION("""COMPUTED_VALUE"""),5825.0)</f>
        <v>5825</v>
      </c>
      <c r="G314" s="52">
        <f t="shared" si="9"/>
        <v>5825</v>
      </c>
      <c r="H314" s="52">
        <f t="shared" si="10"/>
        <v>9902.5</v>
      </c>
      <c r="I314" s="53">
        <f t="shared" si="11"/>
        <v>0.7</v>
      </c>
      <c r="J314" s="12"/>
      <c r="K314" s="1"/>
      <c r="L314" s="1"/>
      <c r="M314" s="1"/>
      <c r="N314" s="1"/>
      <c r="O314" s="1"/>
      <c r="P314" s="1"/>
      <c r="Q314" s="1"/>
      <c r="R314" s="1"/>
      <c r="S314" s="1"/>
      <c r="T314" s="1"/>
      <c r="U314" s="1"/>
      <c r="V314" s="1"/>
      <c r="W314" s="1"/>
      <c r="X314" s="1"/>
      <c r="Y314" s="1"/>
      <c r="Z314" s="1"/>
    </row>
    <row r="315">
      <c r="A315" s="1"/>
      <c r="B315" s="1"/>
      <c r="C315" s="63" t="str">
        <f>IFERROR(__xludf.DUMMYFUNCTION("""COMPUTED_VALUE"""),"CENTRAL DE ASPIRACAO CS
Super Compácta/ AirWatts 400/ Motor 1.200W")</f>
        <v>CENTRAL DE ASPIRACAO CS
Super Compácta/ AirWatts 400/ Motor 1.200W</v>
      </c>
      <c r="D315" s="64" t="str">
        <f>IFERROR(__xludf.DUMMYFUNCTION("IMPORTRANGE(""https://docs.google.com/spreadsheets/d/1GMOWcUb26jVTosRt5EqlFYb5WfKNVSDMwfDXmDOMGao/edit?gid=410167636#gid=410167636"",""beam!f1"")"),"BEAM")</f>
        <v>BEAM</v>
      </c>
      <c r="E315" s="56">
        <v>0.0</v>
      </c>
      <c r="F315" s="57">
        <f>IFERROR(__xludf.DUMMYFUNCTION("""COMPUTED_VALUE"""),3920.0)</f>
        <v>3920</v>
      </c>
      <c r="G315" s="58">
        <f t="shared" si="9"/>
        <v>3920</v>
      </c>
      <c r="H315" s="58">
        <f t="shared" si="10"/>
        <v>6664</v>
      </c>
      <c r="I315" s="59">
        <f t="shared" si="11"/>
        <v>0.7</v>
      </c>
      <c r="J315" s="12"/>
      <c r="K315" s="1"/>
      <c r="L315" s="1"/>
      <c r="M315" s="1"/>
      <c r="N315" s="1"/>
      <c r="O315" s="1"/>
      <c r="P315" s="1"/>
      <c r="Q315" s="1"/>
      <c r="R315" s="1"/>
      <c r="S315" s="1"/>
      <c r="T315" s="1"/>
      <c r="U315" s="1"/>
      <c r="V315" s="1"/>
      <c r="W315" s="1"/>
      <c r="X315" s="1"/>
      <c r="Y315" s="1"/>
      <c r="Z315" s="1"/>
    </row>
    <row r="316">
      <c r="A316" s="1"/>
      <c r="B316" s="1"/>
      <c r="C316" s="60" t="str">
        <f>IFERROR(__xludf.DUMMYFUNCTION("""COMPUTED_VALUE"""),"CENTRAL DE ASPIRACAO CS RM
Super Compácta / AirWatts 400/ Motor 1.200W")</f>
        <v>CENTRAL DE ASPIRACAO CS RM
Super Compácta / AirWatts 400/ Motor 1.200W</v>
      </c>
      <c r="D316" s="61" t="str">
        <f>IFERROR(__xludf.DUMMYFUNCTION("IMPORTRANGE(""https://docs.google.com/spreadsheets/d/1GMOWcUb26jVTosRt5EqlFYb5WfKNVSDMwfDXmDOMGao/edit?gid=410167636#gid=410167636"",""beam!f1"")"),"BEAM")</f>
        <v>BEAM</v>
      </c>
      <c r="E316" s="50">
        <v>0.0</v>
      </c>
      <c r="F316" s="51">
        <f>IFERROR(__xludf.DUMMYFUNCTION("""COMPUTED_VALUE"""),4315.0)</f>
        <v>4315</v>
      </c>
      <c r="G316" s="52">
        <f t="shared" si="9"/>
        <v>4315</v>
      </c>
      <c r="H316" s="52">
        <f t="shared" si="10"/>
        <v>7335.5</v>
      </c>
      <c r="I316" s="53">
        <f t="shared" si="11"/>
        <v>0.7</v>
      </c>
      <c r="J316" s="12"/>
      <c r="K316" s="1"/>
      <c r="L316" s="1"/>
      <c r="M316" s="1"/>
      <c r="N316" s="1"/>
      <c r="O316" s="1"/>
      <c r="P316" s="1"/>
      <c r="Q316" s="1"/>
      <c r="R316" s="1"/>
      <c r="S316" s="1"/>
      <c r="T316" s="1"/>
      <c r="U316" s="1"/>
      <c r="V316" s="1"/>
      <c r="W316" s="1"/>
      <c r="X316" s="1"/>
      <c r="Y316" s="1"/>
      <c r="Z316" s="1"/>
    </row>
    <row r="317">
      <c r="A317" s="1"/>
      <c r="B317" s="1"/>
      <c r="C317" s="63" t="str">
        <f>IFERROR(__xludf.DUMMYFUNCTION("""COMPUTED_VALUE"""),"CENTRAL DE ASPIRACAO H220
Dimensões(cm) 46,1X24,3X10 / AirWatts 400 / Motor 1.200W / Instalação (Vertical e Horizontal)")</f>
        <v>CENTRAL DE ASPIRACAO H220
Dimensões(cm) 46,1X24,3X10 / AirWatts 400 / Motor 1.200W / Instalação (Vertical e Horizontal)</v>
      </c>
      <c r="D317" s="64" t="str">
        <f>IFERROR(__xludf.DUMMYFUNCTION("IMPORTRANGE(""https://docs.google.com/spreadsheets/d/1GMOWcUb26jVTosRt5EqlFYb5WfKNVSDMwfDXmDOMGao/edit?gid=410167636#gid=410167636"",""beam!f1"")"),"BEAM")</f>
        <v>BEAM</v>
      </c>
      <c r="E317" s="56">
        <v>0.0</v>
      </c>
      <c r="F317" s="57">
        <f>IFERROR(__xludf.DUMMYFUNCTION("""COMPUTED_VALUE"""),4130.0)</f>
        <v>4130</v>
      </c>
      <c r="G317" s="58">
        <f t="shared" si="9"/>
        <v>4130</v>
      </c>
      <c r="H317" s="58">
        <f t="shared" si="10"/>
        <v>7021</v>
      </c>
      <c r="I317" s="59">
        <f t="shared" si="11"/>
        <v>0.7</v>
      </c>
      <c r="J317" s="12"/>
      <c r="K317" s="1"/>
      <c r="L317" s="1"/>
      <c r="M317" s="1"/>
      <c r="N317" s="1"/>
      <c r="O317" s="1"/>
      <c r="P317" s="1"/>
      <c r="Q317" s="1"/>
      <c r="R317" s="1"/>
      <c r="S317" s="1"/>
      <c r="T317" s="1"/>
      <c r="U317" s="1"/>
      <c r="V317" s="1"/>
      <c r="W317" s="1"/>
      <c r="X317" s="1"/>
      <c r="Y317" s="1"/>
      <c r="Z317" s="1"/>
    </row>
    <row r="318">
      <c r="A318" s="1"/>
      <c r="B318" s="1"/>
      <c r="C318" s="60" t="str">
        <f>IFERROR(__xludf.DUMMYFUNCTION("""COMPUTED_VALUE"""),"CENTRAL DE ASPIRACAO RMD220
Dimensões(cm) 46,1X24,3X10 / AirWatts 400 / Motor 1.200W / Instalação (Vertical e Horizontal)")</f>
        <v>CENTRAL DE ASPIRACAO RMD220
Dimensões(cm) 46,1X24,3X10 / AirWatts 400 / Motor 1.200W / Instalação (Vertical e Horizontal)</v>
      </c>
      <c r="D318" s="61" t="str">
        <f>IFERROR(__xludf.DUMMYFUNCTION("IMPORTRANGE(""https://docs.google.com/spreadsheets/d/1GMOWcUb26jVTosRt5EqlFYb5WfKNVSDMwfDXmDOMGao/edit?gid=410167636#gid=410167636"",""beam!f1"")"),"BEAM")</f>
        <v>BEAM</v>
      </c>
      <c r="E318" s="50">
        <v>0.0</v>
      </c>
      <c r="F318" s="51">
        <f>IFERROR(__xludf.DUMMYFUNCTION("""COMPUTED_VALUE"""),4445.0)</f>
        <v>4445</v>
      </c>
      <c r="G318" s="52">
        <f t="shared" si="9"/>
        <v>4445</v>
      </c>
      <c r="H318" s="52">
        <f t="shared" si="10"/>
        <v>7556.5</v>
      </c>
      <c r="I318" s="53">
        <f t="shared" si="11"/>
        <v>0.7</v>
      </c>
      <c r="J318" s="12"/>
      <c r="K318" s="1"/>
      <c r="L318" s="1"/>
      <c r="M318" s="1"/>
      <c r="N318" s="1"/>
      <c r="O318" s="1"/>
      <c r="P318" s="1"/>
      <c r="Q318" s="1"/>
      <c r="R318" s="1"/>
      <c r="S318" s="1"/>
      <c r="T318" s="1"/>
      <c r="U318" s="1"/>
      <c r="V318" s="1"/>
      <c r="W318" s="1"/>
      <c r="X318" s="1"/>
      <c r="Y318" s="1"/>
      <c r="Z318" s="1"/>
    </row>
    <row r="319">
      <c r="A319" s="1"/>
      <c r="B319" s="1"/>
      <c r="C319" s="63" t="str">
        <f>IFERROR(__xludf.DUMMYFUNCTION("""COMPUTED_VALUE"""),"CENTRAL DE ASPIRACAO IVD660
Dimensões(cm) 49,4X26,7  / AirWatts 660/ Motor 1.600W")</f>
        <v>CENTRAL DE ASPIRACAO IVD660
Dimensões(cm) 49,4X26,7  / AirWatts 660/ Motor 1.600W</v>
      </c>
      <c r="D319" s="64" t="str">
        <f>IFERROR(__xludf.DUMMYFUNCTION("IMPORTRANGE(""https://docs.google.com/spreadsheets/d/1GMOWcUb26jVTosRt5EqlFYb5WfKNVSDMwfDXmDOMGao/edit?gid=410167636#gid=410167636"",""beam!f1"")"),"BEAM")</f>
        <v>BEAM</v>
      </c>
      <c r="E319" s="56">
        <v>0.0</v>
      </c>
      <c r="F319" s="57">
        <f>IFERROR(__xludf.DUMMYFUNCTION("""COMPUTED_VALUE"""),5960.0)</f>
        <v>5960</v>
      </c>
      <c r="G319" s="58">
        <f t="shared" si="9"/>
        <v>5960</v>
      </c>
      <c r="H319" s="58">
        <f t="shared" si="10"/>
        <v>10132</v>
      </c>
      <c r="I319" s="59">
        <f t="shared" si="11"/>
        <v>0.7</v>
      </c>
      <c r="J319" s="12"/>
      <c r="K319" s="1"/>
      <c r="L319" s="1"/>
      <c r="M319" s="1"/>
      <c r="N319" s="1"/>
      <c r="O319" s="1"/>
      <c r="P319" s="1"/>
      <c r="Q319" s="1"/>
      <c r="R319" s="1"/>
      <c r="S319" s="1"/>
      <c r="T319" s="1"/>
      <c r="U319" s="1"/>
      <c r="V319" s="1"/>
      <c r="W319" s="1"/>
      <c r="X319" s="1"/>
      <c r="Y319" s="1"/>
      <c r="Z319" s="1"/>
    </row>
    <row r="320">
      <c r="A320" s="1"/>
      <c r="B320" s="1"/>
      <c r="C320" s="60" t="str">
        <f>IFERROR(__xludf.DUMMYFUNCTION("""COMPUTED_VALUE"""),"CENTRAL DE ASPIRACAO BM 265EA
Dimensões(cm) 63X28  / 605 AirWatts  - Filtro Descartável - 1.600W")</f>
        <v>CENTRAL DE ASPIRACAO BM 265EA
Dimensões(cm) 63X28  / 605 AirWatts  - Filtro Descartável - 1.600W</v>
      </c>
      <c r="D320" s="61" t="str">
        <f>IFERROR(__xludf.DUMMYFUNCTION("IMPORTRANGE(""https://docs.google.com/spreadsheets/d/1GMOWcUb26jVTosRt5EqlFYb5WfKNVSDMwfDXmDOMGao/edit?gid=410167636#gid=410167636"",""beam!f1"")"),"BEAM")</f>
        <v>BEAM</v>
      </c>
      <c r="E320" s="50">
        <v>0.0</v>
      </c>
      <c r="F320" s="51">
        <f>IFERROR(__xludf.DUMMYFUNCTION("""COMPUTED_VALUE"""),7497.0)</f>
        <v>7497</v>
      </c>
      <c r="G320" s="52">
        <f t="shared" si="9"/>
        <v>7497</v>
      </c>
      <c r="H320" s="52">
        <f t="shared" si="10"/>
        <v>12744.9</v>
      </c>
      <c r="I320" s="53">
        <f t="shared" si="11"/>
        <v>0.7</v>
      </c>
      <c r="J320" s="12"/>
      <c r="K320" s="1"/>
      <c r="L320" s="1"/>
      <c r="M320" s="1"/>
      <c r="N320" s="1"/>
      <c r="O320" s="1"/>
      <c r="P320" s="1"/>
      <c r="Q320" s="1"/>
      <c r="R320" s="1"/>
      <c r="S320" s="1"/>
      <c r="T320" s="1"/>
      <c r="U320" s="1"/>
      <c r="V320" s="1"/>
      <c r="W320" s="1"/>
      <c r="X320" s="1"/>
      <c r="Y320" s="1"/>
      <c r="Z320" s="1"/>
    </row>
    <row r="321">
      <c r="A321" s="1"/>
      <c r="B321" s="1"/>
      <c r="C321" s="63" t="str">
        <f>IFERROR(__xludf.DUMMYFUNCTION("""COMPUTED_VALUE"""),"CENTRAL DE ASPIRACAO BM 285EA
Dimensões(cm) 92x28 / 605 AirWatts- Filtro Permanente AutoLimpante - 1.600W")</f>
        <v>CENTRAL DE ASPIRACAO BM 285EA
Dimensões(cm) 92x28 / 605 AirWatts- Filtro Permanente AutoLimpante - 1.600W</v>
      </c>
      <c r="D321" s="64" t="str">
        <f>IFERROR(__xludf.DUMMYFUNCTION("IMPORTRANGE(""https://docs.google.com/spreadsheets/d/1GMOWcUb26jVTosRt5EqlFYb5WfKNVSDMwfDXmDOMGao/edit?gid=410167636#gid=410167636"",""beam!f1"")"),"BEAM")</f>
        <v>BEAM</v>
      </c>
      <c r="E321" s="56">
        <v>0.0</v>
      </c>
      <c r="F321" s="57">
        <f>IFERROR(__xludf.DUMMYFUNCTION("""COMPUTED_VALUE"""),10590.0)</f>
        <v>10590</v>
      </c>
      <c r="G321" s="58">
        <f t="shared" si="9"/>
        <v>10590</v>
      </c>
      <c r="H321" s="58">
        <f t="shared" si="10"/>
        <v>18003</v>
      </c>
      <c r="I321" s="59">
        <f t="shared" si="11"/>
        <v>0.7</v>
      </c>
      <c r="J321" s="12"/>
      <c r="K321" s="1"/>
      <c r="L321" s="1"/>
      <c r="M321" s="1"/>
      <c r="N321" s="1"/>
      <c r="O321" s="1"/>
      <c r="P321" s="1"/>
      <c r="Q321" s="1"/>
      <c r="R321" s="1"/>
      <c r="S321" s="1"/>
      <c r="T321" s="1"/>
      <c r="U321" s="1"/>
      <c r="V321" s="1"/>
      <c r="W321" s="1"/>
      <c r="X321" s="1"/>
      <c r="Y321" s="1"/>
      <c r="Z321" s="1"/>
    </row>
    <row r="322">
      <c r="A322" s="1"/>
      <c r="B322" s="1"/>
      <c r="C322" s="60" t="str">
        <f>IFERROR(__xludf.DUMMYFUNCTION("""COMPUTED_VALUE"""),"CENTRAL DE ASPIRACAL SC335EA
Dimensões(cm) 89x28 / 590 AirWatts-Filtro Permanente AutoLimpante - 1.750W")</f>
        <v>CENTRAL DE ASPIRACAL SC335EA
Dimensões(cm) 89x28 / 590 AirWatts-Filtro Permanente AutoLimpante - 1.750W</v>
      </c>
      <c r="D322" s="61" t="str">
        <f>IFERROR(__xludf.DUMMYFUNCTION("IMPORTRANGE(""https://docs.google.com/spreadsheets/d/1GMOWcUb26jVTosRt5EqlFYb5WfKNVSDMwfDXmDOMGao/edit?gid=410167636#gid=410167636"",""beam!f1"")"),"BEAM")</f>
        <v>BEAM</v>
      </c>
      <c r="E322" s="50">
        <v>0.0</v>
      </c>
      <c r="F322" s="51">
        <f>IFERROR(__xludf.DUMMYFUNCTION("""COMPUTED_VALUE"""),13440.0)</f>
        <v>13440</v>
      </c>
      <c r="G322" s="52">
        <f t="shared" si="9"/>
        <v>13440</v>
      </c>
      <c r="H322" s="52">
        <f t="shared" si="10"/>
        <v>22848</v>
      </c>
      <c r="I322" s="53">
        <f t="shared" si="11"/>
        <v>0.7</v>
      </c>
      <c r="J322" s="12"/>
      <c r="K322" s="1"/>
      <c r="L322" s="1"/>
      <c r="M322" s="1"/>
      <c r="N322" s="1"/>
      <c r="O322" s="1"/>
      <c r="P322" s="1"/>
      <c r="Q322" s="1"/>
      <c r="R322" s="1"/>
      <c r="S322" s="1"/>
      <c r="T322" s="1"/>
      <c r="U322" s="1"/>
      <c r="V322" s="1"/>
      <c r="W322" s="1"/>
      <c r="X322" s="1"/>
      <c r="Y322" s="1"/>
      <c r="Z322" s="1"/>
    </row>
    <row r="323">
      <c r="A323" s="1"/>
      <c r="B323" s="1"/>
      <c r="C323" s="63" t="str">
        <f>IFERROR(__xludf.DUMMYFUNCTION("""COMPUTED_VALUE"""),"CENTRAL DE ASPIRACAO SC385EA
Dimensões(cm) 106,5x28 / 670 AirWatts-Filtro Permanente AutoLimpante - 1.800W")</f>
        <v>CENTRAL DE ASPIRACAO SC385EA
Dimensões(cm) 106,5x28 / 670 AirWatts-Filtro Permanente AutoLimpante - 1.800W</v>
      </c>
      <c r="D323" s="64" t="str">
        <f>IFERROR(__xludf.DUMMYFUNCTION("IMPORTRANGE(""https://docs.google.com/spreadsheets/d/1GMOWcUb26jVTosRt5EqlFYb5WfKNVSDMwfDXmDOMGao/edit?gid=410167636#gid=410167636"",""beam!f1"")"),"BEAM")</f>
        <v>BEAM</v>
      </c>
      <c r="E323" s="56">
        <v>0.0</v>
      </c>
      <c r="F323" s="57">
        <f>IFERROR(__xludf.DUMMYFUNCTION("""COMPUTED_VALUE"""),18558.0)</f>
        <v>18558</v>
      </c>
      <c r="G323" s="58">
        <f t="shared" si="9"/>
        <v>18558</v>
      </c>
      <c r="H323" s="58">
        <f t="shared" si="10"/>
        <v>31548.6</v>
      </c>
      <c r="I323" s="59">
        <f t="shared" si="11"/>
        <v>0.7</v>
      </c>
      <c r="J323" s="12"/>
      <c r="K323" s="1"/>
      <c r="L323" s="1"/>
      <c r="M323" s="1"/>
      <c r="N323" s="1"/>
      <c r="O323" s="1"/>
      <c r="P323" s="1"/>
      <c r="Q323" s="1"/>
      <c r="R323" s="1"/>
      <c r="S323" s="1"/>
      <c r="T323" s="1"/>
      <c r="U323" s="1"/>
      <c r="V323" s="1"/>
      <c r="W323" s="1"/>
      <c r="X323" s="1"/>
      <c r="Y323" s="1"/>
      <c r="Z323" s="1"/>
    </row>
    <row r="324">
      <c r="A324" s="1"/>
      <c r="B324" s="1"/>
      <c r="C324" s="60" t="str">
        <f>IFERROR(__xludf.DUMMYFUNCTION("""COMPUTED_VALUE"""),"CENTRAL DE ASPIRACAO SC385EB
Dimensões(cm) 106,5x28 / 670 AirWatts-Filtro Permanente AutoLimpante - 1.800W")</f>
        <v>CENTRAL DE ASPIRACAO SC385EB
Dimensões(cm) 106,5x28 / 670 AirWatts-Filtro Permanente AutoLimpante - 1.800W</v>
      </c>
      <c r="D324" s="61" t="str">
        <f>IFERROR(__xludf.DUMMYFUNCTION("IMPORTRANGE(""https://docs.google.com/spreadsheets/d/1GMOWcUb26jVTosRt5EqlFYb5WfKNVSDMwfDXmDOMGao/edit?gid=410167636#gid=410167636"",""beam!f1"")"),"BEAM")</f>
        <v>BEAM</v>
      </c>
      <c r="E324" s="50">
        <v>0.0</v>
      </c>
      <c r="F324" s="51">
        <f>IFERROR(__xludf.DUMMYFUNCTION("""COMPUTED_VALUE"""),21332.0)</f>
        <v>21332</v>
      </c>
      <c r="G324" s="52">
        <f t="shared" si="9"/>
        <v>21332</v>
      </c>
      <c r="H324" s="52">
        <f t="shared" si="10"/>
        <v>36264.4</v>
      </c>
      <c r="I324" s="53">
        <f t="shared" si="11"/>
        <v>0.7</v>
      </c>
      <c r="J324" s="12"/>
      <c r="K324" s="1"/>
      <c r="L324" s="1"/>
      <c r="M324" s="1"/>
      <c r="N324" s="1"/>
      <c r="O324" s="1"/>
      <c r="P324" s="1"/>
      <c r="Q324" s="1"/>
      <c r="R324" s="1"/>
      <c r="S324" s="1"/>
      <c r="T324" s="1"/>
      <c r="U324" s="1"/>
      <c r="V324" s="1"/>
      <c r="W324" s="1"/>
      <c r="X324" s="1"/>
      <c r="Y324" s="1"/>
      <c r="Z324" s="1"/>
    </row>
    <row r="325">
      <c r="A325" s="1"/>
      <c r="B325" s="1"/>
      <c r="C325" s="63" t="str">
        <f>IFERROR(__xludf.DUMMYFUNCTION("""COMPUTED_VALUE"""),"CENTRAL DE ASPIRACAO SC398EA
Dimensões(cm) 106,5x35,5 / 700 AirWatts-Filtro Permanente AutoLimpante
- 1.850W")</f>
        <v>CENTRAL DE ASPIRACAO SC398EA
Dimensões(cm) 106,5x35,5 / 700 AirWatts-Filtro Permanente AutoLimpante
- 1.850W</v>
      </c>
      <c r="D325" s="64" t="str">
        <f>IFERROR(__xludf.DUMMYFUNCTION("IMPORTRANGE(""https://docs.google.com/spreadsheets/d/1GMOWcUb26jVTosRt5EqlFYb5WfKNVSDMwfDXmDOMGao/edit?gid=410167636#gid=410167636"",""beam!f1"")"),"BEAM")</f>
        <v>BEAM</v>
      </c>
      <c r="E325" s="56">
        <v>0.0</v>
      </c>
      <c r="F325" s="57">
        <f>IFERROR(__xludf.DUMMYFUNCTION("""COMPUTED_VALUE"""),24240.0)</f>
        <v>24240</v>
      </c>
      <c r="G325" s="58">
        <f t="shared" si="9"/>
        <v>24240</v>
      </c>
      <c r="H325" s="58">
        <f t="shared" si="10"/>
        <v>41208</v>
      </c>
      <c r="I325" s="59">
        <f t="shared" si="11"/>
        <v>0.7</v>
      </c>
      <c r="J325" s="12"/>
      <c r="K325" s="1"/>
      <c r="L325" s="1"/>
      <c r="M325" s="1"/>
      <c r="N325" s="1"/>
      <c r="O325" s="1"/>
      <c r="P325" s="1"/>
      <c r="Q325" s="1"/>
      <c r="R325" s="1"/>
      <c r="S325" s="1"/>
      <c r="T325" s="1"/>
      <c r="U325" s="1"/>
      <c r="V325" s="1"/>
      <c r="W325" s="1"/>
      <c r="X325" s="1"/>
      <c r="Y325" s="1"/>
      <c r="Z325" s="1"/>
    </row>
    <row r="326">
      <c r="A326" s="1"/>
      <c r="B326" s="1"/>
      <c r="C326" s="60" t="str">
        <f>IFERROR(__xludf.DUMMYFUNCTION("""COMPUTED_VALUE"""),"CENTRAL DE ASPIRACAO SC398EB
Dimensões(cm) 106,5x35,5 / 700 AirWatts-Filtro Permanente AutoLimpante
- 1.850W")</f>
        <v>CENTRAL DE ASPIRACAO SC398EB
Dimensões(cm) 106,5x35,5 / 700 AirWatts-Filtro Permanente AutoLimpante
- 1.850W</v>
      </c>
      <c r="D326" s="61" t="str">
        <f>IFERROR(__xludf.DUMMYFUNCTION("IMPORTRANGE(""https://docs.google.com/spreadsheets/d/1GMOWcUb26jVTosRt5EqlFYb5WfKNVSDMwfDXmDOMGao/edit?gid=410167636#gid=410167636"",""beam!f1"")"),"BEAM")</f>
        <v>BEAM</v>
      </c>
      <c r="E326" s="50">
        <v>0.0</v>
      </c>
      <c r="F326" s="51">
        <f>IFERROR(__xludf.DUMMYFUNCTION("""COMPUTED_VALUE"""),27819.0)</f>
        <v>27819</v>
      </c>
      <c r="G326" s="52">
        <f t="shared" si="9"/>
        <v>27819</v>
      </c>
      <c r="H326" s="52">
        <f t="shared" si="10"/>
        <v>47292.3</v>
      </c>
      <c r="I326" s="53">
        <f t="shared" si="11"/>
        <v>0.7</v>
      </c>
      <c r="J326" s="12"/>
      <c r="K326" s="1"/>
      <c r="L326" s="1"/>
      <c r="M326" s="1"/>
      <c r="N326" s="1"/>
      <c r="O326" s="1"/>
      <c r="P326" s="1"/>
      <c r="Q326" s="1"/>
      <c r="R326" s="1"/>
      <c r="S326" s="1"/>
      <c r="T326" s="1"/>
      <c r="U326" s="1"/>
      <c r="V326" s="1"/>
      <c r="W326" s="1"/>
      <c r="X326" s="1"/>
      <c r="Y326" s="1"/>
      <c r="Z326" s="1"/>
    </row>
    <row r="327">
      <c r="A327" s="1"/>
      <c r="B327" s="1"/>
      <c r="C327" s="63" t="str">
        <f>IFERROR(__xludf.DUMMYFUNCTION("""COMPUTED_VALUE"""),"CENTRAL DE ASPIRACAO SC3500
Dimensões 112x35,5 / 1.200 AirWatts-Filtro Permanente AutoLimpante - 3.200W")</f>
        <v>CENTRAL DE ASPIRACAO SC3500
Dimensões 112x35,5 / 1.200 AirWatts-Filtro Permanente AutoLimpante - 3.200W</v>
      </c>
      <c r="D327" s="64" t="str">
        <f>IFERROR(__xludf.DUMMYFUNCTION("IMPORTRANGE(""https://docs.google.com/spreadsheets/d/1GMOWcUb26jVTosRt5EqlFYb5WfKNVSDMwfDXmDOMGao/edit?gid=410167636#gid=410167636"",""beam!f1"")"),"BEAM")</f>
        <v>BEAM</v>
      </c>
      <c r="E327" s="56">
        <v>0.0</v>
      </c>
      <c r="F327" s="57">
        <f>IFERROR(__xludf.DUMMYFUNCTION("""COMPUTED_VALUE"""),31132.0)</f>
        <v>31132</v>
      </c>
      <c r="G327" s="58">
        <f t="shared" si="9"/>
        <v>31132</v>
      </c>
      <c r="H327" s="58">
        <f t="shared" si="10"/>
        <v>52924.4</v>
      </c>
      <c r="I327" s="59">
        <f t="shared" si="11"/>
        <v>0.7</v>
      </c>
      <c r="J327" s="12"/>
      <c r="K327" s="1"/>
      <c r="L327" s="1"/>
      <c r="M327" s="1"/>
      <c r="N327" s="1"/>
      <c r="O327" s="1"/>
      <c r="P327" s="1"/>
      <c r="Q327" s="1"/>
      <c r="R327" s="1"/>
      <c r="S327" s="1"/>
      <c r="T327" s="1"/>
      <c r="U327" s="1"/>
      <c r="V327" s="1"/>
      <c r="W327" s="1"/>
      <c r="X327" s="1"/>
      <c r="Y327" s="1"/>
      <c r="Z327" s="1"/>
    </row>
    <row r="328">
      <c r="A328" s="1"/>
      <c r="B328" s="1"/>
      <c r="C328" s="60" t="str">
        <f>IFERROR(__xludf.DUMMYFUNCTION("""COMPUTED_VALUE"""),"KIT DE ACESSÓRIOS COMPLETO ON/OFF MANGUEIRA 9 METROS
( Escova multiuso Roldana, Extensor em metal cromo, kit de escovas para estofados, mesas, cantos, mangueira Premium on/off de 9 metros, Suporte para mangueira)")</f>
        <v>KIT DE ACESSÓRIOS COMPLETO ON/OFF MANGUEIRA 9 METROS
( Escova multiuso Roldana, Extensor em metal cromo, kit de escovas para estofados, mesas, cantos, mangueira Premium on/off de 9 metros, Suporte para mangueira)</v>
      </c>
      <c r="D328" s="61" t="str">
        <f>IFERROR(__xludf.DUMMYFUNCTION("IMPORTRANGE(""https://docs.google.com/spreadsheets/d/1GMOWcUb26jVTosRt5EqlFYb5WfKNVSDMwfDXmDOMGao/edit?gid=410167636#gid=410167636"",""beam!f1"")"),"BEAM")</f>
        <v>BEAM</v>
      </c>
      <c r="E328" s="50">
        <v>0.0</v>
      </c>
      <c r="F328" s="51">
        <f>IFERROR(__xludf.DUMMYFUNCTION("""COMPUTED_VALUE"""),3640.0)</f>
        <v>3640</v>
      </c>
      <c r="G328" s="52">
        <f t="shared" si="9"/>
        <v>3640</v>
      </c>
      <c r="H328" s="52">
        <f t="shared" si="10"/>
        <v>6188</v>
      </c>
      <c r="I328" s="53">
        <f t="shared" si="11"/>
        <v>0.7</v>
      </c>
      <c r="J328" s="12"/>
      <c r="K328" s="1"/>
      <c r="L328" s="1"/>
      <c r="M328" s="1"/>
      <c r="N328" s="1"/>
      <c r="O328" s="1"/>
      <c r="P328" s="1"/>
      <c r="Q328" s="1"/>
      <c r="R328" s="1"/>
      <c r="S328" s="1"/>
      <c r="T328" s="1"/>
      <c r="U328" s="1"/>
      <c r="V328" s="1"/>
      <c r="W328" s="1"/>
      <c r="X328" s="1"/>
      <c r="Y328" s="1"/>
      <c r="Z328" s="1"/>
    </row>
    <row r="329">
      <c r="A329" s="1"/>
      <c r="B329" s="1"/>
      <c r="C329" s="63" t="str">
        <f>IFERROR(__xludf.DUMMYFUNCTION("""COMPUTED_VALUE"""),"KIT DE ACESSÓRIOS COMPLETO ON/OFF MANGUEIRA 10,7                (11 METROS)
( Escova multiuso Roldana, Extensor em metal cromo, kit de escovas para estofados, mesas, cantos, mangueira Premium on/off de 10,7 metros, Suporte para mangueira)")</f>
        <v>KIT DE ACESSÓRIOS COMPLETO ON/OFF MANGUEIRA 10,7                (11 METROS)
( Escova multiuso Roldana, Extensor em metal cromo, kit de escovas para estofados, mesas, cantos, mangueira Premium on/off de 10,7 metros, Suporte para mangueira)</v>
      </c>
      <c r="D329" s="64" t="str">
        <f>IFERROR(__xludf.DUMMYFUNCTION("IMPORTRANGE(""https://docs.google.com/spreadsheets/d/1GMOWcUb26jVTosRt5EqlFYb5WfKNVSDMwfDXmDOMGao/edit?gid=410167636#gid=410167636"",""beam!f1"")"),"BEAM")</f>
        <v>BEAM</v>
      </c>
      <c r="E329" s="56">
        <v>0.0</v>
      </c>
      <c r="F329" s="57">
        <f>IFERROR(__xludf.DUMMYFUNCTION("""COMPUTED_VALUE"""),3690.0)</f>
        <v>3690</v>
      </c>
      <c r="G329" s="58">
        <f t="shared" si="9"/>
        <v>3690</v>
      </c>
      <c r="H329" s="58">
        <f t="shared" si="10"/>
        <v>6273</v>
      </c>
      <c r="I329" s="59">
        <f t="shared" si="11"/>
        <v>0.7</v>
      </c>
      <c r="J329" s="12"/>
      <c r="K329" s="1"/>
      <c r="L329" s="1"/>
      <c r="M329" s="1"/>
      <c r="N329" s="1"/>
      <c r="O329" s="1"/>
      <c r="P329" s="1"/>
      <c r="Q329" s="1"/>
      <c r="R329" s="1"/>
      <c r="S329" s="1"/>
      <c r="T329" s="1"/>
      <c r="U329" s="1"/>
      <c r="V329" s="1"/>
      <c r="W329" s="1"/>
      <c r="X329" s="1"/>
      <c r="Y329" s="1"/>
      <c r="Z329" s="1"/>
    </row>
    <row r="330">
      <c r="A330" s="1"/>
      <c r="B330" s="1"/>
      <c r="C330" s="60" t="str">
        <f>IFERROR(__xludf.DUMMYFUNCTION("""COMPUTED_VALUE"""),"KIT DE ACESSÓRIOS COMPLETO ON/OFF MANGUEIRA 12 METROS
( Escova multiuso Roldana, Extensor em metal cromo, kit de escovas para estofados, mesas, cantos, mangueira Premium on/off de 12 metros, Suporte para mangueira)")</f>
        <v>KIT DE ACESSÓRIOS COMPLETO ON/OFF MANGUEIRA 12 METROS
( Escova multiuso Roldana, Extensor em metal cromo, kit de escovas para estofados, mesas, cantos, mangueira Premium on/off de 12 metros, Suporte para mangueira)</v>
      </c>
      <c r="D330" s="61" t="str">
        <f>IFERROR(__xludf.DUMMYFUNCTION("IMPORTRANGE(""https://docs.google.com/spreadsheets/d/1GMOWcUb26jVTosRt5EqlFYb5WfKNVSDMwfDXmDOMGao/edit?gid=410167636#gid=410167636"",""beam!f1"")"),"BEAM")</f>
        <v>BEAM</v>
      </c>
      <c r="E330" s="50">
        <v>0.0</v>
      </c>
      <c r="F330" s="51">
        <f>IFERROR(__xludf.DUMMYFUNCTION("""COMPUTED_VALUE"""),4000.0)</f>
        <v>4000</v>
      </c>
      <c r="G330" s="52">
        <f t="shared" si="9"/>
        <v>4000</v>
      </c>
      <c r="H330" s="52">
        <f t="shared" si="10"/>
        <v>6800</v>
      </c>
      <c r="I330" s="53">
        <f t="shared" si="11"/>
        <v>0.7</v>
      </c>
      <c r="J330" s="12"/>
      <c r="K330" s="1"/>
      <c r="L330" s="1"/>
      <c r="M330" s="1"/>
      <c r="N330" s="1"/>
      <c r="O330" s="1"/>
      <c r="P330" s="1"/>
      <c r="Q330" s="1"/>
      <c r="R330" s="1"/>
      <c r="S330" s="1"/>
      <c r="T330" s="1"/>
      <c r="U330" s="1"/>
      <c r="V330" s="1"/>
      <c r="W330" s="1"/>
      <c r="X330" s="1"/>
      <c r="Y330" s="1"/>
      <c r="Z330" s="1"/>
    </row>
    <row r="331">
      <c r="A331" s="1"/>
      <c r="B331" s="1"/>
      <c r="C331" s="63" t="str">
        <f>IFERROR(__xludf.DUMMYFUNCTION("""COMPUTED_VALUE"""),"KIT ACESSÓRIOS COMPLETO, LINHA ALLIANCE 9 METROS
( Escova multiuso exclusiva, Escova de piso Frio exclusiva, Extensor em metal cromo exclusivo, kit de escovas para estofados 3 em 1, Mangueira on/off com velocidade variável de 9 metros, Suporte para mangue"&amp;"ira)")</f>
        <v>KIT ACESSÓRIOS COMPLETO, LINHA ALLIANCE 9 METROS
( Escova multiuso exclusiva, Escova de piso Frio exclusiva, Extensor em metal cromo exclusivo, kit de escovas para estofados 3 em 1, Mangueira on/off com velocidade variável de 9 metros, Suporte para mangueira)</v>
      </c>
      <c r="D331" s="64" t="str">
        <f>IFERROR(__xludf.DUMMYFUNCTION("IMPORTRANGE(""https://docs.google.com/spreadsheets/d/1GMOWcUb26jVTosRt5EqlFYb5WfKNVSDMwfDXmDOMGao/edit?gid=410167636#gid=410167636"",""beam!f1"")"),"BEAM")</f>
        <v>BEAM</v>
      </c>
      <c r="E331" s="56">
        <v>0.0</v>
      </c>
      <c r="F331" s="57">
        <f>IFERROR(__xludf.DUMMYFUNCTION("""COMPUTED_VALUE"""),4818.0)</f>
        <v>4818</v>
      </c>
      <c r="G331" s="58">
        <f t="shared" si="9"/>
        <v>4818</v>
      </c>
      <c r="H331" s="58">
        <f t="shared" si="10"/>
        <v>8190.6</v>
      </c>
      <c r="I331" s="59">
        <f t="shared" si="11"/>
        <v>0.7</v>
      </c>
      <c r="J331" s="12"/>
      <c r="K331" s="1"/>
      <c r="L331" s="1"/>
      <c r="M331" s="1"/>
      <c r="N331" s="1"/>
      <c r="O331" s="1"/>
      <c r="P331" s="1"/>
      <c r="Q331" s="1"/>
      <c r="R331" s="1"/>
      <c r="S331" s="1"/>
      <c r="T331" s="1"/>
      <c r="U331" s="1"/>
      <c r="V331" s="1"/>
      <c r="W331" s="1"/>
      <c r="X331" s="1"/>
      <c r="Y331" s="1"/>
      <c r="Z331" s="1"/>
    </row>
    <row r="332">
      <c r="A332" s="1"/>
      <c r="B332" s="1"/>
      <c r="C332" s="60" t="str">
        <f>IFERROR(__xludf.DUMMYFUNCTION("""COMPUTED_VALUE"""),"KIT ACESSÓRIOS COMPLETO, LINHA ALLIANCE 11 METROS
( Escova multiuso exclusiva, Escova de piso Frio exclusiva, Extensor em metal cromo exclusivo, kit de escovas para estofados 3 em 1, Mangueira on/off com velocidade variável de 11 metros, Suporte para mang"&amp;"ueira)")</f>
        <v>KIT ACESSÓRIOS COMPLETO, LINHA ALLIANCE 11 METROS
( Escova multiuso exclusiva, Escova de piso Frio exclusiva, Extensor em metal cromo exclusivo, kit de escovas para estofados 3 em 1, Mangueira on/off com velocidade variável de 11 metros, Suporte para mangueira)</v>
      </c>
      <c r="D332" s="61" t="str">
        <f>IFERROR(__xludf.DUMMYFUNCTION("IMPORTRANGE(""https://docs.google.com/spreadsheets/d/1GMOWcUb26jVTosRt5EqlFYb5WfKNVSDMwfDXmDOMGao/edit?gid=410167636#gid=410167636"",""beam!f1"")"),"BEAM")</f>
        <v>BEAM</v>
      </c>
      <c r="E332" s="50">
        <v>0.0</v>
      </c>
      <c r="F332" s="51">
        <f>IFERROR(__xludf.DUMMYFUNCTION("""COMPUTED_VALUE"""),5073.0)</f>
        <v>5073</v>
      </c>
      <c r="G332" s="52">
        <f t="shared" si="9"/>
        <v>5073</v>
      </c>
      <c r="H332" s="52">
        <f t="shared" si="10"/>
        <v>8624.1</v>
      </c>
      <c r="I332" s="53">
        <f t="shared" si="11"/>
        <v>0.7</v>
      </c>
      <c r="J332" s="12"/>
      <c r="K332" s="1"/>
      <c r="L332" s="1"/>
      <c r="M332" s="1"/>
      <c r="N332" s="1"/>
      <c r="O332" s="1"/>
      <c r="P332" s="1"/>
      <c r="Q332" s="1"/>
      <c r="R332" s="1"/>
      <c r="S332" s="1"/>
      <c r="T332" s="1"/>
      <c r="U332" s="1"/>
      <c r="V332" s="1"/>
      <c r="W332" s="1"/>
      <c r="X332" s="1"/>
      <c r="Y332" s="1"/>
      <c r="Z332" s="1"/>
    </row>
    <row r="333">
      <c r="A333" s="1"/>
      <c r="B333" s="1"/>
      <c r="C333" s="63" t="str">
        <f>IFERROR(__xludf.DUMMYFUNCTION("""COMPUTED_VALUE"""),"KIT ACESSÓRIOS COMPLETO, LINHA ALLIANCE 12 METROS
( Escova multiuso exclusiva, Escova de piso Frio exclusiva, Extensor em metal cromo exclusivo, kit de escovas para estofados 3 em 1, Mangueira on/off com velocidade variável de 12 metros, Suporte para mang"&amp;"ueira)")</f>
        <v>KIT ACESSÓRIOS COMPLETO, LINHA ALLIANCE 12 METROS
( Escova multiuso exclusiva, Escova de piso Frio exclusiva, Extensor em metal cromo exclusivo, kit de escovas para estofados 3 em 1, Mangueira on/off com velocidade variável de 12 metros, Suporte para mangueira)</v>
      </c>
      <c r="D333" s="64" t="str">
        <f>IFERROR(__xludf.DUMMYFUNCTION("IMPORTRANGE(""https://docs.google.com/spreadsheets/d/1GMOWcUb26jVTosRt5EqlFYb5WfKNVSDMwfDXmDOMGao/edit?gid=410167636#gid=410167636"",""beam!f1"")"),"BEAM")</f>
        <v>BEAM</v>
      </c>
      <c r="E333" s="56">
        <v>0.0</v>
      </c>
      <c r="F333" s="57">
        <f>IFERROR(__xludf.DUMMYFUNCTION("""COMPUTED_VALUE"""),5639.0)</f>
        <v>5639</v>
      </c>
      <c r="G333" s="58">
        <f t="shared" si="9"/>
        <v>5639</v>
      </c>
      <c r="H333" s="58">
        <f t="shared" si="10"/>
        <v>9586.3</v>
      </c>
      <c r="I333" s="59">
        <f t="shared" si="11"/>
        <v>0.7</v>
      </c>
      <c r="J333" s="12"/>
      <c r="K333" s="1"/>
      <c r="L333" s="1"/>
      <c r="M333" s="1"/>
      <c r="N333" s="1"/>
      <c r="O333" s="1"/>
      <c r="P333" s="1"/>
      <c r="Q333" s="1"/>
      <c r="R333" s="1"/>
      <c r="S333" s="1"/>
      <c r="T333" s="1"/>
      <c r="U333" s="1"/>
      <c r="V333" s="1"/>
      <c r="W333" s="1"/>
      <c r="X333" s="1"/>
      <c r="Y333" s="1"/>
      <c r="Z333" s="1"/>
    </row>
    <row r="334">
      <c r="A334" s="1"/>
      <c r="B334" s="1"/>
      <c r="C334" s="60" t="str">
        <f>IFERROR(__xludf.DUMMYFUNCTION("""COMPUTED_VALUE"""),"KIT DE ACESSÓRIOS COMPLETO STANDARD INTERVAC MANGUEIRA 9 METROS
( Escova multiuso Stand Intervac, Extensor em metal preto, kit de escovas para estofados, mesas, cantos e mangueira Standard 9 metros Intervac)")</f>
        <v>KIT DE ACESSÓRIOS COMPLETO STANDARD INTERVAC MANGUEIRA 9 METROS
( Escova multiuso Stand Intervac, Extensor em metal preto, kit de escovas para estofados, mesas, cantos e mangueira Standard 9 metros Intervac)</v>
      </c>
      <c r="D334" s="61" t="str">
        <f>IFERROR(__xludf.DUMMYFUNCTION("IMPORTRANGE(""https://docs.google.com/spreadsheets/d/1GMOWcUb26jVTosRt5EqlFYb5WfKNVSDMwfDXmDOMGao/edit?gid=410167636#gid=410167636"",""beam!f1"")"),"BEAM")</f>
        <v>BEAM</v>
      </c>
      <c r="E334" s="50">
        <v>0.0</v>
      </c>
      <c r="F334" s="51">
        <f>IFERROR(__xludf.DUMMYFUNCTION("""COMPUTED_VALUE"""),1485.0)</f>
        <v>1485</v>
      </c>
      <c r="G334" s="52">
        <f t="shared" si="9"/>
        <v>1485</v>
      </c>
      <c r="H334" s="52">
        <f t="shared" si="10"/>
        <v>2524.5</v>
      </c>
      <c r="I334" s="53">
        <f t="shared" si="11"/>
        <v>0.7</v>
      </c>
      <c r="J334" s="12"/>
      <c r="K334" s="1"/>
      <c r="L334" s="1"/>
      <c r="M334" s="1"/>
      <c r="N334" s="1"/>
      <c r="O334" s="1"/>
      <c r="P334" s="1"/>
      <c r="Q334" s="1"/>
      <c r="R334" s="1"/>
      <c r="S334" s="1"/>
      <c r="T334" s="1"/>
      <c r="U334" s="1"/>
      <c r="V334" s="1"/>
      <c r="W334" s="1"/>
      <c r="X334" s="1"/>
      <c r="Y334" s="1"/>
      <c r="Z334" s="1"/>
    </row>
    <row r="335">
      <c r="A335" s="1"/>
      <c r="B335" s="1"/>
      <c r="C335" s="63" t="str">
        <f>IFERROR(__xludf.DUMMYFUNCTION("""COMPUTED_VALUE"""),"KIT DE ACESSÓRIOS COMPLETO STANDARD INTERVAC MANGUEIRA 11 METROS
( Escova multiuso Stand Intervac, Extensor em metal preto, kit de escovas para estofados, mesas, cantos e mangueira Standard 11 metros Intervac)")</f>
        <v>KIT DE ACESSÓRIOS COMPLETO STANDARD INTERVAC MANGUEIRA 11 METROS
( Escova multiuso Stand Intervac, Extensor em metal preto, kit de escovas para estofados, mesas, cantos e mangueira Standard 11 metros Intervac)</v>
      </c>
      <c r="D335" s="64" t="str">
        <f>IFERROR(__xludf.DUMMYFUNCTION("IMPORTRANGE(""https://docs.google.com/spreadsheets/d/1GMOWcUb26jVTosRt5EqlFYb5WfKNVSDMwfDXmDOMGao/edit?gid=410167636#gid=410167636"",""beam!f1"")"),"BEAM")</f>
        <v>BEAM</v>
      </c>
      <c r="E335" s="56">
        <v>0.0</v>
      </c>
      <c r="F335" s="57">
        <f>IFERROR(__xludf.DUMMYFUNCTION("""COMPUTED_VALUE"""),1568.0)</f>
        <v>1568</v>
      </c>
      <c r="G335" s="58">
        <f t="shared" si="9"/>
        <v>1568</v>
      </c>
      <c r="H335" s="58">
        <f t="shared" si="10"/>
        <v>2665.6</v>
      </c>
      <c r="I335" s="59">
        <f t="shared" si="11"/>
        <v>0.7</v>
      </c>
      <c r="J335" s="12"/>
      <c r="K335" s="1"/>
      <c r="L335" s="1"/>
      <c r="M335" s="1"/>
      <c r="N335" s="1"/>
      <c r="O335" s="1"/>
      <c r="P335" s="1"/>
      <c r="Q335" s="1"/>
      <c r="R335" s="1"/>
      <c r="S335" s="1"/>
      <c r="T335" s="1"/>
      <c r="U335" s="1"/>
      <c r="V335" s="1"/>
      <c r="W335" s="1"/>
      <c r="X335" s="1"/>
      <c r="Y335" s="1"/>
      <c r="Z335" s="1"/>
    </row>
    <row r="336">
      <c r="A336" s="1"/>
      <c r="B336" s="1"/>
      <c r="C336" s="60" t="str">
        <f>IFERROR(__xludf.DUMMYFUNCTION("""COMPUTED_VALUE"""),"KIT DE ACESSÓRIOS COMPLETO ON/OFF INTERVAC MANGUEIRA 9 METROS
( Escova multiuso Stand Intervac, Extensor em metal preto, kit de escovas para estofados, mesas, cantos e mangueira Standard 9 metros Intervac)")</f>
        <v>KIT DE ACESSÓRIOS COMPLETO ON/OFF INTERVAC MANGUEIRA 9 METROS
( Escova multiuso Stand Intervac, Extensor em metal preto, kit de escovas para estofados, mesas, cantos e mangueira Standard 9 metros Intervac)</v>
      </c>
      <c r="D336" s="61" t="str">
        <f>IFERROR(__xludf.DUMMYFUNCTION("IMPORTRANGE(""https://docs.google.com/spreadsheets/d/1GMOWcUb26jVTosRt5EqlFYb5WfKNVSDMwfDXmDOMGao/edit?gid=410167636#gid=410167636"",""beam!f1"")"),"BEAM")</f>
        <v>BEAM</v>
      </c>
      <c r="E336" s="50">
        <v>0.0</v>
      </c>
      <c r="F336" s="51">
        <f>IFERROR(__xludf.DUMMYFUNCTION("""COMPUTED_VALUE"""),2574.0)</f>
        <v>2574</v>
      </c>
      <c r="G336" s="52">
        <f t="shared" si="9"/>
        <v>2574</v>
      </c>
      <c r="H336" s="52">
        <f t="shared" si="10"/>
        <v>4375.8</v>
      </c>
      <c r="I336" s="53">
        <f t="shared" si="11"/>
        <v>0.7</v>
      </c>
      <c r="J336" s="12"/>
      <c r="K336" s="1"/>
      <c r="L336" s="1"/>
      <c r="M336" s="1"/>
      <c r="N336" s="1"/>
      <c r="O336" s="1"/>
      <c r="P336" s="1"/>
      <c r="Q336" s="1"/>
      <c r="R336" s="1"/>
      <c r="S336" s="1"/>
      <c r="T336" s="1"/>
      <c r="U336" s="1"/>
      <c r="V336" s="1"/>
      <c r="W336" s="1"/>
      <c r="X336" s="1"/>
      <c r="Y336" s="1"/>
      <c r="Z336" s="1"/>
    </row>
    <row r="337">
      <c r="A337" s="1"/>
      <c r="B337" s="1"/>
      <c r="C337" s="63" t="str">
        <f>IFERROR(__xludf.DUMMYFUNCTION("""COMPUTED_VALUE"""),"KIT DE ACESSÓRIOS COMPLETO ON/OFF INTERVAC MANGUEIRA 11 METROS
( Escova multiuso Stand Intervac, Extensor em metal preto, kit de escovas para estofados, mesas, cantos e mangueira Standard 11 metros Intervac)")</f>
        <v>KIT DE ACESSÓRIOS COMPLETO ON/OFF INTERVAC MANGUEIRA 11 METROS
( Escova multiuso Stand Intervac, Extensor em metal preto, kit de escovas para estofados, mesas, cantos e mangueira Standard 11 metros Intervac)</v>
      </c>
      <c r="D337" s="64" t="str">
        <f>IFERROR(__xludf.DUMMYFUNCTION("IMPORTRANGE(""https://docs.google.com/spreadsheets/d/1GMOWcUb26jVTosRt5EqlFYb5WfKNVSDMwfDXmDOMGao/edit?gid=410167636#gid=410167636"",""beam!f1"")"),"BEAM")</f>
        <v>BEAM</v>
      </c>
      <c r="E337" s="56">
        <v>0.0</v>
      </c>
      <c r="F337" s="57">
        <f>IFERROR(__xludf.DUMMYFUNCTION("""COMPUTED_VALUE"""),2761.0)</f>
        <v>2761</v>
      </c>
      <c r="G337" s="58">
        <f t="shared" si="9"/>
        <v>2761</v>
      </c>
      <c r="H337" s="58">
        <f t="shared" si="10"/>
        <v>4693.7</v>
      </c>
      <c r="I337" s="59">
        <f t="shared" si="11"/>
        <v>0.7</v>
      </c>
      <c r="J337" s="12"/>
      <c r="K337" s="1"/>
      <c r="L337" s="1"/>
      <c r="M337" s="1"/>
      <c r="N337" s="1"/>
      <c r="O337" s="1"/>
      <c r="P337" s="1"/>
      <c r="Q337" s="1"/>
      <c r="R337" s="1"/>
      <c r="S337" s="1"/>
      <c r="T337" s="1"/>
      <c r="U337" s="1"/>
      <c r="V337" s="1"/>
      <c r="W337" s="1"/>
      <c r="X337" s="1"/>
      <c r="Y337" s="1"/>
      <c r="Z337" s="1"/>
    </row>
    <row r="338">
      <c r="A338" s="1"/>
      <c r="B338" s="1"/>
      <c r="C338" s="60" t="str">
        <f>IFERROR(__xludf.DUMMYFUNCTION("""COMPUTED_VALUE"""),"KIT DE ACESSÓRIOS CENTRAIS INTERVAC ( H220, RMD220, CS E CSRM)
( Escova multiuso Stand Intervac, Extensor em metal preto, Escovas para estofados, mesas, cantos e Mangueira Expansível se expande até 11 metros)")</f>
        <v>KIT DE ACESSÓRIOS CENTRAIS INTERVAC ( H220, RMD220, CS E CSRM)
( Escova multiuso Stand Intervac, Extensor em metal preto, Escovas para estofados, mesas, cantos e Mangueira Expansível se expande até 11 metros)</v>
      </c>
      <c r="D338" s="61" t="str">
        <f>IFERROR(__xludf.DUMMYFUNCTION("IMPORTRANGE(""https://docs.google.com/spreadsheets/d/1GMOWcUb26jVTosRt5EqlFYb5WfKNVSDMwfDXmDOMGao/edit?gid=410167636#gid=410167636"",""beam!f1"")"),"BEAM")</f>
        <v>BEAM</v>
      </c>
      <c r="E338" s="50">
        <v>0.0</v>
      </c>
      <c r="F338" s="51">
        <f>IFERROR(__xludf.DUMMYFUNCTION("""COMPUTED_VALUE"""),2720.0)</f>
        <v>2720</v>
      </c>
      <c r="G338" s="52">
        <f t="shared" si="9"/>
        <v>2720</v>
      </c>
      <c r="H338" s="52">
        <f t="shared" si="10"/>
        <v>4624</v>
      </c>
      <c r="I338" s="53">
        <f t="shared" si="11"/>
        <v>0.7</v>
      </c>
      <c r="J338" s="12"/>
      <c r="K338" s="1"/>
      <c r="L338" s="1"/>
      <c r="M338" s="1"/>
      <c r="N338" s="1"/>
      <c r="O338" s="1"/>
      <c r="P338" s="1"/>
      <c r="Q338" s="1"/>
      <c r="R338" s="1"/>
      <c r="S338" s="1"/>
      <c r="T338" s="1"/>
      <c r="U338" s="1"/>
      <c r="V338" s="1"/>
      <c r="W338" s="1"/>
      <c r="X338" s="1"/>
      <c r="Y338" s="1"/>
      <c r="Z338" s="1"/>
    </row>
    <row r="339">
      <c r="A339" s="1"/>
      <c r="B339" s="1"/>
      <c r="C339" s="63" t="str">
        <f>IFERROR(__xludf.DUMMYFUNCTION("""COMPUTED_VALUE"""),"WallyFlex é um inovador acessório de fácil instalação para o sistema de Aspiração Central. Permite limpar rapidamente pequenas áreas de forma rápida e prática.")</f>
        <v>WallyFlex é um inovador acessório de fácil instalação para o sistema de Aspiração Central. Permite limpar rapidamente pequenas áreas de forma rápida e prática.</v>
      </c>
      <c r="D339" s="64" t="str">
        <f>IFERROR(__xludf.DUMMYFUNCTION("IMPORTRANGE(""https://docs.google.com/spreadsheets/d/1GMOWcUb26jVTosRt5EqlFYb5WfKNVSDMwfDXmDOMGao/edit?gid=410167636#gid=410167636"",""beam!f1"")"),"BEAM")</f>
        <v>BEAM</v>
      </c>
      <c r="E339" s="56">
        <v>0.0</v>
      </c>
      <c r="F339" s="57">
        <f>IFERROR(__xludf.DUMMYFUNCTION("""COMPUTED_VALUE"""),1605.0)</f>
        <v>1605</v>
      </c>
      <c r="G339" s="58">
        <f t="shared" si="9"/>
        <v>1605</v>
      </c>
      <c r="H339" s="58">
        <f t="shared" si="10"/>
        <v>2728.5</v>
      </c>
      <c r="I339" s="59">
        <f t="shared" si="11"/>
        <v>0.7</v>
      </c>
      <c r="J339" s="12"/>
      <c r="K339" s="1"/>
      <c r="L339" s="1"/>
      <c r="M339" s="1"/>
      <c r="N339" s="1"/>
      <c r="O339" s="1"/>
      <c r="P339" s="1"/>
      <c r="Q339" s="1"/>
      <c r="R339" s="1"/>
      <c r="S339" s="1"/>
      <c r="T339" s="1"/>
      <c r="U339" s="1"/>
      <c r="V339" s="1"/>
      <c r="W339" s="1"/>
      <c r="X339" s="1"/>
      <c r="Y339" s="1"/>
      <c r="Z339" s="1"/>
    </row>
    <row r="340">
      <c r="A340" s="1"/>
      <c r="B340" s="1"/>
      <c r="C340" s="60" t="str">
        <f>IFERROR(__xludf.DUMMYFUNCTION("""COMPUTED_VALUE"""),"SUPORTE PARA MANGUEIRA EM METAL")</f>
        <v>SUPORTE PARA MANGUEIRA EM METAL</v>
      </c>
      <c r="D340" s="61" t="str">
        <f>IFERROR(__xludf.DUMMYFUNCTION("IMPORTRANGE(""https://docs.google.com/spreadsheets/d/1GMOWcUb26jVTosRt5EqlFYb5WfKNVSDMwfDXmDOMGao/edit?gid=410167636#gid=410167636"",""beam!f1"")"),"BEAM")</f>
        <v>BEAM</v>
      </c>
      <c r="E340" s="50">
        <v>0.0</v>
      </c>
      <c r="F340" s="51">
        <f>IFERROR(__xludf.DUMMYFUNCTION("""COMPUTED_VALUE"""),312.0)</f>
        <v>312</v>
      </c>
      <c r="G340" s="52">
        <f t="shared" si="9"/>
        <v>312</v>
      </c>
      <c r="H340" s="52">
        <f t="shared" si="10"/>
        <v>530.4</v>
      </c>
      <c r="I340" s="53">
        <f t="shared" si="11"/>
        <v>0.7</v>
      </c>
      <c r="J340" s="12"/>
      <c r="K340" s="1"/>
      <c r="L340" s="1"/>
      <c r="M340" s="1"/>
      <c r="N340" s="1"/>
      <c r="O340" s="1"/>
      <c r="P340" s="1"/>
      <c r="Q340" s="1"/>
      <c r="R340" s="1"/>
      <c r="S340" s="1"/>
      <c r="T340" s="1"/>
      <c r="U340" s="1"/>
      <c r="V340" s="1"/>
      <c r="W340" s="1"/>
      <c r="X340" s="1"/>
      <c r="Y340" s="1"/>
      <c r="Z340" s="1"/>
    </row>
    <row r="341">
      <c r="A341" s="1"/>
      <c r="B341" s="1"/>
      <c r="C341" s="63" t="str">
        <f>IFERROR(__xludf.DUMMYFUNCTION("""COMPUTED_VALUE"""),"EXTENSOR AÇO INOX PROGRESSIVO PARA MANGUEIRA
(Retrátil aço inoxidável)")</f>
        <v>EXTENSOR AÇO INOX PROGRESSIVO PARA MANGUEIRA
(Retrátil aço inoxidável)</v>
      </c>
      <c r="D341" s="64" t="str">
        <f>IFERROR(__xludf.DUMMYFUNCTION("IMPORTRANGE(""https://docs.google.com/spreadsheets/d/1GMOWcUb26jVTosRt5EqlFYb5WfKNVSDMwfDXmDOMGao/edit?gid=410167636#gid=410167636"",""beam!f1"")"),"BEAM")</f>
        <v>BEAM</v>
      </c>
      <c r="E341" s="56">
        <v>0.0</v>
      </c>
      <c r="F341" s="57">
        <f>IFERROR(__xludf.DUMMYFUNCTION("""COMPUTED_VALUE"""),280.0)</f>
        <v>280</v>
      </c>
      <c r="G341" s="58">
        <f t="shared" si="9"/>
        <v>280</v>
      </c>
      <c r="H341" s="58">
        <f t="shared" si="10"/>
        <v>476</v>
      </c>
      <c r="I341" s="59">
        <f t="shared" si="11"/>
        <v>0.7</v>
      </c>
      <c r="J341" s="12"/>
      <c r="K341" s="1"/>
      <c r="L341" s="1"/>
      <c r="M341" s="1"/>
      <c r="N341" s="1"/>
      <c r="O341" s="1"/>
      <c r="P341" s="1"/>
      <c r="Q341" s="1"/>
      <c r="R341" s="1"/>
      <c r="S341" s="1"/>
      <c r="T341" s="1"/>
      <c r="U341" s="1"/>
      <c r="V341" s="1"/>
      <c r="W341" s="1"/>
      <c r="X341" s="1"/>
      <c r="Y341" s="1"/>
      <c r="Z341" s="1"/>
    </row>
    <row r="342">
      <c r="A342" s="1"/>
      <c r="B342" s="1"/>
      <c r="C342" s="60" t="str">
        <f>IFERROR(__xludf.DUMMYFUNCTION("""COMPUTED_VALUE"""),"EXTENSOR CROMO  PARA MANGUEIRA
(Retrátil)")</f>
        <v>EXTENSOR CROMO  PARA MANGUEIRA
(Retrátil)</v>
      </c>
      <c r="D342" s="61" t="str">
        <f>IFERROR(__xludf.DUMMYFUNCTION("IMPORTRANGE(""https://docs.google.com/spreadsheets/d/1GMOWcUb26jVTosRt5EqlFYb5WfKNVSDMwfDXmDOMGao/edit?gid=410167636#gid=410167636"",""beam!f1"")"),"BEAM")</f>
        <v>BEAM</v>
      </c>
      <c r="E342" s="50">
        <v>0.0</v>
      </c>
      <c r="F342" s="51">
        <f>IFERROR(__xludf.DUMMYFUNCTION("""COMPUTED_VALUE"""),517.0)</f>
        <v>517</v>
      </c>
      <c r="G342" s="52">
        <f t="shared" si="9"/>
        <v>517</v>
      </c>
      <c r="H342" s="52">
        <f t="shared" si="10"/>
        <v>878.9</v>
      </c>
      <c r="I342" s="53">
        <f t="shared" si="11"/>
        <v>0.7</v>
      </c>
      <c r="J342" s="12"/>
      <c r="K342" s="1"/>
      <c r="L342" s="1"/>
      <c r="M342" s="1"/>
      <c r="N342" s="1"/>
      <c r="O342" s="1"/>
      <c r="P342" s="1"/>
      <c r="Q342" s="1"/>
      <c r="R342" s="1"/>
      <c r="S342" s="1"/>
      <c r="T342" s="1"/>
      <c r="U342" s="1"/>
      <c r="V342" s="1"/>
      <c r="W342" s="1"/>
      <c r="X342" s="1"/>
      <c r="Y342" s="1"/>
      <c r="Z342" s="1"/>
    </row>
    <row r="343">
      <c r="A343" s="1"/>
      <c r="B343" s="1"/>
      <c r="C343" s="63" t="str">
        <f>IFERROR(__xludf.DUMMYFUNCTION("""COMPUTED_VALUE"""),"ADAPTADOR PARA SUPERFICÍES BAIXAS  FLEXÍVEL
(Para limpeza de locais com difícil acesso)")</f>
        <v>ADAPTADOR PARA SUPERFICÍES BAIXAS  FLEXÍVEL
(Para limpeza de locais com difícil acesso)</v>
      </c>
      <c r="D343" s="64" t="str">
        <f>IFERROR(__xludf.DUMMYFUNCTION("IMPORTRANGE(""https://docs.google.com/spreadsheets/d/1GMOWcUb26jVTosRt5EqlFYb5WfKNVSDMwfDXmDOMGao/edit?gid=410167636#gid=410167636"",""beam!f1"")"),"BEAM")</f>
        <v>BEAM</v>
      </c>
      <c r="E343" s="56">
        <v>0.0</v>
      </c>
      <c r="F343" s="57">
        <f>IFERROR(__xludf.DUMMYFUNCTION("""COMPUTED_VALUE"""),292.0)</f>
        <v>292</v>
      </c>
      <c r="G343" s="58">
        <f t="shared" si="9"/>
        <v>292</v>
      </c>
      <c r="H343" s="58">
        <f t="shared" si="10"/>
        <v>496.4</v>
      </c>
      <c r="I343" s="59">
        <f t="shared" si="11"/>
        <v>0.7</v>
      </c>
      <c r="J343" s="12"/>
      <c r="K343" s="1"/>
      <c r="L343" s="1"/>
      <c r="M343" s="1"/>
      <c r="N343" s="1"/>
      <c r="O343" s="1"/>
      <c r="P343" s="1"/>
      <c r="Q343" s="1"/>
      <c r="R343" s="1"/>
      <c r="S343" s="1"/>
      <c r="T343" s="1"/>
      <c r="U343" s="1"/>
      <c r="V343" s="1"/>
      <c r="W343" s="1"/>
      <c r="X343" s="1"/>
      <c r="Y343" s="1"/>
      <c r="Z343" s="1"/>
    </row>
    <row r="344">
      <c r="A344" s="1"/>
      <c r="B344" s="1"/>
      <c r="C344" s="60" t="str">
        <f>IFERROR(__xludf.DUMMYFUNCTION("""COMPUTED_VALUE"""),"ADAPTADOR PARA SUPERFICÍES BAIXAS  RÍGIDO EXTENVAC
(Para limpeza de locais com difícil acesso)")</f>
        <v>ADAPTADOR PARA SUPERFICÍES BAIXAS  RÍGIDO EXTENVAC
(Para limpeza de locais com difícil acesso)</v>
      </c>
      <c r="D344" s="61" t="str">
        <f>IFERROR(__xludf.DUMMYFUNCTION("IMPORTRANGE(""https://docs.google.com/spreadsheets/d/1GMOWcUb26jVTosRt5EqlFYb5WfKNVSDMwfDXmDOMGao/edit?gid=410167636#gid=410167636"",""beam!f1"")"),"BEAM")</f>
        <v>BEAM</v>
      </c>
      <c r="E344" s="50">
        <v>0.0</v>
      </c>
      <c r="F344" s="51">
        <f>IFERROR(__xludf.DUMMYFUNCTION("""COMPUTED_VALUE"""),368.0)</f>
        <v>368</v>
      </c>
      <c r="G344" s="52">
        <f t="shared" si="9"/>
        <v>368</v>
      </c>
      <c r="H344" s="52">
        <f t="shared" si="10"/>
        <v>625.6</v>
      </c>
      <c r="I344" s="53">
        <f t="shared" si="11"/>
        <v>0.7</v>
      </c>
      <c r="J344" s="12"/>
      <c r="K344" s="1"/>
      <c r="L344" s="1"/>
      <c r="M344" s="1"/>
      <c r="N344" s="1"/>
      <c r="O344" s="1"/>
      <c r="P344" s="1"/>
      <c r="Q344" s="1"/>
      <c r="R344" s="1"/>
      <c r="S344" s="1"/>
      <c r="T344" s="1"/>
      <c r="U344" s="1"/>
      <c r="V344" s="1"/>
      <c r="W344" s="1"/>
      <c r="X344" s="1"/>
      <c r="Y344" s="1"/>
      <c r="Z344" s="1"/>
    </row>
    <row r="345">
      <c r="A345" s="1"/>
      <c r="B345" s="1"/>
      <c r="C345" s="63" t="str">
        <f>IFERROR(__xludf.DUMMYFUNCTION("""COMPUTED_VALUE"""),"ESCOVA MULTIUSO ROLDANA TITAN
(Para Piso Frio e Carpete, possui uma rodinha que facilita a movimentação)")</f>
        <v>ESCOVA MULTIUSO ROLDANA TITAN
(Para Piso Frio e Carpete, possui uma rodinha que facilita a movimentação)</v>
      </c>
      <c r="D345" s="64" t="str">
        <f>IFERROR(__xludf.DUMMYFUNCTION("IMPORTRANGE(""https://docs.google.com/spreadsheets/d/1GMOWcUb26jVTosRt5EqlFYb5WfKNVSDMwfDXmDOMGao/edit?gid=410167636#gid=410167636"",""beam!f1"")"),"BEAM")</f>
        <v>BEAM</v>
      </c>
      <c r="E345" s="56">
        <v>0.0</v>
      </c>
      <c r="F345" s="57">
        <f>IFERROR(__xludf.DUMMYFUNCTION("""COMPUTED_VALUE"""),675.0)</f>
        <v>675</v>
      </c>
      <c r="G345" s="58">
        <f t="shared" si="9"/>
        <v>675</v>
      </c>
      <c r="H345" s="58">
        <f t="shared" si="10"/>
        <v>1147.5</v>
      </c>
      <c r="I345" s="59">
        <f t="shared" si="11"/>
        <v>0.7</v>
      </c>
      <c r="J345" s="12"/>
      <c r="K345" s="1"/>
      <c r="L345" s="1"/>
      <c r="M345" s="1"/>
      <c r="N345" s="1"/>
      <c r="O345" s="1"/>
      <c r="P345" s="1"/>
      <c r="Q345" s="1"/>
      <c r="R345" s="1"/>
      <c r="S345" s="1"/>
      <c r="T345" s="1"/>
      <c r="U345" s="1"/>
      <c r="V345" s="1"/>
      <c r="W345" s="1"/>
      <c r="X345" s="1"/>
      <c r="Y345" s="1"/>
      <c r="Z345" s="1"/>
    </row>
    <row r="346">
      <c r="A346" s="1"/>
      <c r="B346" s="1"/>
      <c r="C346" s="60" t="str">
        <f>IFERROR(__xludf.DUMMYFUNCTION("""COMPUTED_VALUE"""),"ESCOVA MULTIUSO STANDARD TITAN
(Para Piso Frio e Carpete)")</f>
        <v>ESCOVA MULTIUSO STANDARD TITAN
(Para Piso Frio e Carpete)</v>
      </c>
      <c r="D346" s="61" t="str">
        <f>IFERROR(__xludf.DUMMYFUNCTION("IMPORTRANGE(""https://docs.google.com/spreadsheets/d/1GMOWcUb26jVTosRt5EqlFYb5WfKNVSDMwfDXmDOMGao/edit?gid=410167636#gid=410167636"",""beam!f1"")"),"BEAM")</f>
        <v>BEAM</v>
      </c>
      <c r="E346" s="50">
        <v>0.0</v>
      </c>
      <c r="F346" s="51">
        <f>IFERROR(__xludf.DUMMYFUNCTION("""COMPUTED_VALUE"""),257.0)</f>
        <v>257</v>
      </c>
      <c r="G346" s="52">
        <f t="shared" si="9"/>
        <v>257</v>
      </c>
      <c r="H346" s="52">
        <f t="shared" si="10"/>
        <v>436.9</v>
      </c>
      <c r="I346" s="53">
        <f t="shared" si="11"/>
        <v>0.7</v>
      </c>
      <c r="J346" s="12"/>
      <c r="K346" s="1"/>
      <c r="L346" s="1"/>
      <c r="M346" s="1"/>
      <c r="N346" s="1"/>
      <c r="O346" s="1"/>
      <c r="P346" s="1"/>
      <c r="Q346" s="1"/>
      <c r="R346" s="1"/>
      <c r="S346" s="1"/>
      <c r="T346" s="1"/>
      <c r="U346" s="1"/>
      <c r="V346" s="1"/>
      <c r="W346" s="1"/>
      <c r="X346" s="1"/>
      <c r="Y346" s="1"/>
      <c r="Z346" s="1"/>
    </row>
    <row r="347">
      <c r="A347" s="1"/>
      <c r="B347" s="1"/>
      <c r="C347" s="63" t="str">
        <f>IFERROR(__xludf.DUMMYFUNCTION("""COMPUTED_VALUE"""),"ESCOVA DE PISO FRIO")</f>
        <v>ESCOVA DE PISO FRIO</v>
      </c>
      <c r="D347" s="64" t="str">
        <f>IFERROR(__xludf.DUMMYFUNCTION("IMPORTRANGE(""https://docs.google.com/spreadsheets/d/1GMOWcUb26jVTosRt5EqlFYb5WfKNVSDMwfDXmDOMGao/edit?gid=410167636#gid=410167636"",""beam!f1"")"),"BEAM")</f>
        <v>BEAM</v>
      </c>
      <c r="E347" s="56">
        <v>0.0</v>
      </c>
      <c r="F347" s="57">
        <f>IFERROR(__xludf.DUMMYFUNCTION("""COMPUTED_VALUE"""),225.0)</f>
        <v>225</v>
      </c>
      <c r="G347" s="58">
        <f t="shared" si="9"/>
        <v>225</v>
      </c>
      <c r="H347" s="58">
        <f t="shared" si="10"/>
        <v>382.5</v>
      </c>
      <c r="I347" s="59">
        <f t="shared" si="11"/>
        <v>0.7</v>
      </c>
      <c r="J347" s="12"/>
      <c r="K347" s="1"/>
      <c r="L347" s="1"/>
      <c r="M347" s="1"/>
      <c r="N347" s="1"/>
      <c r="O347" s="1"/>
      <c r="P347" s="1"/>
      <c r="Q347" s="1"/>
      <c r="R347" s="1"/>
      <c r="S347" s="1"/>
      <c r="T347" s="1"/>
      <c r="U347" s="1"/>
      <c r="V347" s="1"/>
      <c r="W347" s="1"/>
      <c r="X347" s="1"/>
      <c r="Y347" s="1"/>
      <c r="Z347" s="1"/>
    </row>
    <row r="348">
      <c r="A348" s="1"/>
      <c r="B348" s="1"/>
      <c r="C348" s="60" t="str">
        <f>IFERROR(__xludf.DUMMYFUNCTION("""COMPUTED_VALUE"""),"KIT DE ESCOVAS PRETO
(Kit de escovas para estofados, pussui 3 peças)")</f>
        <v>KIT DE ESCOVAS PRETO
(Kit de escovas para estofados, pussui 3 peças)</v>
      </c>
      <c r="D348" s="61" t="str">
        <f>IFERROR(__xludf.DUMMYFUNCTION("IMPORTRANGE(""https://docs.google.com/spreadsheets/d/1GMOWcUb26jVTosRt5EqlFYb5WfKNVSDMwfDXmDOMGao/edit?gid=410167636#gid=410167636"",""beam!f1"")"),"BEAM")</f>
        <v>BEAM</v>
      </c>
      <c r="E348" s="50">
        <v>0.0</v>
      </c>
      <c r="F348" s="51">
        <f>IFERROR(__xludf.DUMMYFUNCTION("""COMPUTED_VALUE"""),166.0)</f>
        <v>166</v>
      </c>
      <c r="G348" s="52">
        <f t="shared" si="9"/>
        <v>166</v>
      </c>
      <c r="H348" s="52">
        <f t="shared" si="10"/>
        <v>282.2</v>
      </c>
      <c r="I348" s="53">
        <f t="shared" si="11"/>
        <v>0.7</v>
      </c>
      <c r="J348" s="12"/>
      <c r="K348" s="1"/>
      <c r="L348" s="1"/>
      <c r="M348" s="1"/>
      <c r="N348" s="1"/>
      <c r="O348" s="1"/>
      <c r="P348" s="1"/>
      <c r="Q348" s="1"/>
      <c r="R348" s="1"/>
      <c r="S348" s="1"/>
      <c r="T348" s="1"/>
      <c r="U348" s="1"/>
      <c r="V348" s="1"/>
      <c r="W348" s="1"/>
      <c r="X348" s="1"/>
      <c r="Y348" s="1"/>
      <c r="Z348" s="1"/>
    </row>
    <row r="349">
      <c r="A349" s="1"/>
      <c r="B349" s="1"/>
      <c r="C349" s="63" t="str">
        <f>IFERROR(__xludf.DUMMYFUNCTION("""COMPUTED_VALUE"""),"KIT DE ESCOVAS DELUXE PRETO
( Escova de piso frio grande e kit com 4 escovas )")</f>
        <v>KIT DE ESCOVAS DELUXE PRETO
( Escova de piso frio grande e kit com 4 escovas )</v>
      </c>
      <c r="D349" s="64" t="str">
        <f>IFERROR(__xludf.DUMMYFUNCTION("IMPORTRANGE(""https://docs.google.com/spreadsheets/d/1GMOWcUb26jVTosRt5EqlFYb5WfKNVSDMwfDXmDOMGao/edit?gid=410167636#gid=410167636"",""beam!f1"")"),"BEAM")</f>
        <v>BEAM</v>
      </c>
      <c r="E349" s="56">
        <v>0.0</v>
      </c>
      <c r="F349" s="57">
        <f>IFERROR(__xludf.DUMMYFUNCTION("""COMPUTED_VALUE"""),298.0)</f>
        <v>298</v>
      </c>
      <c r="G349" s="58">
        <f t="shared" si="9"/>
        <v>298</v>
      </c>
      <c r="H349" s="58">
        <f t="shared" si="10"/>
        <v>506.6</v>
      </c>
      <c r="I349" s="59">
        <f t="shared" si="11"/>
        <v>0.7</v>
      </c>
      <c r="J349" s="12"/>
      <c r="K349" s="1"/>
      <c r="L349" s="1"/>
      <c r="M349" s="1"/>
      <c r="N349" s="1"/>
      <c r="O349" s="1"/>
      <c r="P349" s="1"/>
      <c r="Q349" s="1"/>
      <c r="R349" s="1"/>
      <c r="S349" s="1"/>
      <c r="T349" s="1"/>
      <c r="U349" s="1"/>
      <c r="V349" s="1"/>
      <c r="W349" s="1"/>
      <c r="X349" s="1"/>
      <c r="Y349" s="1"/>
      <c r="Z349" s="1"/>
    </row>
    <row r="350">
      <c r="A350" s="1"/>
      <c r="B350" s="1"/>
      <c r="C350" s="60" t="str">
        <f>IFERROR(__xludf.DUMMYFUNCTION("""COMPUTED_VALUE"""),"ESCOVA PET
( para animais pequenos de estimação, gato e cão )")</f>
        <v>ESCOVA PET
( para animais pequenos de estimação, gato e cão )</v>
      </c>
      <c r="D350" s="61" t="str">
        <f>IFERROR(__xludf.DUMMYFUNCTION("IMPORTRANGE(""https://docs.google.com/spreadsheets/d/1GMOWcUb26jVTosRt5EqlFYb5WfKNVSDMwfDXmDOMGao/edit?gid=410167636#gid=410167636"",""beam!f1"")"),"BEAM")</f>
        <v>BEAM</v>
      </c>
      <c r="E350" s="50">
        <v>0.0</v>
      </c>
      <c r="F350" s="51">
        <f>IFERROR(__xludf.DUMMYFUNCTION("""COMPUTED_VALUE"""),216.0)</f>
        <v>216</v>
      </c>
      <c r="G350" s="52">
        <f t="shared" si="9"/>
        <v>216</v>
      </c>
      <c r="H350" s="52">
        <f t="shared" si="10"/>
        <v>367.2</v>
      </c>
      <c r="I350" s="53">
        <f t="shared" si="11"/>
        <v>0.7</v>
      </c>
      <c r="J350" s="12"/>
      <c r="K350" s="1"/>
      <c r="L350" s="1"/>
      <c r="M350" s="1"/>
      <c r="N350" s="1"/>
      <c r="O350" s="1"/>
      <c r="P350" s="1"/>
      <c r="Q350" s="1"/>
      <c r="R350" s="1"/>
      <c r="S350" s="1"/>
      <c r="T350" s="1"/>
      <c r="U350" s="1"/>
      <c r="V350" s="1"/>
      <c r="W350" s="1"/>
      <c r="X350" s="1"/>
      <c r="Y350" s="1"/>
      <c r="Z350" s="1"/>
    </row>
    <row r="351">
      <c r="A351" s="1"/>
      <c r="B351" s="1"/>
      <c r="C351" s="63" t="str">
        <f>IFERROR(__xludf.DUMMYFUNCTION("""COMPUTED_VALUE"""),"SUPORTE PARA MANGUEIRA
( Modelo Deluxe de Plástico )")</f>
        <v>SUPORTE PARA MANGUEIRA
( Modelo Deluxe de Plástico )</v>
      </c>
      <c r="D351" s="64" t="str">
        <f>IFERROR(__xludf.DUMMYFUNCTION("IMPORTRANGE(""https://docs.google.com/spreadsheets/d/1GMOWcUb26jVTosRt5EqlFYb5WfKNVSDMwfDXmDOMGao/edit?gid=410167636#gid=410167636"",""beam!f1"")"),"BEAM")</f>
        <v>BEAM</v>
      </c>
      <c r="E351" s="56">
        <v>0.0</v>
      </c>
      <c r="F351" s="57">
        <f>IFERROR(__xludf.DUMMYFUNCTION("""COMPUTED_VALUE"""),170.0)</f>
        <v>170</v>
      </c>
      <c r="G351" s="58">
        <f t="shared" si="9"/>
        <v>170</v>
      </c>
      <c r="H351" s="58">
        <f t="shared" si="10"/>
        <v>289</v>
      </c>
      <c r="I351" s="59">
        <f t="shared" si="11"/>
        <v>0.7</v>
      </c>
      <c r="J351" s="12"/>
      <c r="K351" s="1"/>
      <c r="L351" s="1"/>
      <c r="M351" s="1"/>
      <c r="N351" s="1"/>
      <c r="O351" s="1"/>
      <c r="P351" s="1"/>
      <c r="Q351" s="1"/>
      <c r="R351" s="1"/>
      <c r="S351" s="1"/>
      <c r="T351" s="1"/>
      <c r="U351" s="1"/>
      <c r="V351" s="1"/>
      <c r="W351" s="1"/>
      <c r="X351" s="1"/>
      <c r="Y351" s="1"/>
      <c r="Z351" s="1"/>
    </row>
    <row r="352">
      <c r="A352" s="1"/>
      <c r="B352" s="1"/>
      <c r="C352" s="60" t="str">
        <f>IFERROR(__xludf.DUMMYFUNCTION("""COMPUTED_VALUE"""),"ESCOVA DE PISO COM ESFREGÃO")</f>
        <v>ESCOVA DE PISO COM ESFREGÃO</v>
      </c>
      <c r="D352" s="61" t="str">
        <f>IFERROR(__xludf.DUMMYFUNCTION("IMPORTRANGE(""https://docs.google.com/spreadsheets/d/1GMOWcUb26jVTosRt5EqlFYb5WfKNVSDMwfDXmDOMGao/edit?gid=410167636#gid=410167636"",""beam!f1"")"),"BEAM")</f>
        <v>BEAM</v>
      </c>
      <c r="E352" s="50">
        <v>0.0</v>
      </c>
      <c r="F352" s="51">
        <f>IFERROR(__xludf.DUMMYFUNCTION("""COMPUTED_VALUE"""),467.0)</f>
        <v>467</v>
      </c>
      <c r="G352" s="52">
        <f t="shared" si="9"/>
        <v>467</v>
      </c>
      <c r="H352" s="52">
        <f t="shared" si="10"/>
        <v>793.9</v>
      </c>
      <c r="I352" s="53">
        <f t="shared" si="11"/>
        <v>0.7</v>
      </c>
      <c r="J352" s="12"/>
      <c r="K352" s="1"/>
      <c r="L352" s="1"/>
      <c r="M352" s="1"/>
      <c r="N352" s="1"/>
      <c r="O352" s="1"/>
      <c r="P352" s="1"/>
      <c r="Q352" s="1"/>
      <c r="R352" s="1"/>
      <c r="S352" s="1"/>
      <c r="T352" s="1"/>
      <c r="U352" s="1"/>
      <c r="V352" s="1"/>
      <c r="W352" s="1"/>
      <c r="X352" s="1"/>
      <c r="Y352" s="1"/>
      <c r="Z352" s="1"/>
    </row>
    <row r="353">
      <c r="A353" s="1"/>
      <c r="B353" s="1"/>
      <c r="C353" s="63" t="str">
        <f>IFERROR(__xludf.DUMMYFUNCTION("""COMPUTED_VALUE"""),"ESCOVA PET COM CERDAS
(Escova com cerdas macias, ideal para animais de estimação com pelo Curto)")</f>
        <v>ESCOVA PET COM CERDAS
(Escova com cerdas macias, ideal para animais de estimação com pelo Curto)</v>
      </c>
      <c r="D353" s="64" t="str">
        <f>IFERROR(__xludf.DUMMYFUNCTION("IMPORTRANGE(""https://docs.google.com/spreadsheets/d/1GMOWcUb26jVTosRt5EqlFYb5WfKNVSDMwfDXmDOMGao/edit?gid=410167636#gid=410167636"",""beam!f1"")"),"BEAM")</f>
        <v>BEAM</v>
      </c>
      <c r="E353" s="56">
        <v>0.0</v>
      </c>
      <c r="F353" s="57">
        <f>IFERROR(__xludf.DUMMYFUNCTION("""COMPUTED_VALUE"""),854.0)</f>
        <v>854</v>
      </c>
      <c r="G353" s="58">
        <f t="shared" si="9"/>
        <v>854</v>
      </c>
      <c r="H353" s="58">
        <f t="shared" si="10"/>
        <v>1451.8</v>
      </c>
      <c r="I353" s="59">
        <f t="shared" si="11"/>
        <v>0.7</v>
      </c>
      <c r="J353" s="12"/>
      <c r="K353" s="1"/>
      <c r="L353" s="1"/>
      <c r="M353" s="1"/>
      <c r="N353" s="1"/>
      <c r="O353" s="1"/>
      <c r="P353" s="1"/>
      <c r="Q353" s="1"/>
      <c r="R353" s="1"/>
      <c r="S353" s="1"/>
      <c r="T353" s="1"/>
      <c r="U353" s="1"/>
      <c r="V353" s="1"/>
      <c r="W353" s="1"/>
      <c r="X353" s="1"/>
      <c r="Y353" s="1"/>
      <c r="Z353" s="1"/>
    </row>
    <row r="354">
      <c r="A354" s="1"/>
      <c r="B354" s="1"/>
      <c r="C354" s="60" t="str">
        <f>IFERROR(__xludf.DUMMYFUNCTION("""COMPUTED_VALUE"""),"ESCOVA PET COM RANHURAS
(Escova para massagem, ideal para animais de estimação com pelo Curto)")</f>
        <v>ESCOVA PET COM RANHURAS
(Escova para massagem, ideal para animais de estimação com pelo Curto)</v>
      </c>
      <c r="D354" s="61" t="str">
        <f>IFERROR(__xludf.DUMMYFUNCTION("IMPORTRANGE(""https://docs.google.com/spreadsheets/d/1GMOWcUb26jVTosRt5EqlFYb5WfKNVSDMwfDXmDOMGao/edit?gid=410167636#gid=410167636"",""beam!f1"")"),"BEAM")</f>
        <v>BEAM</v>
      </c>
      <c r="E354" s="50">
        <v>0.0</v>
      </c>
      <c r="F354" s="51">
        <f>IFERROR(__xludf.DUMMYFUNCTION("""COMPUTED_VALUE"""),550.0)</f>
        <v>550</v>
      </c>
      <c r="G354" s="52">
        <f t="shared" si="9"/>
        <v>550</v>
      </c>
      <c r="H354" s="52">
        <f t="shared" si="10"/>
        <v>935</v>
      </c>
      <c r="I354" s="53">
        <f t="shared" si="11"/>
        <v>0.7</v>
      </c>
      <c r="J354" s="12"/>
      <c r="K354" s="1"/>
      <c r="L354" s="1"/>
      <c r="M354" s="1"/>
      <c r="N354" s="1"/>
      <c r="O354" s="1"/>
      <c r="P354" s="1"/>
      <c r="Q354" s="1"/>
      <c r="R354" s="1"/>
      <c r="S354" s="1"/>
      <c r="T354" s="1"/>
      <c r="U354" s="1"/>
      <c r="V354" s="1"/>
      <c r="W354" s="1"/>
      <c r="X354" s="1"/>
      <c r="Y354" s="1"/>
      <c r="Z354" s="1"/>
    </row>
    <row r="355">
      <c r="A355" s="1"/>
      <c r="B355" s="1"/>
      <c r="C355" s="63" t="str">
        <f>IFERROR(__xludf.DUMMYFUNCTION("""COMPUTED_VALUE"""),"ESCOVA PET COM PINO CURTO
(Escova com pino curto, ideal para animais de estimação com pelo Longo)")</f>
        <v>ESCOVA PET COM PINO CURTO
(Escova com pino curto, ideal para animais de estimação com pelo Longo)</v>
      </c>
      <c r="D355" s="64" t="str">
        <f>IFERROR(__xludf.DUMMYFUNCTION("IMPORTRANGE(""https://docs.google.com/spreadsheets/d/1GMOWcUb26jVTosRt5EqlFYb5WfKNVSDMwfDXmDOMGao/edit?gid=410167636#gid=410167636"",""beam!f1"")"),"BEAM")</f>
        <v>BEAM</v>
      </c>
      <c r="E355" s="56">
        <v>0.0</v>
      </c>
      <c r="F355" s="57">
        <f>IFERROR(__xludf.DUMMYFUNCTION("""COMPUTED_VALUE"""),550.0)</f>
        <v>550</v>
      </c>
      <c r="G355" s="58">
        <f t="shared" si="9"/>
        <v>550</v>
      </c>
      <c r="H355" s="58">
        <f t="shared" si="10"/>
        <v>935</v>
      </c>
      <c r="I355" s="59">
        <f t="shared" si="11"/>
        <v>0.7</v>
      </c>
      <c r="J355" s="12"/>
      <c r="K355" s="1"/>
      <c r="L355" s="1"/>
      <c r="M355" s="1"/>
      <c r="N355" s="1"/>
      <c r="O355" s="1"/>
      <c r="P355" s="1"/>
      <c r="Q355" s="1"/>
      <c r="R355" s="1"/>
      <c r="S355" s="1"/>
      <c r="T355" s="1"/>
      <c r="U355" s="1"/>
      <c r="V355" s="1"/>
      <c r="W355" s="1"/>
      <c r="X355" s="1"/>
      <c r="Y355" s="1"/>
      <c r="Z355" s="1"/>
    </row>
    <row r="356">
      <c r="A356" s="1"/>
      <c r="B356" s="1"/>
      <c r="C356" s="60" t="str">
        <f>IFERROR(__xludf.DUMMYFUNCTION("""COMPUTED_VALUE"""),"KIT DE ESCOVAS PARA COMPUTADOR")</f>
        <v>KIT DE ESCOVAS PARA COMPUTADOR</v>
      </c>
      <c r="D356" s="61" t="str">
        <f>IFERROR(__xludf.DUMMYFUNCTION("IMPORTRANGE(""https://docs.google.com/spreadsheets/d/1GMOWcUb26jVTosRt5EqlFYb5WfKNVSDMwfDXmDOMGao/edit?gid=410167636#gid=410167636"",""beam!f1"")"),"BEAM")</f>
        <v>BEAM</v>
      </c>
      <c r="E356" s="50">
        <v>0.0</v>
      </c>
      <c r="F356" s="51">
        <f>IFERROR(__xludf.DUMMYFUNCTION("""COMPUTED_VALUE"""),216.0)</f>
        <v>216</v>
      </c>
      <c r="G356" s="52">
        <f t="shared" si="9"/>
        <v>216</v>
      </c>
      <c r="H356" s="52">
        <f t="shared" si="10"/>
        <v>367.2</v>
      </c>
      <c r="I356" s="53">
        <f t="shared" si="11"/>
        <v>0.7</v>
      </c>
      <c r="J356" s="12"/>
      <c r="K356" s="1"/>
      <c r="L356" s="1"/>
      <c r="M356" s="1"/>
      <c r="N356" s="1"/>
      <c r="O356" s="1"/>
      <c r="P356" s="1"/>
      <c r="Q356" s="1"/>
      <c r="R356" s="1"/>
      <c r="S356" s="1"/>
      <c r="T356" s="1"/>
      <c r="U356" s="1"/>
      <c r="V356" s="1"/>
      <c r="W356" s="1"/>
      <c r="X356" s="1"/>
      <c r="Y356" s="1"/>
      <c r="Z356" s="1"/>
    </row>
    <row r="357">
      <c r="A357" s="1"/>
      <c r="B357" s="1"/>
      <c r="C357" s="63" t="str">
        <f>IFERROR(__xludf.DUMMYFUNCTION("""COMPUTED_VALUE"""),"MANGUEIRA ON/OFF DE 9 METROS")</f>
        <v>MANGUEIRA ON/OFF DE 9 METROS</v>
      </c>
      <c r="D357" s="64" t="str">
        <f>IFERROR(__xludf.DUMMYFUNCTION("IMPORTRANGE(""https://docs.google.com/spreadsheets/d/1GMOWcUb26jVTosRt5EqlFYb5WfKNVSDMwfDXmDOMGao/edit?gid=410167636#gid=410167636"",""beam!f1"")"),"BEAM")</f>
        <v>BEAM</v>
      </c>
      <c r="E357" s="56">
        <v>0.0</v>
      </c>
      <c r="F357" s="57">
        <f>IFERROR(__xludf.DUMMYFUNCTION("""COMPUTED_VALUE"""),2289.0)</f>
        <v>2289</v>
      </c>
      <c r="G357" s="58">
        <f t="shared" si="9"/>
        <v>2289</v>
      </c>
      <c r="H357" s="58">
        <f t="shared" si="10"/>
        <v>3891.3</v>
      </c>
      <c r="I357" s="59">
        <f t="shared" si="11"/>
        <v>0.7</v>
      </c>
      <c r="J357" s="12"/>
      <c r="K357" s="1"/>
      <c r="L357" s="1"/>
      <c r="M357" s="1"/>
      <c r="N357" s="1"/>
      <c r="O357" s="1"/>
      <c r="P357" s="1"/>
      <c r="Q357" s="1"/>
      <c r="R357" s="1"/>
      <c r="S357" s="1"/>
      <c r="T357" s="1"/>
      <c r="U357" s="1"/>
      <c r="V357" s="1"/>
      <c r="W357" s="1"/>
      <c r="X357" s="1"/>
      <c r="Y357" s="1"/>
      <c r="Z357" s="1"/>
    </row>
    <row r="358">
      <c r="A358" s="1"/>
      <c r="B358" s="1"/>
      <c r="C358" s="60" t="str">
        <f>IFERROR(__xludf.DUMMYFUNCTION("""COMPUTED_VALUE"""),"MANGUEIRA ON/OFF DE 11 METROS")</f>
        <v>MANGUEIRA ON/OFF DE 11 METROS</v>
      </c>
      <c r="D358" s="61" t="str">
        <f>IFERROR(__xludf.DUMMYFUNCTION("IMPORTRANGE(""https://docs.google.com/spreadsheets/d/1GMOWcUb26jVTosRt5EqlFYb5WfKNVSDMwfDXmDOMGao/edit?gid=410167636#gid=410167636"",""beam!f1"")"),"BEAM")</f>
        <v>BEAM</v>
      </c>
      <c r="E358" s="50">
        <v>0.0</v>
      </c>
      <c r="F358" s="51">
        <f>IFERROR(__xludf.DUMMYFUNCTION("""COMPUTED_VALUE"""),2523.0)</f>
        <v>2523</v>
      </c>
      <c r="G358" s="52">
        <f t="shared" si="9"/>
        <v>2523</v>
      </c>
      <c r="H358" s="52">
        <f t="shared" si="10"/>
        <v>4289.1</v>
      </c>
      <c r="I358" s="53">
        <f t="shared" si="11"/>
        <v>0.7</v>
      </c>
      <c r="J358" s="12"/>
      <c r="K358" s="1"/>
      <c r="L358" s="1"/>
      <c r="M358" s="1"/>
      <c r="N358" s="1"/>
      <c r="O358" s="1"/>
      <c r="P358" s="1"/>
      <c r="Q358" s="1"/>
      <c r="R358" s="1"/>
      <c r="S358" s="1"/>
      <c r="T358" s="1"/>
      <c r="U358" s="1"/>
      <c r="V358" s="1"/>
      <c r="W358" s="1"/>
      <c r="X358" s="1"/>
      <c r="Y358" s="1"/>
      <c r="Z358" s="1"/>
    </row>
    <row r="359">
      <c r="A359" s="1"/>
      <c r="B359" s="1"/>
      <c r="C359" s="63" t="str">
        <f>IFERROR(__xludf.DUMMYFUNCTION("""COMPUTED_VALUE"""),"MANGUEIRA ON/OFF DE 12 METROS")</f>
        <v>MANGUEIRA ON/OFF DE 12 METROS</v>
      </c>
      <c r="D359" s="64" t="str">
        <f>IFERROR(__xludf.DUMMYFUNCTION("IMPORTRANGE(""https://docs.google.com/spreadsheets/d/1GMOWcUb26jVTosRt5EqlFYb5WfKNVSDMwfDXmDOMGao/edit?gid=410167636#gid=410167636"",""beam!f1"")"),"BEAM")</f>
        <v>BEAM</v>
      </c>
      <c r="E359" s="56">
        <v>0.0</v>
      </c>
      <c r="F359" s="57">
        <f>IFERROR(__xludf.DUMMYFUNCTION("""COMPUTED_VALUE"""),2934.0)</f>
        <v>2934</v>
      </c>
      <c r="G359" s="58">
        <f t="shared" si="9"/>
        <v>2934</v>
      </c>
      <c r="H359" s="58">
        <f t="shared" si="10"/>
        <v>4987.8</v>
      </c>
      <c r="I359" s="59">
        <f t="shared" si="11"/>
        <v>0.7</v>
      </c>
      <c r="J359" s="12"/>
      <c r="K359" s="1"/>
      <c r="L359" s="1"/>
      <c r="M359" s="1"/>
      <c r="N359" s="1"/>
      <c r="O359" s="1"/>
      <c r="P359" s="1"/>
      <c r="Q359" s="1"/>
      <c r="R359" s="1"/>
      <c r="S359" s="1"/>
      <c r="T359" s="1"/>
      <c r="U359" s="1"/>
      <c r="V359" s="1"/>
      <c r="W359" s="1"/>
      <c r="X359" s="1"/>
      <c r="Y359" s="1"/>
      <c r="Z359" s="1"/>
    </row>
    <row r="360">
      <c r="A360" s="1"/>
      <c r="B360" s="1"/>
      <c r="C360" s="60" t="str">
        <f>IFERROR(__xludf.DUMMYFUNCTION("""COMPUTED_VALUE"""),"MANGUEIRA STANDARD DE 9 METROS")</f>
        <v>MANGUEIRA STANDARD DE 9 METROS</v>
      </c>
      <c r="D360" s="61" t="str">
        <f>IFERROR(__xludf.DUMMYFUNCTION("IMPORTRANGE(""https://docs.google.com/spreadsheets/d/1GMOWcUb26jVTosRt5EqlFYb5WfKNVSDMwfDXmDOMGao/edit?gid=410167636#gid=410167636"",""beam!f1"")"),"BEAM")</f>
        <v>BEAM</v>
      </c>
      <c r="E360" s="50">
        <v>0.0</v>
      </c>
      <c r="F360" s="51">
        <f>IFERROR(__xludf.DUMMYFUNCTION("""COMPUTED_VALUE"""),1162.0)</f>
        <v>1162</v>
      </c>
      <c r="G360" s="52">
        <f t="shared" si="9"/>
        <v>1162</v>
      </c>
      <c r="H360" s="52">
        <f t="shared" si="10"/>
        <v>1975.4</v>
      </c>
      <c r="I360" s="53">
        <f t="shared" si="11"/>
        <v>0.7</v>
      </c>
      <c r="J360" s="12"/>
      <c r="K360" s="1"/>
      <c r="L360" s="1"/>
      <c r="M360" s="1"/>
      <c r="N360" s="1"/>
      <c r="O360" s="1"/>
      <c r="P360" s="1"/>
      <c r="Q360" s="1"/>
      <c r="R360" s="1"/>
      <c r="S360" s="1"/>
      <c r="T360" s="1"/>
      <c r="U360" s="1"/>
      <c r="V360" s="1"/>
      <c r="W360" s="1"/>
      <c r="X360" s="1"/>
      <c r="Y360" s="1"/>
      <c r="Z360" s="1"/>
    </row>
    <row r="361">
      <c r="A361" s="1"/>
      <c r="B361" s="1"/>
      <c r="C361" s="63" t="str">
        <f>IFERROR(__xludf.DUMMYFUNCTION("""COMPUTED_VALUE"""),"MANGUEIRA STANDARD DE 11 METROS")</f>
        <v>MANGUEIRA STANDARD DE 11 METROS</v>
      </c>
      <c r="D361" s="64" t="str">
        <f>IFERROR(__xludf.DUMMYFUNCTION("IMPORTRANGE(""https://docs.google.com/spreadsheets/d/1GMOWcUb26jVTosRt5EqlFYb5WfKNVSDMwfDXmDOMGao/edit?gid=410167636#gid=410167636"",""beam!f1"")"),"BEAM")</f>
        <v>BEAM</v>
      </c>
      <c r="E361" s="56">
        <v>0.0</v>
      </c>
      <c r="F361" s="57">
        <f>IFERROR(__xludf.DUMMYFUNCTION("""COMPUTED_VALUE"""),1462.0)</f>
        <v>1462</v>
      </c>
      <c r="G361" s="58">
        <f t="shared" si="9"/>
        <v>1462</v>
      </c>
      <c r="H361" s="58">
        <f t="shared" si="10"/>
        <v>2485.4</v>
      </c>
      <c r="I361" s="59">
        <f t="shared" si="11"/>
        <v>0.7</v>
      </c>
      <c r="J361" s="12"/>
      <c r="K361" s="1"/>
      <c r="L361" s="1"/>
      <c r="M361" s="1"/>
      <c r="N361" s="1"/>
      <c r="O361" s="1"/>
      <c r="P361" s="1"/>
      <c r="Q361" s="1"/>
      <c r="R361" s="1"/>
      <c r="S361" s="1"/>
      <c r="T361" s="1"/>
      <c r="U361" s="1"/>
      <c r="V361" s="1"/>
      <c r="W361" s="1"/>
      <c r="X361" s="1"/>
      <c r="Y361" s="1"/>
      <c r="Z361" s="1"/>
    </row>
    <row r="362">
      <c r="A362" s="1"/>
      <c r="B362" s="1"/>
      <c r="C362" s="60" t="str">
        <f>IFERROR(__xludf.DUMMYFUNCTION("""COMPUTED_VALUE"""),"MANGUEIRA VELOCIDADE VARIÁVEL E ON/OFF DE 9 METROS")</f>
        <v>MANGUEIRA VELOCIDADE VARIÁVEL E ON/OFF DE 9 METROS</v>
      </c>
      <c r="D362" s="61" t="str">
        <f>IFERROR(__xludf.DUMMYFUNCTION("IMPORTRANGE(""https://docs.google.com/spreadsheets/d/1GMOWcUb26jVTosRt5EqlFYb5WfKNVSDMwfDXmDOMGao/edit?gid=410167636#gid=410167636"",""beam!f1"")"),"BEAM")</f>
        <v>BEAM</v>
      </c>
      <c r="E362" s="50">
        <v>0.0</v>
      </c>
      <c r="F362" s="51">
        <f>IFERROR(__xludf.DUMMYFUNCTION("""COMPUTED_VALUE"""),3056.0)</f>
        <v>3056</v>
      </c>
      <c r="G362" s="52">
        <f t="shared" si="9"/>
        <v>3056</v>
      </c>
      <c r="H362" s="52">
        <f t="shared" si="10"/>
        <v>5195.2</v>
      </c>
      <c r="I362" s="53">
        <f t="shared" si="11"/>
        <v>0.7</v>
      </c>
      <c r="J362" s="12"/>
      <c r="K362" s="1"/>
      <c r="L362" s="1"/>
      <c r="M362" s="1"/>
      <c r="N362" s="1"/>
      <c r="O362" s="1"/>
      <c r="P362" s="1"/>
      <c r="Q362" s="1"/>
      <c r="R362" s="1"/>
      <c r="S362" s="1"/>
      <c r="T362" s="1"/>
      <c r="U362" s="1"/>
      <c r="V362" s="1"/>
      <c r="W362" s="1"/>
      <c r="X362" s="1"/>
      <c r="Y362" s="1"/>
      <c r="Z362" s="1"/>
    </row>
    <row r="363">
      <c r="A363" s="1"/>
      <c r="B363" s="1"/>
      <c r="C363" s="63" t="str">
        <f>IFERROR(__xludf.DUMMYFUNCTION("""COMPUTED_VALUE"""),"MEIA PARA MANGUEIRA AZUL 10,7M")</f>
        <v>MEIA PARA MANGUEIRA AZUL 10,7M</v>
      </c>
      <c r="D363" s="64" t="str">
        <f>IFERROR(__xludf.DUMMYFUNCTION("IMPORTRANGE(""https://docs.google.com/spreadsheets/d/1GMOWcUb26jVTosRt5EqlFYb5WfKNVSDMwfDXmDOMGao/edit?gid=410167636#gid=410167636"",""beam!f1"")"),"BEAM")</f>
        <v>BEAM</v>
      </c>
      <c r="E363" s="56">
        <v>0.0</v>
      </c>
      <c r="F363" s="57">
        <f>IFERROR(__xludf.DUMMYFUNCTION("""COMPUTED_VALUE"""),1155.0)</f>
        <v>1155</v>
      </c>
      <c r="G363" s="58">
        <f t="shared" si="9"/>
        <v>1155</v>
      </c>
      <c r="H363" s="58">
        <f t="shared" si="10"/>
        <v>1963.5</v>
      </c>
      <c r="I363" s="59">
        <f t="shared" si="11"/>
        <v>0.7</v>
      </c>
      <c r="J363" s="12"/>
      <c r="K363" s="1"/>
      <c r="L363" s="1"/>
      <c r="M363" s="1"/>
      <c r="N363" s="1"/>
      <c r="O363" s="1"/>
      <c r="P363" s="1"/>
      <c r="Q363" s="1"/>
      <c r="R363" s="1"/>
      <c r="S363" s="1"/>
      <c r="T363" s="1"/>
      <c r="U363" s="1"/>
      <c r="V363" s="1"/>
      <c r="W363" s="1"/>
      <c r="X363" s="1"/>
      <c r="Y363" s="1"/>
      <c r="Z363" s="1"/>
    </row>
    <row r="364">
      <c r="A364" s="1"/>
      <c r="B364" s="1"/>
      <c r="C364" s="60" t="str">
        <f>IFERROR(__xludf.DUMMYFUNCTION("""COMPUTED_VALUE"""),"MEIA PARA MANGUEIRA AZUL COM 9M")</f>
        <v>MEIA PARA MANGUEIRA AZUL COM 9M</v>
      </c>
      <c r="D364" s="61" t="str">
        <f>IFERROR(__xludf.DUMMYFUNCTION("IMPORTRANGE(""https://docs.google.com/spreadsheets/d/1GMOWcUb26jVTosRt5EqlFYb5WfKNVSDMwfDXmDOMGao/edit?gid=410167636#gid=410167636"",""beam!f1"")"),"BEAM")</f>
        <v>BEAM</v>
      </c>
      <c r="E364" s="50">
        <v>0.0</v>
      </c>
      <c r="F364" s="51">
        <f>IFERROR(__xludf.DUMMYFUNCTION("""COMPUTED_VALUE"""),1000.0)</f>
        <v>1000</v>
      </c>
      <c r="G364" s="52">
        <f t="shared" si="9"/>
        <v>1000</v>
      </c>
      <c r="H364" s="52">
        <f t="shared" si="10"/>
        <v>1700</v>
      </c>
      <c r="I364" s="53">
        <f t="shared" si="11"/>
        <v>0.7</v>
      </c>
      <c r="J364" s="12"/>
      <c r="K364" s="1"/>
      <c r="L364" s="1"/>
      <c r="M364" s="1"/>
      <c r="N364" s="1"/>
      <c r="O364" s="1"/>
      <c r="P364" s="1"/>
      <c r="Q364" s="1"/>
      <c r="R364" s="1"/>
      <c r="S364" s="1"/>
      <c r="T364" s="1"/>
      <c r="U364" s="1"/>
      <c r="V364" s="1"/>
      <c r="W364" s="1"/>
      <c r="X364" s="1"/>
      <c r="Y364" s="1"/>
      <c r="Z364" s="1"/>
    </row>
    <row r="365">
      <c r="A365" s="1"/>
      <c r="B365" s="1"/>
      <c r="C365" s="54" t="str">
        <f>IFERROR(__xludf.DUMMYFUNCTION("""COMPUTED_VALUE"""),"SILENCIADOR PARA CENTRAIS BEAM LINHA MUNDO
(SILENCIADOR PEQUENO)")</f>
        <v>SILENCIADOR PARA CENTRAIS BEAM LINHA MUNDO
(SILENCIADOR PEQUENO)</v>
      </c>
      <c r="D365" s="64" t="str">
        <f>IFERROR(__xludf.DUMMYFUNCTION("IMPORTRANGE(""https://docs.google.com/spreadsheets/d/1GMOWcUb26jVTosRt5EqlFYb5WfKNVSDMwfDXmDOMGao/edit?gid=410167636#gid=410167636"",""beam!f1"")"),"BEAM")</f>
        <v>BEAM</v>
      </c>
      <c r="E365" s="56">
        <v>0.0</v>
      </c>
      <c r="F365" s="58">
        <f>IFERROR(__xludf.DUMMYFUNCTION("""COMPUTED_VALUE"""),825.0)</f>
        <v>825</v>
      </c>
      <c r="G365" s="58">
        <f t="shared" ref="G365:G554" si="12">IF(F365&gt;0,F365*E365+F365,"")</f>
        <v>825</v>
      </c>
      <c r="H365" s="58">
        <f t="shared" si="10"/>
        <v>1402.5</v>
      </c>
      <c r="I365" s="59">
        <f t="shared" si="11"/>
        <v>0.7</v>
      </c>
      <c r="J365" s="12"/>
      <c r="K365" s="1"/>
      <c r="L365" s="1"/>
      <c r="M365" s="1"/>
      <c r="N365" s="1"/>
      <c r="O365" s="1"/>
      <c r="P365" s="1"/>
      <c r="Q365" s="1"/>
      <c r="R365" s="1"/>
      <c r="S365" s="1"/>
      <c r="T365" s="1"/>
      <c r="U365" s="1"/>
      <c r="V365" s="1"/>
      <c r="W365" s="1"/>
      <c r="X365" s="1"/>
      <c r="Y365" s="1"/>
      <c r="Z365" s="1"/>
    </row>
    <row r="366">
      <c r="A366" s="1"/>
      <c r="B366" s="1"/>
      <c r="C366" s="48" t="str">
        <f>IFERROR(__xludf.DUMMYFUNCTION("""COMPUTED_VALUE"""),"SILENCIADOR PARA CENTRAIS BEAM LINHA MUNDO E SERENITY
(SILENCIADOR GRANDE)")</f>
        <v>SILENCIADOR PARA CENTRAIS BEAM LINHA MUNDO E SERENITY
(SILENCIADOR GRANDE)</v>
      </c>
      <c r="D366" s="61" t="str">
        <f>IFERROR(__xludf.DUMMYFUNCTION("IMPORTRANGE(""https://docs.google.com/spreadsheets/d/1GMOWcUb26jVTosRt5EqlFYb5WfKNVSDMwfDXmDOMGao/edit?gid=410167636#gid=410167636"",""beam!f1"")"),"BEAM")</f>
        <v>BEAM</v>
      </c>
      <c r="E366" s="50">
        <v>0.0</v>
      </c>
      <c r="F366" s="52">
        <f>IFERROR(__xludf.DUMMYFUNCTION("""COMPUTED_VALUE"""),825.0)</f>
        <v>825</v>
      </c>
      <c r="G366" s="52">
        <f t="shared" si="12"/>
        <v>825</v>
      </c>
      <c r="H366" s="52">
        <f t="shared" si="10"/>
        <v>1402.5</v>
      </c>
      <c r="I366" s="53">
        <f t="shared" si="11"/>
        <v>0.7</v>
      </c>
      <c r="J366" s="12"/>
      <c r="K366" s="1"/>
      <c r="L366" s="1"/>
      <c r="M366" s="1"/>
      <c r="N366" s="1"/>
      <c r="O366" s="1"/>
      <c r="P366" s="1"/>
      <c r="Q366" s="1"/>
      <c r="R366" s="1"/>
      <c r="S366" s="1"/>
      <c r="T366" s="1"/>
      <c r="U366" s="1"/>
      <c r="V366" s="1"/>
      <c r="W366" s="1"/>
      <c r="X366" s="1"/>
      <c r="Y366" s="1"/>
      <c r="Z366" s="1"/>
    </row>
    <row r="367">
      <c r="A367" s="1"/>
      <c r="B367" s="1"/>
      <c r="C367" s="54" t="str">
        <f>IFERROR(__xludf.DUMMYFUNCTION("""COMPUTED_VALUE"""),"TOMADA BEAM BRANCA")</f>
        <v>TOMADA BEAM BRANCA</v>
      </c>
      <c r="D367" s="64" t="str">
        <f>IFERROR(__xludf.DUMMYFUNCTION("IMPORTRANGE(""https://docs.google.com/spreadsheets/d/1GMOWcUb26jVTosRt5EqlFYb5WfKNVSDMwfDXmDOMGao/edit?gid=410167636#gid=410167636"",""beam!f1"")"),"BEAM")</f>
        <v>BEAM</v>
      </c>
      <c r="E367" s="56">
        <v>0.0</v>
      </c>
      <c r="F367" s="58">
        <f>IFERROR(__xludf.DUMMYFUNCTION("""COMPUTED_VALUE"""),93.0)</f>
        <v>93</v>
      </c>
      <c r="G367" s="58">
        <f t="shared" si="12"/>
        <v>93</v>
      </c>
      <c r="H367" s="58">
        <f t="shared" si="10"/>
        <v>158.1</v>
      </c>
      <c r="I367" s="59">
        <f t="shared" si="11"/>
        <v>0.7</v>
      </c>
      <c r="J367" s="12"/>
      <c r="K367" s="1"/>
      <c r="L367" s="1"/>
      <c r="M367" s="1"/>
      <c r="N367" s="1"/>
      <c r="O367" s="1"/>
      <c r="P367" s="1"/>
      <c r="Q367" s="1"/>
      <c r="R367" s="1"/>
      <c r="S367" s="1"/>
      <c r="T367" s="1"/>
      <c r="U367" s="1"/>
      <c r="V367" s="1"/>
      <c r="W367" s="1"/>
      <c r="X367" s="1"/>
      <c r="Y367" s="1"/>
      <c r="Z367" s="1"/>
    </row>
    <row r="368">
      <c r="A368" s="1"/>
      <c r="B368" s="1"/>
      <c r="C368" s="48" t="str">
        <f>IFERROR(__xludf.DUMMYFUNCTION("""COMPUTED_VALUE"""),"TOMADA BEAM BRANCA
(CAIXA COM 24 UNIDADES)")</f>
        <v>TOMADA BEAM BRANCA
(CAIXA COM 24 UNIDADES)</v>
      </c>
      <c r="D368" s="61" t="str">
        <f>IFERROR(__xludf.DUMMYFUNCTION("IMPORTRANGE(""https://docs.google.com/spreadsheets/d/1GMOWcUb26jVTosRt5EqlFYb5WfKNVSDMwfDXmDOMGao/edit?gid=410167636#gid=410167636"",""beam!f1"")"),"BEAM")</f>
        <v>BEAM</v>
      </c>
      <c r="E368" s="50">
        <v>0.0</v>
      </c>
      <c r="F368" s="52">
        <f>IFERROR(__xludf.DUMMYFUNCTION("""COMPUTED_VALUE"""),2080.0)</f>
        <v>2080</v>
      </c>
      <c r="G368" s="52">
        <f t="shared" si="12"/>
        <v>2080</v>
      </c>
      <c r="H368" s="52">
        <f t="shared" si="10"/>
        <v>3536</v>
      </c>
      <c r="I368" s="53">
        <f t="shared" si="11"/>
        <v>0.7</v>
      </c>
      <c r="J368" s="12"/>
      <c r="K368" s="1"/>
      <c r="L368" s="1"/>
      <c r="M368" s="1"/>
      <c r="N368" s="1"/>
      <c r="O368" s="1"/>
      <c r="P368" s="1"/>
      <c r="Q368" s="1"/>
      <c r="R368" s="1"/>
      <c r="S368" s="1"/>
      <c r="T368" s="1"/>
      <c r="U368" s="1"/>
      <c r="V368" s="1"/>
      <c r="W368" s="1"/>
      <c r="X368" s="1"/>
      <c r="Y368" s="1"/>
      <c r="Z368" s="1"/>
    </row>
    <row r="369">
      <c r="A369" s="1"/>
      <c r="B369" s="1"/>
      <c r="C369" s="54" t="str">
        <f>IFERROR(__xludf.DUMMYFUNCTION("""COMPUTED_VALUE"""),"TOMADA LISA BRANCA")</f>
        <v>TOMADA LISA BRANCA</v>
      </c>
      <c r="D369" s="64" t="str">
        <f>IFERROR(__xludf.DUMMYFUNCTION("IMPORTRANGE(""https://docs.google.com/spreadsheets/d/1GMOWcUb26jVTosRt5EqlFYb5WfKNVSDMwfDXmDOMGao/edit?gid=410167636#gid=410167636"",""beam!f1"")"),"BEAM")</f>
        <v>BEAM</v>
      </c>
      <c r="E369" s="56">
        <v>0.0</v>
      </c>
      <c r="F369" s="58">
        <f>IFERROR(__xludf.DUMMYFUNCTION("""COMPUTED_VALUE"""),167.0)</f>
        <v>167</v>
      </c>
      <c r="G369" s="58">
        <f t="shared" si="12"/>
        <v>167</v>
      </c>
      <c r="H369" s="58">
        <f t="shared" si="10"/>
        <v>283.9</v>
      </c>
      <c r="I369" s="59">
        <f t="shared" si="11"/>
        <v>0.7</v>
      </c>
      <c r="J369" s="12"/>
      <c r="K369" s="1"/>
      <c r="L369" s="1"/>
      <c r="M369" s="1"/>
      <c r="N369" s="1"/>
      <c r="O369" s="1"/>
      <c r="P369" s="1"/>
      <c r="Q369" s="1"/>
      <c r="R369" s="1"/>
      <c r="S369" s="1"/>
      <c r="T369" s="1"/>
      <c r="U369" s="1"/>
      <c r="V369" s="1"/>
      <c r="W369" s="1"/>
      <c r="X369" s="1"/>
      <c r="Y369" s="1"/>
      <c r="Z369" s="1"/>
    </row>
    <row r="370">
      <c r="A370" s="1"/>
      <c r="B370" s="1"/>
      <c r="C370" s="48" t="str">
        <f>IFERROR(__xludf.DUMMYFUNCTION("""COMPUTED_VALUE"""),"TOMADA LISA BRANCA
(CAIXA COM 24 UNIDADES)")</f>
        <v>TOMADA LISA BRANCA
(CAIXA COM 24 UNIDADES)</v>
      </c>
      <c r="D370" s="61" t="str">
        <f>IFERROR(__xludf.DUMMYFUNCTION("IMPORTRANGE(""https://docs.google.com/spreadsheets/d/1GMOWcUb26jVTosRt5EqlFYb5WfKNVSDMwfDXmDOMGao/edit?gid=410167636#gid=410167636"",""beam!f1"")"),"BEAM")</f>
        <v>BEAM</v>
      </c>
      <c r="E370" s="50">
        <v>0.0</v>
      </c>
      <c r="F370" s="52">
        <f>IFERROR(__xludf.DUMMYFUNCTION("""COMPUTED_VALUE"""),3661.0)</f>
        <v>3661</v>
      </c>
      <c r="G370" s="52">
        <f t="shared" si="12"/>
        <v>3661</v>
      </c>
      <c r="H370" s="52">
        <f t="shared" si="10"/>
        <v>6223.7</v>
      </c>
      <c r="I370" s="53">
        <f t="shared" si="11"/>
        <v>0.7</v>
      </c>
      <c r="J370" s="12"/>
      <c r="K370" s="1"/>
      <c r="L370" s="1"/>
      <c r="M370" s="1"/>
      <c r="N370" s="1"/>
      <c r="O370" s="1"/>
      <c r="P370" s="1"/>
      <c r="Q370" s="1"/>
      <c r="R370" s="1"/>
      <c r="S370" s="1"/>
      <c r="T370" s="1"/>
      <c r="U370" s="1"/>
      <c r="V370" s="1"/>
      <c r="W370" s="1"/>
      <c r="X370" s="1"/>
      <c r="Y370" s="1"/>
      <c r="Z370" s="1"/>
    </row>
    <row r="371">
      <c r="A371" s="1"/>
      <c r="B371" s="1"/>
      <c r="C371" s="54" t="str">
        <f>IFERROR(__xludf.DUMMYFUNCTION("""COMPUTED_VALUE"""),"TOMADA LISA PRETA")</f>
        <v>TOMADA LISA PRETA</v>
      </c>
      <c r="D371" s="64" t="str">
        <f>IFERROR(__xludf.DUMMYFUNCTION("IMPORTRANGE(""https://docs.google.com/spreadsheets/d/1GMOWcUb26jVTosRt5EqlFYb5WfKNVSDMwfDXmDOMGao/edit?gid=410167636#gid=410167636"",""beam!f1"")"),"BEAM")</f>
        <v>BEAM</v>
      </c>
      <c r="E371" s="56">
        <v>0.0</v>
      </c>
      <c r="F371" s="58">
        <f>IFERROR(__xludf.DUMMYFUNCTION("""COMPUTED_VALUE"""),167.0)</f>
        <v>167</v>
      </c>
      <c r="G371" s="58">
        <f t="shared" si="12"/>
        <v>167</v>
      </c>
      <c r="H371" s="58">
        <f t="shared" si="10"/>
        <v>283.9</v>
      </c>
      <c r="I371" s="59">
        <f t="shared" si="11"/>
        <v>0.7</v>
      </c>
      <c r="J371" s="12"/>
      <c r="K371" s="1"/>
      <c r="L371" s="1"/>
      <c r="M371" s="1"/>
      <c r="N371" s="1"/>
      <c r="O371" s="1"/>
      <c r="P371" s="1"/>
      <c r="Q371" s="1"/>
      <c r="R371" s="1"/>
      <c r="S371" s="1"/>
      <c r="T371" s="1"/>
      <c r="U371" s="1"/>
      <c r="V371" s="1"/>
      <c r="W371" s="1"/>
      <c r="X371" s="1"/>
      <c r="Y371" s="1"/>
      <c r="Z371" s="1"/>
    </row>
    <row r="372">
      <c r="A372" s="1"/>
      <c r="B372" s="1"/>
      <c r="C372" s="48" t="str">
        <f>IFERROR(__xludf.DUMMYFUNCTION("""COMPUTED_VALUE"""),"TOMADA LISA PRETA
(CAIXA COM 24 UNIDADES)")</f>
        <v>TOMADA LISA PRETA
(CAIXA COM 24 UNIDADES)</v>
      </c>
      <c r="D372" s="61" t="str">
        <f>IFERROR(__xludf.DUMMYFUNCTION("IMPORTRANGE(""https://docs.google.com/spreadsheets/d/1GMOWcUb26jVTosRt5EqlFYb5WfKNVSDMwfDXmDOMGao/edit?gid=410167636#gid=410167636"",""beam!f1"")"),"BEAM")</f>
        <v>BEAM</v>
      </c>
      <c r="E372" s="50">
        <v>0.0</v>
      </c>
      <c r="F372" s="52">
        <f>IFERROR(__xludf.DUMMYFUNCTION("""COMPUTED_VALUE"""),3661.0)</f>
        <v>3661</v>
      </c>
      <c r="G372" s="52">
        <f t="shared" si="12"/>
        <v>3661</v>
      </c>
      <c r="H372" s="52">
        <f t="shared" si="10"/>
        <v>6223.7</v>
      </c>
      <c r="I372" s="53">
        <f t="shared" si="11"/>
        <v>0.7</v>
      </c>
      <c r="J372" s="12"/>
      <c r="K372" s="1"/>
      <c r="L372" s="1"/>
      <c r="M372" s="1"/>
      <c r="N372" s="1"/>
      <c r="O372" s="1"/>
      <c r="P372" s="1"/>
      <c r="Q372" s="1"/>
      <c r="R372" s="1"/>
      <c r="S372" s="1"/>
      <c r="T372" s="1"/>
      <c r="U372" s="1"/>
      <c r="V372" s="1"/>
      <c r="W372" s="1"/>
      <c r="X372" s="1"/>
      <c r="Y372" s="1"/>
      <c r="Z372" s="1"/>
    </row>
    <row r="373">
      <c r="A373" s="1"/>
      <c r="B373" s="1"/>
      <c r="C373" s="54" t="str">
        <f>IFERROR(__xludf.DUMMYFUNCTION("""COMPUTED_VALUE"""),"TOMADA BEAM CROMADA")</f>
        <v>TOMADA BEAM CROMADA</v>
      </c>
      <c r="D373" s="64" t="str">
        <f>IFERROR(__xludf.DUMMYFUNCTION("IMPORTRANGE(""https://docs.google.com/spreadsheets/d/1GMOWcUb26jVTosRt5EqlFYb5WfKNVSDMwfDXmDOMGao/edit?gid=410167636#gid=410167636"",""beam!f1"")"),"BEAM")</f>
        <v>BEAM</v>
      </c>
      <c r="E373" s="56">
        <v>0.0</v>
      </c>
      <c r="F373" s="58">
        <f>IFERROR(__xludf.DUMMYFUNCTION("""COMPUTED_VALUE"""),389.0)</f>
        <v>389</v>
      </c>
      <c r="G373" s="58">
        <f t="shared" si="12"/>
        <v>389</v>
      </c>
      <c r="H373" s="58">
        <f t="shared" si="10"/>
        <v>661.3</v>
      </c>
      <c r="I373" s="59">
        <f t="shared" si="11"/>
        <v>0.7</v>
      </c>
      <c r="J373" s="12"/>
      <c r="K373" s="1"/>
      <c r="L373" s="1"/>
      <c r="M373" s="1"/>
      <c r="N373" s="1"/>
      <c r="O373" s="1"/>
      <c r="P373" s="1"/>
      <c r="Q373" s="1"/>
      <c r="R373" s="1"/>
      <c r="S373" s="1"/>
      <c r="T373" s="1"/>
      <c r="U373" s="1"/>
      <c r="V373" s="1"/>
      <c r="W373" s="1"/>
      <c r="X373" s="1"/>
      <c r="Y373" s="1"/>
      <c r="Z373" s="1"/>
    </row>
    <row r="374">
      <c r="A374" s="1"/>
      <c r="B374" s="1"/>
      <c r="C374" s="48" t="str">
        <f>IFERROR(__xludf.DUMMYFUNCTION("""COMPUTED_VALUE"""),"PA AUTOMATICA BRANCA")</f>
        <v>PA AUTOMATICA BRANCA</v>
      </c>
      <c r="D374" s="61" t="str">
        <f>IFERROR(__xludf.DUMMYFUNCTION("IMPORTRANGE(""https://docs.google.com/spreadsheets/d/1GMOWcUb26jVTosRt5EqlFYb5WfKNVSDMwfDXmDOMGao/edit?gid=410167636#gid=410167636"",""beam!f1"")"),"BEAM")</f>
        <v>BEAM</v>
      </c>
      <c r="E374" s="50">
        <v>0.0</v>
      </c>
      <c r="F374" s="52">
        <f>IFERROR(__xludf.DUMMYFUNCTION("""COMPUTED_VALUE"""),1016.0)</f>
        <v>1016</v>
      </c>
      <c r="G374" s="52">
        <f t="shared" si="12"/>
        <v>1016</v>
      </c>
      <c r="H374" s="52">
        <f t="shared" si="10"/>
        <v>1727.2</v>
      </c>
      <c r="I374" s="53">
        <f t="shared" si="11"/>
        <v>0.7</v>
      </c>
      <c r="J374" s="12"/>
      <c r="K374" s="1"/>
      <c r="L374" s="1"/>
      <c r="M374" s="1"/>
      <c r="N374" s="1"/>
      <c r="O374" s="1"/>
      <c r="P374" s="1"/>
      <c r="Q374" s="1"/>
      <c r="R374" s="1"/>
      <c r="S374" s="1"/>
      <c r="T374" s="1"/>
      <c r="U374" s="1"/>
      <c r="V374" s="1"/>
      <c r="W374" s="1"/>
      <c r="X374" s="1"/>
      <c r="Y374" s="1"/>
      <c r="Z374" s="1"/>
    </row>
    <row r="375">
      <c r="A375" s="1"/>
      <c r="B375" s="1"/>
      <c r="C375" s="54" t="str">
        <f>IFERROR(__xludf.DUMMYFUNCTION("""COMPUTED_VALUE"""),"PA AUTOMATICA BRANCA
(CAIXA COM 12 UNIDADES)")</f>
        <v>PA AUTOMATICA BRANCA
(CAIXA COM 12 UNIDADES)</v>
      </c>
      <c r="D375" s="64" t="str">
        <f>IFERROR(__xludf.DUMMYFUNCTION("IMPORTRANGE(""https://docs.google.com/spreadsheets/d/1GMOWcUb26jVTosRt5EqlFYb5WfKNVSDMwfDXmDOMGao/edit?gid=410167636#gid=410167636"",""beam!f1"")"),"BEAM")</f>
        <v>BEAM</v>
      </c>
      <c r="E375" s="56">
        <v>0.0</v>
      </c>
      <c r="F375" s="58">
        <f>IFERROR(__xludf.DUMMYFUNCTION("""COMPUTED_VALUE"""),11595.0)</f>
        <v>11595</v>
      </c>
      <c r="G375" s="58">
        <f t="shared" si="12"/>
        <v>11595</v>
      </c>
      <c r="H375" s="58">
        <f t="shared" si="10"/>
        <v>19711.5</v>
      </c>
      <c r="I375" s="59">
        <f t="shared" ref="I375:I509" si="13">IF(H375&gt;0,(H375-G375)/G375,"")</f>
        <v>0.7</v>
      </c>
      <c r="J375" s="12"/>
      <c r="K375" s="1"/>
      <c r="L375" s="1"/>
      <c r="M375" s="1"/>
      <c r="N375" s="1"/>
      <c r="O375" s="1"/>
      <c r="P375" s="1"/>
      <c r="Q375" s="1"/>
      <c r="R375" s="1"/>
      <c r="S375" s="1"/>
      <c r="T375" s="1"/>
      <c r="U375" s="1"/>
      <c r="V375" s="1"/>
      <c r="W375" s="1"/>
      <c r="X375" s="1"/>
      <c r="Y375" s="1"/>
      <c r="Z375" s="1"/>
    </row>
    <row r="376">
      <c r="A376" s="1"/>
      <c r="B376" s="1"/>
      <c r="C376" s="48" t="str">
        <f>IFERROR(__xludf.DUMMYFUNCTION("""COMPUTED_VALUE"""),"ESPELHO PA AUTOMATICA BRANCA")</f>
        <v>ESPELHO PA AUTOMATICA BRANCA</v>
      </c>
      <c r="D376" s="61" t="str">
        <f>IFERROR(__xludf.DUMMYFUNCTION("IMPORTRANGE(""https://docs.google.com/spreadsheets/d/1GMOWcUb26jVTosRt5EqlFYb5WfKNVSDMwfDXmDOMGao/edit?gid=410167636#gid=410167636"",""beam!f1"")"),"BEAM")</f>
        <v>BEAM</v>
      </c>
      <c r="E376" s="50">
        <v>0.0</v>
      </c>
      <c r="F376" s="52">
        <f>IFERROR(__xludf.DUMMYFUNCTION("""COMPUTED_VALUE"""),95.0)</f>
        <v>95</v>
      </c>
      <c r="G376" s="52">
        <f t="shared" si="12"/>
        <v>95</v>
      </c>
      <c r="H376" s="52">
        <f t="shared" si="10"/>
        <v>161.5</v>
      </c>
      <c r="I376" s="53">
        <f t="shared" si="13"/>
        <v>0.7</v>
      </c>
      <c r="J376" s="12"/>
      <c r="K376" s="1"/>
      <c r="L376" s="1"/>
      <c r="M376" s="1"/>
      <c r="N376" s="1"/>
      <c r="O376" s="1"/>
      <c r="P376" s="1"/>
      <c r="Q376" s="1"/>
      <c r="R376" s="1"/>
      <c r="S376" s="1"/>
      <c r="T376" s="1"/>
      <c r="U376" s="1"/>
      <c r="V376" s="1"/>
      <c r="W376" s="1"/>
      <c r="X376" s="1"/>
      <c r="Y376" s="1"/>
      <c r="Z376" s="1"/>
    </row>
    <row r="377">
      <c r="A377" s="1"/>
      <c r="B377" s="1"/>
      <c r="C377" s="54" t="str">
        <f>IFERROR(__xludf.DUMMYFUNCTION("""COMPUTED_VALUE"""),"PA AUTOMATICA PRETA")</f>
        <v>PA AUTOMATICA PRETA</v>
      </c>
      <c r="D377" s="64" t="str">
        <f>IFERROR(__xludf.DUMMYFUNCTION("IMPORTRANGE(""https://docs.google.com/spreadsheets/d/1GMOWcUb26jVTosRt5EqlFYb5WfKNVSDMwfDXmDOMGao/edit?gid=410167636#gid=410167636"",""beam!f1"")"),"BEAM")</f>
        <v>BEAM</v>
      </c>
      <c r="E377" s="56">
        <v>0.0</v>
      </c>
      <c r="F377" s="58">
        <f>IFERROR(__xludf.DUMMYFUNCTION("""COMPUTED_VALUE"""),1016.0)</f>
        <v>1016</v>
      </c>
      <c r="G377" s="58">
        <f t="shared" si="12"/>
        <v>1016</v>
      </c>
      <c r="H377" s="58">
        <f t="shared" si="10"/>
        <v>1727.2</v>
      </c>
      <c r="I377" s="59">
        <f t="shared" si="13"/>
        <v>0.7</v>
      </c>
      <c r="J377" s="12"/>
      <c r="K377" s="1"/>
      <c r="L377" s="1"/>
      <c r="M377" s="1"/>
      <c r="N377" s="1"/>
      <c r="O377" s="1"/>
      <c r="P377" s="1"/>
      <c r="Q377" s="1"/>
      <c r="R377" s="1"/>
      <c r="S377" s="1"/>
      <c r="T377" s="1"/>
      <c r="U377" s="1"/>
      <c r="V377" s="1"/>
      <c r="W377" s="1"/>
      <c r="X377" s="1"/>
      <c r="Y377" s="1"/>
      <c r="Z377" s="1"/>
    </row>
    <row r="378">
      <c r="A378" s="1"/>
      <c r="B378" s="1"/>
      <c r="C378" s="48" t="str">
        <f>IFERROR(__xludf.DUMMYFUNCTION("""COMPUTED_VALUE"""),"ESPELHO PA AUTOMATICA PRETA")</f>
        <v>ESPELHO PA AUTOMATICA PRETA</v>
      </c>
      <c r="D378" s="61" t="str">
        <f>IFERROR(__xludf.DUMMYFUNCTION("IMPORTRANGE(""https://docs.google.com/spreadsheets/d/1GMOWcUb26jVTosRt5EqlFYb5WfKNVSDMwfDXmDOMGao/edit?gid=410167636#gid=410167636"",""beam!f1"")"),"BEAM")</f>
        <v>BEAM</v>
      </c>
      <c r="E378" s="50">
        <v>0.0</v>
      </c>
      <c r="F378" s="52">
        <f>IFERROR(__xludf.DUMMYFUNCTION("""COMPUTED_VALUE"""),95.0)</f>
        <v>95</v>
      </c>
      <c r="G378" s="52">
        <f t="shared" si="12"/>
        <v>95</v>
      </c>
      <c r="H378" s="52">
        <f t="shared" si="10"/>
        <v>161.5</v>
      </c>
      <c r="I378" s="53">
        <f t="shared" si="13"/>
        <v>0.7</v>
      </c>
      <c r="J378" s="12"/>
      <c r="K378" s="1"/>
      <c r="L378" s="1"/>
      <c r="M378" s="1"/>
      <c r="N378" s="1"/>
      <c r="O378" s="1"/>
      <c r="P378" s="1"/>
      <c r="Q378" s="1"/>
      <c r="R378" s="1"/>
      <c r="S378" s="1"/>
      <c r="T378" s="1"/>
      <c r="U378" s="1"/>
      <c r="V378" s="1"/>
      <c r="W378" s="1"/>
      <c r="X378" s="1"/>
      <c r="Y378" s="1"/>
      <c r="Z378" s="1"/>
    </row>
    <row r="379">
      <c r="A379" s="1"/>
      <c r="B379" s="1"/>
      <c r="C379" s="54" t="str">
        <f>IFERROR(__xludf.DUMMYFUNCTION("""COMPUTED_VALUE"""),"PA AUTOMATICA PRATA")</f>
        <v>PA AUTOMATICA PRATA</v>
      </c>
      <c r="D379" s="64" t="str">
        <f>IFERROR(__xludf.DUMMYFUNCTION("IMPORTRANGE(""https://docs.google.com/spreadsheets/d/1GMOWcUb26jVTosRt5EqlFYb5WfKNVSDMwfDXmDOMGao/edit?gid=410167636#gid=410167636"",""beam!f1"")"),"BEAM")</f>
        <v>BEAM</v>
      </c>
      <c r="E379" s="56">
        <v>0.0</v>
      </c>
      <c r="F379" s="58">
        <f>IFERROR(__xludf.DUMMYFUNCTION("""COMPUTED_VALUE"""),1016.0)</f>
        <v>1016</v>
      </c>
      <c r="G379" s="58">
        <f t="shared" si="12"/>
        <v>1016</v>
      </c>
      <c r="H379" s="58">
        <f t="shared" si="10"/>
        <v>1727.2</v>
      </c>
      <c r="I379" s="59">
        <f t="shared" si="13"/>
        <v>0.7</v>
      </c>
      <c r="J379" s="12"/>
      <c r="K379" s="1"/>
      <c r="L379" s="1"/>
      <c r="M379" s="1"/>
      <c r="N379" s="1"/>
      <c r="O379" s="1"/>
      <c r="P379" s="1"/>
      <c r="Q379" s="1"/>
      <c r="R379" s="1"/>
      <c r="S379" s="1"/>
      <c r="T379" s="1"/>
      <c r="U379" s="1"/>
      <c r="V379" s="1"/>
      <c r="W379" s="1"/>
      <c r="X379" s="1"/>
      <c r="Y379" s="1"/>
      <c r="Z379" s="1"/>
    </row>
    <row r="380">
      <c r="A380" s="1"/>
      <c r="B380" s="1"/>
      <c r="C380" s="48" t="str">
        <f>IFERROR(__xludf.DUMMYFUNCTION("""COMPUTED_VALUE"""),"ESPELHO PA AUTOMATICA EM AÇO INOX")</f>
        <v>ESPELHO PA AUTOMATICA EM AÇO INOX</v>
      </c>
      <c r="D380" s="61" t="str">
        <f>IFERROR(__xludf.DUMMYFUNCTION("IMPORTRANGE(""https://docs.google.com/spreadsheets/d/1GMOWcUb26jVTosRt5EqlFYb5WfKNVSDMwfDXmDOMGao/edit?gid=410167636#gid=410167636"",""beam!f1"")"),"BEAM")</f>
        <v>BEAM</v>
      </c>
      <c r="E380" s="50">
        <v>0.0</v>
      </c>
      <c r="F380" s="52">
        <f>IFERROR(__xludf.DUMMYFUNCTION("""COMPUTED_VALUE"""),356.0)</f>
        <v>356</v>
      </c>
      <c r="G380" s="52">
        <f t="shared" si="12"/>
        <v>356</v>
      </c>
      <c r="H380" s="52">
        <f t="shared" si="10"/>
        <v>605.2</v>
      </c>
      <c r="I380" s="53">
        <f t="shared" si="13"/>
        <v>0.7</v>
      </c>
      <c r="J380" s="12"/>
      <c r="K380" s="1"/>
      <c r="L380" s="1"/>
      <c r="M380" s="1"/>
      <c r="N380" s="1"/>
      <c r="O380" s="1"/>
      <c r="P380" s="1"/>
      <c r="Q380" s="1"/>
      <c r="R380" s="1"/>
      <c r="S380" s="1"/>
      <c r="T380" s="1"/>
      <c r="U380" s="1"/>
      <c r="V380" s="1"/>
      <c r="W380" s="1"/>
      <c r="X380" s="1"/>
      <c r="Y380" s="1"/>
      <c r="Z380" s="1"/>
    </row>
    <row r="381">
      <c r="A381" s="1"/>
      <c r="B381" s="1"/>
      <c r="C381" s="54" t="str">
        <f>IFERROR(__xludf.DUMMYFUNCTION("""COMPUTED_VALUE"""),"PA TOMADA BRANCA")</f>
        <v>PA TOMADA BRANCA</v>
      </c>
      <c r="D381" s="64" t="str">
        <f>IFERROR(__xludf.DUMMYFUNCTION("IMPORTRANGE(""https://docs.google.com/spreadsheets/d/1GMOWcUb26jVTosRt5EqlFYb5WfKNVSDMwfDXmDOMGao/edit?gid=410167636#gid=410167636"",""beam!f1"")"),"BEAM")</f>
        <v>BEAM</v>
      </c>
      <c r="E381" s="56">
        <v>0.0</v>
      </c>
      <c r="F381" s="58">
        <f>IFERROR(__xludf.DUMMYFUNCTION("""COMPUTED_VALUE"""),1338.0)</f>
        <v>1338</v>
      </c>
      <c r="G381" s="58">
        <f t="shared" si="12"/>
        <v>1338</v>
      </c>
      <c r="H381" s="58">
        <f t="shared" si="10"/>
        <v>2274.6</v>
      </c>
      <c r="I381" s="59">
        <f t="shared" si="13"/>
        <v>0.7</v>
      </c>
      <c r="J381" s="12"/>
      <c r="K381" s="1"/>
      <c r="L381" s="1"/>
      <c r="M381" s="1"/>
      <c r="N381" s="1"/>
      <c r="O381" s="1"/>
      <c r="P381" s="1"/>
      <c r="Q381" s="1"/>
      <c r="R381" s="1"/>
      <c r="S381" s="1"/>
      <c r="T381" s="1"/>
      <c r="U381" s="1"/>
      <c r="V381" s="1"/>
      <c r="W381" s="1"/>
      <c r="X381" s="1"/>
      <c r="Y381" s="1"/>
      <c r="Z381" s="1"/>
    </row>
    <row r="382">
      <c r="A382" s="1"/>
      <c r="B382" s="1"/>
      <c r="C382" s="48" t="str">
        <f>IFERROR(__xludf.DUMMYFUNCTION("""COMPUTED_VALUE"""),"PA TOMADA BRANCA
(CAIXA COM 12 UNIDADES)")</f>
        <v>PA TOMADA BRANCA
(CAIXA COM 12 UNIDADES)</v>
      </c>
      <c r="D382" s="61" t="str">
        <f>IFERROR(__xludf.DUMMYFUNCTION("IMPORTRANGE(""https://docs.google.com/spreadsheets/d/1GMOWcUb26jVTosRt5EqlFYb5WfKNVSDMwfDXmDOMGao/edit?gid=410167636#gid=410167636"",""beam!f1"")"),"BEAM")</f>
        <v>BEAM</v>
      </c>
      <c r="E382" s="50">
        <v>0.0</v>
      </c>
      <c r="F382" s="52">
        <f>IFERROR(__xludf.DUMMYFUNCTION("""COMPUTED_VALUE"""),15265.0)</f>
        <v>15265</v>
      </c>
      <c r="G382" s="52">
        <f t="shared" si="12"/>
        <v>15265</v>
      </c>
      <c r="H382" s="52">
        <f t="shared" si="10"/>
        <v>25950.5</v>
      </c>
      <c r="I382" s="53">
        <f t="shared" si="13"/>
        <v>0.7</v>
      </c>
      <c r="J382" s="12"/>
      <c r="K382" s="1"/>
      <c r="L382" s="1"/>
      <c r="M382" s="1"/>
      <c r="N382" s="1"/>
      <c r="O382" s="1"/>
      <c r="P382" s="1"/>
      <c r="Q382" s="1"/>
      <c r="R382" s="1"/>
      <c r="S382" s="1"/>
      <c r="T382" s="1"/>
      <c r="U382" s="1"/>
      <c r="V382" s="1"/>
      <c r="W382" s="1"/>
      <c r="X382" s="1"/>
      <c r="Y382" s="1"/>
      <c r="Z382" s="1"/>
    </row>
    <row r="383">
      <c r="A383" s="1"/>
      <c r="B383" s="1"/>
      <c r="C383" s="54" t="str">
        <f>IFERROR(__xludf.DUMMYFUNCTION("""COMPUTED_VALUE"""),"PA AUTOMATICA VACPORT BRANCA COM ESPELHO - MODELO INTERVAC AMERICANO")</f>
        <v>PA AUTOMATICA VACPORT BRANCA COM ESPELHO - MODELO INTERVAC AMERICANO</v>
      </c>
      <c r="D383" s="64" t="str">
        <f>IFERROR(__xludf.DUMMYFUNCTION("IMPORTRANGE(""https://docs.google.com/spreadsheets/d/1GMOWcUb26jVTosRt5EqlFYb5WfKNVSDMwfDXmDOMGao/edit?gid=410167636#gid=410167636"",""beam!f1"")"),"BEAM")</f>
        <v>BEAM</v>
      </c>
      <c r="E383" s="56">
        <v>0.0</v>
      </c>
      <c r="F383" s="58">
        <f>IFERROR(__xludf.DUMMYFUNCTION("""COMPUTED_VALUE"""),890.0)</f>
        <v>890</v>
      </c>
      <c r="G383" s="58">
        <f t="shared" si="12"/>
        <v>890</v>
      </c>
      <c r="H383" s="58">
        <f t="shared" si="10"/>
        <v>1513</v>
      </c>
      <c r="I383" s="59">
        <f t="shared" si="13"/>
        <v>0.7</v>
      </c>
      <c r="J383" s="12"/>
      <c r="K383" s="1"/>
      <c r="L383" s="1"/>
      <c r="M383" s="1"/>
      <c r="N383" s="1"/>
      <c r="O383" s="1"/>
      <c r="P383" s="1"/>
      <c r="Q383" s="1"/>
      <c r="R383" s="1"/>
      <c r="S383" s="1"/>
      <c r="T383" s="1"/>
      <c r="U383" s="1"/>
      <c r="V383" s="1"/>
      <c r="W383" s="1"/>
      <c r="X383" s="1"/>
      <c r="Y383" s="1"/>
      <c r="Z383" s="1"/>
    </row>
    <row r="384">
      <c r="A384" s="1"/>
      <c r="B384" s="1"/>
      <c r="C384" s="48" t="str">
        <f>IFERROR(__xludf.DUMMYFUNCTION("""COMPUTED_VALUE"""),"PA AUTOMATICA VACPORT BRANCA COM ESPELHO - MODELO INTERVAC AMERICANO
(CAIXA COM 10 UNIDADES)")</f>
        <v>PA AUTOMATICA VACPORT BRANCA COM ESPELHO - MODELO INTERVAC AMERICANO
(CAIXA COM 10 UNIDADES)</v>
      </c>
      <c r="D384" s="61" t="str">
        <f>IFERROR(__xludf.DUMMYFUNCTION("IMPORTRANGE(""https://docs.google.com/spreadsheets/d/1GMOWcUb26jVTosRt5EqlFYb5WfKNVSDMwfDXmDOMGao/edit?gid=410167636#gid=410167636"",""beam!f1"")"),"BEAM")</f>
        <v>BEAM</v>
      </c>
      <c r="E384" s="50">
        <v>0.0</v>
      </c>
      <c r="F384" s="52">
        <f>IFERROR(__xludf.DUMMYFUNCTION("""COMPUTED_VALUE"""),7947.0)</f>
        <v>7947</v>
      </c>
      <c r="G384" s="52">
        <f t="shared" si="12"/>
        <v>7947</v>
      </c>
      <c r="H384" s="52">
        <f t="shared" si="10"/>
        <v>13509.9</v>
      </c>
      <c r="I384" s="53">
        <f t="shared" si="13"/>
        <v>0.7</v>
      </c>
      <c r="J384" s="12"/>
      <c r="K384" s="1"/>
      <c r="L384" s="1"/>
      <c r="M384" s="1"/>
      <c r="N384" s="1"/>
      <c r="O384" s="1"/>
      <c r="P384" s="1"/>
      <c r="Q384" s="1"/>
      <c r="R384" s="1"/>
      <c r="S384" s="1"/>
      <c r="T384" s="1"/>
      <c r="U384" s="1"/>
      <c r="V384" s="1"/>
      <c r="W384" s="1"/>
      <c r="X384" s="1"/>
      <c r="Y384" s="1"/>
      <c r="Z384" s="1"/>
    </row>
    <row r="385">
      <c r="A385" s="1"/>
      <c r="B385" s="1"/>
      <c r="C385" s="54" t="str">
        <f>IFERROR(__xludf.DUMMYFUNCTION("""COMPUTED_VALUE"""),"PA AUTOMATICA VACPORT PRETA COM ESPELHO - MODELO INTERVAC AMERICANO")</f>
        <v>PA AUTOMATICA VACPORT PRETA COM ESPELHO - MODELO INTERVAC AMERICANO</v>
      </c>
      <c r="D385" s="64" t="str">
        <f>IFERROR(__xludf.DUMMYFUNCTION("IMPORTRANGE(""https://docs.google.com/spreadsheets/d/1GMOWcUb26jVTosRt5EqlFYb5WfKNVSDMwfDXmDOMGao/edit?gid=410167636#gid=410167636"",""beam!f1"")"),"BEAM")</f>
        <v>BEAM</v>
      </c>
      <c r="E385" s="56">
        <v>0.0</v>
      </c>
      <c r="F385" s="58">
        <f>IFERROR(__xludf.DUMMYFUNCTION("""COMPUTED_VALUE"""),890.0)</f>
        <v>890</v>
      </c>
      <c r="G385" s="58">
        <f t="shared" si="12"/>
        <v>890</v>
      </c>
      <c r="H385" s="58">
        <f t="shared" si="10"/>
        <v>1513</v>
      </c>
      <c r="I385" s="59">
        <f t="shared" si="13"/>
        <v>0.7</v>
      </c>
      <c r="J385" s="12"/>
      <c r="K385" s="1"/>
      <c r="L385" s="1"/>
      <c r="M385" s="1"/>
      <c r="N385" s="1"/>
      <c r="O385" s="1"/>
      <c r="P385" s="1"/>
      <c r="Q385" s="1"/>
      <c r="R385" s="1"/>
      <c r="S385" s="1"/>
      <c r="T385" s="1"/>
      <c r="U385" s="1"/>
      <c r="V385" s="1"/>
      <c r="W385" s="1"/>
      <c r="X385" s="1"/>
      <c r="Y385" s="1"/>
      <c r="Z385" s="1"/>
    </row>
    <row r="386">
      <c r="A386" s="1"/>
      <c r="B386" s="1"/>
      <c r="C386" s="48" t="str">
        <f>IFERROR(__xludf.DUMMYFUNCTION("""COMPUTED_VALUE"""),"PA AUTOMATICA VACPORT PRETA COM ESPELHO - MODELO INTERVAC AMERICANO
(CAIXA COM 10 UNIDADES)")</f>
        <v>PA AUTOMATICA VACPORT PRETA COM ESPELHO - MODELO INTERVAC AMERICANO
(CAIXA COM 10 UNIDADES)</v>
      </c>
      <c r="D386" s="61" t="str">
        <f>IFERROR(__xludf.DUMMYFUNCTION("IMPORTRANGE(""https://docs.google.com/spreadsheets/d/1GMOWcUb26jVTosRt5EqlFYb5WfKNVSDMwfDXmDOMGao/edit?gid=410167636#gid=410167636"",""beam!f1"")"),"BEAM")</f>
        <v>BEAM</v>
      </c>
      <c r="E386" s="50">
        <v>0.0</v>
      </c>
      <c r="F386" s="52">
        <f>IFERROR(__xludf.DUMMYFUNCTION("""COMPUTED_VALUE"""),7947.0)</f>
        <v>7947</v>
      </c>
      <c r="G386" s="52">
        <f t="shared" si="12"/>
        <v>7947</v>
      </c>
      <c r="H386" s="52">
        <f t="shared" si="10"/>
        <v>13509.9</v>
      </c>
      <c r="I386" s="53">
        <f t="shared" si="13"/>
        <v>0.7</v>
      </c>
      <c r="J386" s="12"/>
      <c r="K386" s="1"/>
      <c r="L386" s="1"/>
      <c r="M386" s="1"/>
      <c r="N386" s="1"/>
      <c r="O386" s="1"/>
      <c r="P386" s="1"/>
      <c r="Q386" s="1"/>
      <c r="R386" s="1"/>
      <c r="S386" s="1"/>
      <c r="T386" s="1"/>
      <c r="U386" s="1"/>
      <c r="V386" s="1"/>
      <c r="W386" s="1"/>
      <c r="X386" s="1"/>
      <c r="Y386" s="1"/>
      <c r="Z386" s="1"/>
    </row>
    <row r="387">
      <c r="A387" s="1"/>
      <c r="B387" s="1"/>
      <c r="C387" s="54" t="str">
        <f>IFERROR(__xludf.DUMMYFUNCTION("""COMPUTED_VALUE"""),"PÁ AUTOMÁTICA VACPORT BRANCA LED COM ESPELHO - MODELO INTERVAC AMERICANO")</f>
        <v>PÁ AUTOMÁTICA VACPORT BRANCA LED COM ESPELHO - MODELO INTERVAC AMERICANO</v>
      </c>
      <c r="D387" s="64" t="str">
        <f>IFERROR(__xludf.DUMMYFUNCTION("IMPORTRANGE(""https://docs.google.com/spreadsheets/d/1GMOWcUb26jVTosRt5EqlFYb5WfKNVSDMwfDXmDOMGao/edit?gid=410167636#gid=410167636"",""beam!f1"")"),"BEAM")</f>
        <v>BEAM</v>
      </c>
      <c r="E387" s="56">
        <v>0.0</v>
      </c>
      <c r="F387" s="58">
        <f>IFERROR(__xludf.DUMMYFUNCTION("""COMPUTED_VALUE"""),1366.0)</f>
        <v>1366</v>
      </c>
      <c r="G387" s="58">
        <f t="shared" si="12"/>
        <v>1366</v>
      </c>
      <c r="H387" s="58">
        <f t="shared" si="10"/>
        <v>2322.2</v>
      </c>
      <c r="I387" s="59">
        <f t="shared" si="13"/>
        <v>0.7</v>
      </c>
      <c r="J387" s="12"/>
      <c r="K387" s="1"/>
      <c r="L387" s="1"/>
      <c r="M387" s="1"/>
      <c r="N387" s="1"/>
      <c r="O387" s="1"/>
      <c r="P387" s="1"/>
      <c r="Q387" s="1"/>
      <c r="R387" s="1"/>
      <c r="S387" s="1"/>
      <c r="T387" s="1"/>
      <c r="U387" s="1"/>
      <c r="V387" s="1"/>
      <c r="W387" s="1"/>
      <c r="X387" s="1"/>
      <c r="Y387" s="1"/>
      <c r="Z387" s="1"/>
    </row>
    <row r="388">
      <c r="A388" s="1"/>
      <c r="B388" s="1"/>
      <c r="C388" s="48" t="str">
        <f>IFERROR(__xludf.DUMMYFUNCTION("""COMPUTED_VALUE"""),"PÁ AUTOMÁTICA VACPORT BRANCA LED COM ESPELHO - MODELO INTERVAC AMERICANO
(CAIXA COM 10 UNIDADES)")</f>
        <v>PÁ AUTOMÁTICA VACPORT BRANCA LED COM ESPELHO - MODELO INTERVAC AMERICANO
(CAIXA COM 10 UNIDADES)</v>
      </c>
      <c r="D388" s="61" t="str">
        <f>IFERROR(__xludf.DUMMYFUNCTION("IMPORTRANGE(""https://docs.google.com/spreadsheets/d/1GMOWcUb26jVTosRt5EqlFYb5WfKNVSDMwfDXmDOMGao/edit?gid=410167636#gid=410167636"",""beam!f1"")"),"BEAM")</f>
        <v>BEAM</v>
      </c>
      <c r="E388" s="50">
        <v>0.0</v>
      </c>
      <c r="F388" s="52">
        <f>IFERROR(__xludf.DUMMYFUNCTION("""COMPUTED_VALUE"""),12374.0)</f>
        <v>12374</v>
      </c>
      <c r="G388" s="52">
        <f t="shared" si="12"/>
        <v>12374</v>
      </c>
      <c r="H388" s="52">
        <f t="shared" si="10"/>
        <v>21035.8</v>
      </c>
      <c r="I388" s="53">
        <f t="shared" si="13"/>
        <v>0.7</v>
      </c>
      <c r="J388" s="12"/>
      <c r="K388" s="1"/>
      <c r="L388" s="1"/>
      <c r="M388" s="1"/>
      <c r="N388" s="1"/>
      <c r="O388" s="1"/>
      <c r="P388" s="1"/>
      <c r="Q388" s="1"/>
      <c r="R388" s="1"/>
      <c r="S388" s="1"/>
      <c r="T388" s="1"/>
      <c r="U388" s="1"/>
      <c r="V388" s="1"/>
      <c r="W388" s="1"/>
      <c r="X388" s="1"/>
      <c r="Y388" s="1"/>
      <c r="Z388" s="1"/>
    </row>
    <row r="389">
      <c r="A389" s="1"/>
      <c r="B389" s="1"/>
      <c r="C389" s="54" t="str">
        <f>IFERROR(__xludf.DUMMYFUNCTION("""COMPUTED_VALUE"""),"PÁ AUTOMÁTICA VACPORT PRETA LED COM ESPELHO - MODELO INTERVAC AMERICANO")</f>
        <v>PÁ AUTOMÁTICA VACPORT PRETA LED COM ESPELHO - MODELO INTERVAC AMERICANO</v>
      </c>
      <c r="D389" s="64" t="str">
        <f>IFERROR(__xludf.DUMMYFUNCTION("IMPORTRANGE(""https://docs.google.com/spreadsheets/d/1GMOWcUb26jVTosRt5EqlFYb5WfKNVSDMwfDXmDOMGao/edit?gid=410167636#gid=410167636"",""beam!f1"")"),"BEAM")</f>
        <v>BEAM</v>
      </c>
      <c r="E389" s="56">
        <v>0.0</v>
      </c>
      <c r="F389" s="58">
        <f>IFERROR(__xludf.DUMMYFUNCTION("""COMPUTED_VALUE"""),1366.0)</f>
        <v>1366</v>
      </c>
      <c r="G389" s="58">
        <f t="shared" si="12"/>
        <v>1366</v>
      </c>
      <c r="H389" s="58">
        <f t="shared" si="10"/>
        <v>2322.2</v>
      </c>
      <c r="I389" s="59">
        <f t="shared" si="13"/>
        <v>0.7</v>
      </c>
      <c r="J389" s="12"/>
      <c r="K389" s="1"/>
      <c r="L389" s="1"/>
      <c r="M389" s="1"/>
      <c r="N389" s="1"/>
      <c r="O389" s="1"/>
      <c r="P389" s="1"/>
      <c r="Q389" s="1"/>
      <c r="R389" s="1"/>
      <c r="S389" s="1"/>
      <c r="T389" s="1"/>
      <c r="U389" s="1"/>
      <c r="V389" s="1"/>
      <c r="W389" s="1"/>
      <c r="X389" s="1"/>
      <c r="Y389" s="1"/>
      <c r="Z389" s="1"/>
    </row>
    <row r="390">
      <c r="A390" s="1"/>
      <c r="B390" s="1"/>
      <c r="C390" s="48" t="str">
        <f>IFERROR(__xludf.DUMMYFUNCTION("""COMPUTED_VALUE"""),"PÁ AUTOMÁTICA VACPORT PRETA LED COM ESPELHO - MODELO INTERVAC AMERICANO
(CAIXA COM 10 UNIDADES)")</f>
        <v>PÁ AUTOMÁTICA VACPORT PRETA LED COM ESPELHO - MODELO INTERVAC AMERICANO
(CAIXA COM 10 UNIDADES)</v>
      </c>
      <c r="D390" s="61" t="str">
        <f>IFERROR(__xludf.DUMMYFUNCTION("IMPORTRANGE(""https://docs.google.com/spreadsheets/d/1GMOWcUb26jVTosRt5EqlFYb5WfKNVSDMwfDXmDOMGao/edit?gid=410167636#gid=410167636"",""beam!f1"")"),"BEAM")</f>
        <v>BEAM</v>
      </c>
      <c r="E390" s="50">
        <v>0.0</v>
      </c>
      <c r="F390" s="52">
        <f>IFERROR(__xludf.DUMMYFUNCTION("""COMPUTED_VALUE"""),12374.0)</f>
        <v>12374</v>
      </c>
      <c r="G390" s="52">
        <f t="shared" si="12"/>
        <v>12374</v>
      </c>
      <c r="H390" s="52">
        <f t="shared" si="10"/>
        <v>21035.8</v>
      </c>
      <c r="I390" s="53">
        <f t="shared" si="13"/>
        <v>0.7</v>
      </c>
      <c r="J390" s="12"/>
      <c r="K390" s="1"/>
      <c r="L390" s="1"/>
      <c r="M390" s="1"/>
      <c r="N390" s="1"/>
      <c r="O390" s="1"/>
      <c r="P390" s="1"/>
      <c r="Q390" s="1"/>
      <c r="R390" s="1"/>
      <c r="S390" s="1"/>
      <c r="T390" s="1"/>
      <c r="U390" s="1"/>
      <c r="V390" s="1"/>
      <c r="W390" s="1"/>
      <c r="X390" s="1"/>
      <c r="Y390" s="1"/>
      <c r="Z390" s="1"/>
    </row>
    <row r="391">
      <c r="A391" s="1"/>
      <c r="B391" s="1"/>
      <c r="C391" s="54" t="str">
        <f>IFERROR(__xludf.DUMMYFUNCTION("""COMPUTED_VALUE"""),"CAIXA DE INSTALACAO PARA PA AUTOMATICA
( TODOS OS MODELOS DE PAS)")</f>
        <v>CAIXA DE INSTALACAO PARA PA AUTOMATICA
( TODOS OS MODELOS DE PAS)</v>
      </c>
      <c r="D391" s="64" t="str">
        <f>IFERROR(__xludf.DUMMYFUNCTION("IMPORTRANGE(""https://docs.google.com/spreadsheets/d/1GMOWcUb26jVTosRt5EqlFYb5WfKNVSDMwfDXmDOMGao/edit?gid=410167636#gid=410167636"",""beam!f1"")"),"BEAM")</f>
        <v>BEAM</v>
      </c>
      <c r="E391" s="56">
        <v>0.0</v>
      </c>
      <c r="F391" s="58">
        <f>IFERROR(__xludf.DUMMYFUNCTION("""COMPUTED_VALUE"""),157.0)</f>
        <v>157</v>
      </c>
      <c r="G391" s="58">
        <f t="shared" si="12"/>
        <v>157</v>
      </c>
      <c r="H391" s="58">
        <f t="shared" si="10"/>
        <v>266.9</v>
      </c>
      <c r="I391" s="59">
        <f t="shared" si="13"/>
        <v>0.7</v>
      </c>
      <c r="J391" s="12"/>
      <c r="K391" s="1"/>
      <c r="L391" s="1"/>
      <c r="M391" s="1"/>
      <c r="N391" s="1"/>
      <c r="O391" s="1"/>
      <c r="P391" s="1"/>
      <c r="Q391" s="1"/>
      <c r="R391" s="1"/>
      <c r="S391" s="1"/>
      <c r="T391" s="1"/>
      <c r="U391" s="1"/>
      <c r="V391" s="1"/>
      <c r="W391" s="1"/>
      <c r="X391" s="1"/>
      <c r="Y391" s="1"/>
      <c r="Z391" s="1"/>
    </row>
    <row r="392">
      <c r="A392" s="1"/>
      <c r="B392" s="1"/>
      <c r="C392" s="48" t="str">
        <f>IFERROR(__xludf.DUMMYFUNCTION("""COMPUTED_VALUE"""),"ESPELHO LISO DE ACABAMENTO PARA PLACA DE MONTAGEM")</f>
        <v>ESPELHO LISO DE ACABAMENTO PARA PLACA DE MONTAGEM</v>
      </c>
      <c r="D392" s="61" t="str">
        <f>IFERROR(__xludf.DUMMYFUNCTION("IMPORTRANGE(""https://docs.google.com/spreadsheets/d/1GMOWcUb26jVTosRt5EqlFYb5WfKNVSDMwfDXmDOMGao/edit?gid=410167636#gid=410167636"",""beam!f1"")"),"BEAM")</f>
        <v>BEAM</v>
      </c>
      <c r="E392" s="50">
        <v>0.0</v>
      </c>
      <c r="F392" s="52">
        <f>IFERROR(__xludf.DUMMYFUNCTION("""COMPUTED_VALUE"""),28.0)</f>
        <v>28</v>
      </c>
      <c r="G392" s="52">
        <f t="shared" si="12"/>
        <v>28</v>
      </c>
      <c r="H392" s="52">
        <f t="shared" si="10"/>
        <v>47.6</v>
      </c>
      <c r="I392" s="53">
        <f t="shared" si="13"/>
        <v>0.7</v>
      </c>
      <c r="J392" s="12"/>
      <c r="K392" s="1"/>
      <c r="L392" s="1"/>
      <c r="M392" s="1"/>
      <c r="N392" s="1"/>
      <c r="O392" s="1"/>
      <c r="P392" s="1"/>
      <c r="Q392" s="1"/>
      <c r="R392" s="1"/>
      <c r="S392" s="1"/>
      <c r="T392" s="1"/>
      <c r="U392" s="1"/>
      <c r="V392" s="1"/>
      <c r="W392" s="1"/>
      <c r="X392" s="1"/>
      <c r="Y392" s="1"/>
      <c r="Z392" s="1"/>
    </row>
    <row r="393">
      <c r="A393" s="1"/>
      <c r="B393" s="1"/>
      <c r="C393" s="54" t="str">
        <f>IFERROR(__xludf.DUMMYFUNCTION("""COMPUTED_VALUE"""),"ESPELHO LISO DE ACABAMENTO PARA PLACA DE MONTAGEM
(CAIXA COM 45 UNIDADES)")</f>
        <v>ESPELHO LISO DE ACABAMENTO PARA PLACA DE MONTAGEM
(CAIXA COM 45 UNIDADES)</v>
      </c>
      <c r="D393" s="64" t="str">
        <f>IFERROR(__xludf.DUMMYFUNCTION("IMPORTRANGE(""https://docs.google.com/spreadsheets/d/1GMOWcUb26jVTosRt5EqlFYb5WfKNVSDMwfDXmDOMGao/edit?gid=410167636#gid=410167636"",""beam!f1"")"),"BEAM")</f>
        <v>BEAM</v>
      </c>
      <c r="E393" s="56">
        <v>0.0</v>
      </c>
      <c r="F393" s="58">
        <f>IFERROR(__xludf.DUMMYFUNCTION("""COMPUTED_VALUE"""),1157.0)</f>
        <v>1157</v>
      </c>
      <c r="G393" s="58">
        <f t="shared" si="12"/>
        <v>1157</v>
      </c>
      <c r="H393" s="58">
        <f t="shared" si="10"/>
        <v>1966.9</v>
      </c>
      <c r="I393" s="59">
        <f t="shared" si="13"/>
        <v>0.7</v>
      </c>
      <c r="J393" s="12"/>
      <c r="K393" s="1"/>
      <c r="L393" s="1"/>
      <c r="M393" s="1"/>
      <c r="N393" s="1"/>
      <c r="O393" s="1"/>
      <c r="P393" s="1"/>
      <c r="Q393" s="1"/>
      <c r="R393" s="1"/>
      <c r="S393" s="1"/>
      <c r="T393" s="1"/>
      <c r="U393" s="1"/>
      <c r="V393" s="1"/>
      <c r="W393" s="1"/>
      <c r="X393" s="1"/>
      <c r="Y393" s="1"/>
      <c r="Z393" s="1"/>
    </row>
    <row r="394">
      <c r="A394" s="1"/>
      <c r="B394" s="1"/>
      <c r="C394" s="48" t="str">
        <f>IFERROR(__xludf.DUMMYFUNCTION("""COMPUTED_VALUE"""),"ESPELHO DE PROTEÇÃO PARA PRÉ TOMADA")</f>
        <v>ESPELHO DE PROTEÇÃO PARA PRÉ TOMADA</v>
      </c>
      <c r="D394" s="61" t="str">
        <f>IFERROR(__xludf.DUMMYFUNCTION("IMPORTRANGE(""https://docs.google.com/spreadsheets/d/1GMOWcUb26jVTosRt5EqlFYb5WfKNVSDMwfDXmDOMGao/edit?gid=410167636#gid=410167636"",""beam!f1"")"),"BEAM")</f>
        <v>BEAM</v>
      </c>
      <c r="E394" s="50">
        <v>0.0</v>
      </c>
      <c r="F394" s="52">
        <f>IFERROR(__xludf.DUMMYFUNCTION("""COMPUTED_VALUE"""),25.0)</f>
        <v>25</v>
      </c>
      <c r="G394" s="52">
        <f t="shared" si="12"/>
        <v>25</v>
      </c>
      <c r="H394" s="52">
        <f t="shared" si="10"/>
        <v>42.5</v>
      </c>
      <c r="I394" s="53">
        <f t="shared" si="13"/>
        <v>0.7</v>
      </c>
      <c r="J394" s="12"/>
      <c r="K394" s="1"/>
      <c r="L394" s="1"/>
      <c r="M394" s="1"/>
      <c r="N394" s="1"/>
      <c r="O394" s="1"/>
      <c r="P394" s="1"/>
      <c r="Q394" s="1"/>
      <c r="R394" s="1"/>
      <c r="S394" s="1"/>
      <c r="T394" s="1"/>
      <c r="U394" s="1"/>
      <c r="V394" s="1"/>
      <c r="W394" s="1"/>
      <c r="X394" s="1"/>
      <c r="Y394" s="1"/>
      <c r="Z394" s="1"/>
    </row>
    <row r="395">
      <c r="A395" s="1"/>
      <c r="B395" s="1"/>
      <c r="C395" s="54" t="str">
        <f>IFERROR(__xludf.DUMMYFUNCTION("""COMPUTED_VALUE"""),"ESPELHO DE PROTEÇÃO PARA PRÉ TOMADA
(CAIXA COM 50 UNIDADES)")</f>
        <v>ESPELHO DE PROTEÇÃO PARA PRÉ TOMADA
(CAIXA COM 50 UNIDADES)</v>
      </c>
      <c r="D395" s="64" t="str">
        <f>IFERROR(__xludf.DUMMYFUNCTION("IMPORTRANGE(""https://docs.google.com/spreadsheets/d/1GMOWcUb26jVTosRt5EqlFYb5WfKNVSDMwfDXmDOMGao/edit?gid=410167636#gid=410167636"",""beam!f1"")"),"BEAM")</f>
        <v>BEAM</v>
      </c>
      <c r="E395" s="56">
        <v>0.0</v>
      </c>
      <c r="F395" s="58">
        <f>IFERROR(__xludf.DUMMYFUNCTION("""COMPUTED_VALUE"""),1194.0)</f>
        <v>1194</v>
      </c>
      <c r="G395" s="58">
        <f t="shared" si="12"/>
        <v>1194</v>
      </c>
      <c r="H395" s="58">
        <f t="shared" si="10"/>
        <v>2029.8</v>
      </c>
      <c r="I395" s="59">
        <f t="shared" si="13"/>
        <v>0.7</v>
      </c>
      <c r="J395" s="12"/>
      <c r="K395" s="1"/>
      <c r="L395" s="1"/>
      <c r="M395" s="1"/>
      <c r="N395" s="1"/>
      <c r="O395" s="1"/>
      <c r="P395" s="1"/>
      <c r="Q395" s="1"/>
      <c r="R395" s="1"/>
      <c r="S395" s="1"/>
      <c r="T395" s="1"/>
      <c r="U395" s="1"/>
      <c r="V395" s="1"/>
      <c r="W395" s="1"/>
      <c r="X395" s="1"/>
      <c r="Y395" s="1"/>
      <c r="Z395" s="1"/>
    </row>
    <row r="396">
      <c r="A396" s="1"/>
      <c r="B396" s="1"/>
      <c r="C396" s="48" t="str">
        <f>IFERROR(__xludf.DUMMYFUNCTION("""COMPUTED_VALUE"""),"EXTENSOR PARA TOMADAS
(ENCAIXE ENTRE TOMADA E PLACA DE MONTAGEM)")</f>
        <v>EXTENSOR PARA TOMADAS
(ENCAIXE ENTRE TOMADA E PLACA DE MONTAGEM)</v>
      </c>
      <c r="D396" s="61" t="str">
        <f>IFERROR(__xludf.DUMMYFUNCTION("IMPORTRANGE(""https://docs.google.com/spreadsheets/d/1GMOWcUb26jVTosRt5EqlFYb5WfKNVSDMwfDXmDOMGao/edit?gid=410167636#gid=410167636"",""beam!f1"")"),"BEAM")</f>
        <v>BEAM</v>
      </c>
      <c r="E396" s="50">
        <v>0.0</v>
      </c>
      <c r="F396" s="52">
        <f>IFERROR(__xludf.DUMMYFUNCTION("""COMPUTED_VALUE"""),25.0)</f>
        <v>25</v>
      </c>
      <c r="G396" s="52">
        <f t="shared" si="12"/>
        <v>25</v>
      </c>
      <c r="H396" s="52">
        <f t="shared" si="10"/>
        <v>42.5</v>
      </c>
      <c r="I396" s="53">
        <f t="shared" si="13"/>
        <v>0.7</v>
      </c>
      <c r="J396" s="12"/>
      <c r="K396" s="1"/>
      <c r="L396" s="1"/>
      <c r="M396" s="1"/>
      <c r="N396" s="1"/>
      <c r="O396" s="1"/>
      <c r="P396" s="1"/>
      <c r="Q396" s="1"/>
      <c r="R396" s="1"/>
      <c r="S396" s="1"/>
      <c r="T396" s="1"/>
      <c r="U396" s="1"/>
      <c r="V396" s="1"/>
      <c r="W396" s="1"/>
      <c r="X396" s="1"/>
      <c r="Y396" s="1"/>
      <c r="Z396" s="1"/>
    </row>
    <row r="397">
      <c r="A397" s="1"/>
      <c r="B397" s="1"/>
      <c r="C397" s="54" t="str">
        <f>IFERROR(__xludf.DUMMYFUNCTION("""COMPUTED_VALUE"""),"PLACA DE MONTAGEM DE FERRO
(PARA TOMADAS CROMADAS)")</f>
        <v>PLACA DE MONTAGEM DE FERRO
(PARA TOMADAS CROMADAS)</v>
      </c>
      <c r="D397" s="64" t="str">
        <f>IFERROR(__xludf.DUMMYFUNCTION("IMPORTRANGE(""https://docs.google.com/spreadsheets/d/1GMOWcUb26jVTosRt5EqlFYb5WfKNVSDMwfDXmDOMGao/edit?gid=410167636#gid=410167636"",""beam!f1"")"),"BEAM")</f>
        <v>BEAM</v>
      </c>
      <c r="E397" s="56">
        <v>0.0</v>
      </c>
      <c r="F397" s="58">
        <f>IFERROR(__xludf.DUMMYFUNCTION("""COMPUTED_VALUE"""),81.0)</f>
        <v>81</v>
      </c>
      <c r="G397" s="58">
        <f t="shared" si="12"/>
        <v>81</v>
      </c>
      <c r="H397" s="58">
        <f t="shared" si="10"/>
        <v>137.7</v>
      </c>
      <c r="I397" s="59">
        <f t="shared" si="13"/>
        <v>0.7</v>
      </c>
      <c r="J397" s="12"/>
      <c r="K397" s="1"/>
      <c r="L397" s="1"/>
      <c r="M397" s="1"/>
      <c r="N397" s="1"/>
      <c r="O397" s="1"/>
      <c r="P397" s="1"/>
      <c r="Q397" s="1"/>
      <c r="R397" s="1"/>
      <c r="S397" s="1"/>
      <c r="T397" s="1"/>
      <c r="U397" s="1"/>
      <c r="V397" s="1"/>
      <c r="W397" s="1"/>
      <c r="X397" s="1"/>
      <c r="Y397" s="1"/>
      <c r="Z397" s="1"/>
    </row>
    <row r="398">
      <c r="A398" s="1"/>
      <c r="B398" s="1"/>
      <c r="C398" s="48" t="str">
        <f>IFERROR(__xludf.DUMMYFUNCTION("""COMPUTED_VALUE"""),"PLACA DE MONTAGEM UNIVERSAL
(PARA TOMADAS 4X2"" E 2X2"")")</f>
        <v>PLACA DE MONTAGEM UNIVERSAL
(PARA TOMADAS 4X2" E 2X2")</v>
      </c>
      <c r="D398" s="61" t="str">
        <f>IFERROR(__xludf.DUMMYFUNCTION("IMPORTRANGE(""https://docs.google.com/spreadsheets/d/1GMOWcUb26jVTosRt5EqlFYb5WfKNVSDMwfDXmDOMGao/edit?gid=410167636#gid=410167636"",""beam!f1"")"),"BEAM")</f>
        <v>BEAM</v>
      </c>
      <c r="E398" s="50">
        <v>0.0</v>
      </c>
      <c r="F398" s="52">
        <f>IFERROR(__xludf.DUMMYFUNCTION("""COMPUTED_VALUE"""),46.0)</f>
        <v>46</v>
      </c>
      <c r="G398" s="52">
        <f t="shared" si="12"/>
        <v>46</v>
      </c>
      <c r="H398" s="52">
        <f t="shared" si="10"/>
        <v>78.2</v>
      </c>
      <c r="I398" s="53">
        <f t="shared" si="13"/>
        <v>0.7</v>
      </c>
      <c r="J398" s="12"/>
      <c r="K398" s="1"/>
      <c r="L398" s="1"/>
      <c r="M398" s="1"/>
      <c r="N398" s="1"/>
      <c r="O398" s="1"/>
      <c r="P398" s="1"/>
      <c r="Q398" s="1"/>
      <c r="R398" s="1"/>
      <c r="S398" s="1"/>
      <c r="T398" s="1"/>
      <c r="U398" s="1"/>
      <c r="V398" s="1"/>
      <c r="W398" s="1"/>
      <c r="X398" s="1"/>
      <c r="Y398" s="1"/>
      <c r="Z398" s="1"/>
    </row>
    <row r="399">
      <c r="A399" s="1"/>
      <c r="B399" s="1"/>
      <c r="C399" s="54" t="str">
        <f>IFERROR(__xludf.DUMMYFUNCTION("""COMPUTED_VALUE"""),"PRÉ TOMADA - PLACA DE MONTAGEM DE TOMADAS")</f>
        <v>PRÉ TOMADA - PLACA DE MONTAGEM DE TOMADAS</v>
      </c>
      <c r="D399" s="64" t="str">
        <f>IFERROR(__xludf.DUMMYFUNCTION("IMPORTRANGE(""https://docs.google.com/spreadsheets/d/1GMOWcUb26jVTosRt5EqlFYb5WfKNVSDMwfDXmDOMGao/edit?gid=410167636#gid=410167636"",""beam!f1"")"),"BEAM")</f>
        <v>BEAM</v>
      </c>
      <c r="E399" s="56">
        <v>0.0</v>
      </c>
      <c r="F399" s="58">
        <f>IFERROR(__xludf.DUMMYFUNCTION("""COMPUTED_VALUE"""),32.0)</f>
        <v>32</v>
      </c>
      <c r="G399" s="58">
        <f t="shared" si="12"/>
        <v>32</v>
      </c>
      <c r="H399" s="58">
        <f t="shared" si="10"/>
        <v>54.4</v>
      </c>
      <c r="I399" s="59">
        <f t="shared" si="13"/>
        <v>0.7</v>
      </c>
      <c r="J399" s="12"/>
      <c r="K399" s="1"/>
      <c r="L399" s="1"/>
      <c r="M399" s="1"/>
      <c r="N399" s="1"/>
      <c r="O399" s="1"/>
      <c r="P399" s="1"/>
      <c r="Q399" s="1"/>
      <c r="R399" s="1"/>
      <c r="S399" s="1"/>
      <c r="T399" s="1"/>
      <c r="U399" s="1"/>
      <c r="V399" s="1"/>
      <c r="W399" s="1"/>
      <c r="X399" s="1"/>
      <c r="Y399" s="1"/>
      <c r="Z399" s="1"/>
    </row>
    <row r="400">
      <c r="A400" s="1"/>
      <c r="B400" s="1"/>
      <c r="C400" s="48" t="str">
        <f>IFERROR(__xludf.DUMMYFUNCTION("""COMPUTED_VALUE"""),"PRÉ TOMADA - PLACA DE MONTAGEM DE TOMADAS
(CAIXA COM 75 UNIDADES)")</f>
        <v>PRÉ TOMADA - PLACA DE MONTAGEM DE TOMADAS
(CAIXA COM 75 UNIDADES)</v>
      </c>
      <c r="D400" s="61" t="str">
        <f>IFERROR(__xludf.DUMMYFUNCTION("IMPORTRANGE(""https://docs.google.com/spreadsheets/d/1GMOWcUb26jVTosRt5EqlFYb5WfKNVSDMwfDXmDOMGao/edit?gid=410167636#gid=410167636"",""beam!f1"")"),"BEAM")</f>
        <v>BEAM</v>
      </c>
      <c r="E400" s="50">
        <v>0.0</v>
      </c>
      <c r="F400" s="52">
        <f>IFERROR(__xludf.DUMMYFUNCTION("""COMPUTED_VALUE"""),2203.0)</f>
        <v>2203</v>
      </c>
      <c r="G400" s="52">
        <f t="shared" si="12"/>
        <v>2203</v>
      </c>
      <c r="H400" s="52">
        <f t="shared" si="10"/>
        <v>3745.1</v>
      </c>
      <c r="I400" s="53">
        <f t="shared" si="13"/>
        <v>0.7</v>
      </c>
      <c r="J400" s="12"/>
      <c r="K400" s="1"/>
      <c r="L400" s="1"/>
      <c r="M400" s="1"/>
      <c r="N400" s="1"/>
      <c r="O400" s="1"/>
      <c r="P400" s="1"/>
      <c r="Q400" s="1"/>
      <c r="R400" s="1"/>
      <c r="S400" s="1"/>
      <c r="T400" s="1"/>
      <c r="U400" s="1"/>
      <c r="V400" s="1"/>
      <c r="W400" s="1"/>
      <c r="X400" s="1"/>
      <c r="Y400" s="1"/>
      <c r="Z400" s="1"/>
    </row>
    <row r="401">
      <c r="A401" s="1"/>
      <c r="B401" s="1"/>
      <c r="C401" s="54" t="str">
        <f>IFERROR(__xludf.DUMMYFUNCTION("""COMPUTED_VALUE"""),"CURVA DE 90 GRAUS CURTA")</f>
        <v>CURVA DE 90 GRAUS CURTA</v>
      </c>
      <c r="D401" s="64" t="str">
        <f>IFERROR(__xludf.DUMMYFUNCTION("IMPORTRANGE(""https://docs.google.com/spreadsheets/d/1GMOWcUb26jVTosRt5EqlFYb5WfKNVSDMwfDXmDOMGao/edit?gid=410167636#gid=410167636"",""beam!f1"")"),"BEAM")</f>
        <v>BEAM</v>
      </c>
      <c r="E401" s="56">
        <v>0.0</v>
      </c>
      <c r="F401" s="58">
        <f>IFERROR(__xludf.DUMMYFUNCTION("""COMPUTED_VALUE"""),15.0)</f>
        <v>15</v>
      </c>
      <c r="G401" s="58">
        <f t="shared" si="12"/>
        <v>15</v>
      </c>
      <c r="H401" s="58">
        <f t="shared" si="10"/>
        <v>25.5</v>
      </c>
      <c r="I401" s="59">
        <f t="shared" si="13"/>
        <v>0.7</v>
      </c>
      <c r="J401" s="12"/>
      <c r="K401" s="1"/>
      <c r="L401" s="1"/>
      <c r="M401" s="1"/>
      <c r="N401" s="1"/>
      <c r="O401" s="1"/>
      <c r="P401" s="1"/>
      <c r="Q401" s="1"/>
      <c r="R401" s="1"/>
      <c r="S401" s="1"/>
      <c r="T401" s="1"/>
      <c r="U401" s="1"/>
      <c r="V401" s="1"/>
      <c r="W401" s="1"/>
      <c r="X401" s="1"/>
      <c r="Y401" s="1"/>
      <c r="Z401" s="1"/>
    </row>
    <row r="402">
      <c r="A402" s="1"/>
      <c r="B402" s="1"/>
      <c r="C402" s="48" t="str">
        <f>IFERROR(__xludf.DUMMYFUNCTION("""COMPUTED_VALUE"""),"CURVA DE 90 GRAUS CURTA
(CAIXA COM 115 UNIDADES)")</f>
        <v>CURVA DE 90 GRAUS CURTA
(CAIXA COM 115 UNIDADES)</v>
      </c>
      <c r="D402" s="61" t="str">
        <f>IFERROR(__xludf.DUMMYFUNCTION("IMPORTRANGE(""https://docs.google.com/spreadsheets/d/1GMOWcUb26jVTosRt5EqlFYb5WfKNVSDMwfDXmDOMGao/edit?gid=410167636#gid=410167636"",""beam!f1"")"),"BEAM")</f>
        <v>BEAM</v>
      </c>
      <c r="E402" s="50">
        <v>0.0</v>
      </c>
      <c r="F402" s="52">
        <f>IFERROR(__xludf.DUMMYFUNCTION("""COMPUTED_VALUE"""),1728.0)</f>
        <v>1728</v>
      </c>
      <c r="G402" s="52">
        <f t="shared" si="12"/>
        <v>1728</v>
      </c>
      <c r="H402" s="52">
        <f t="shared" si="10"/>
        <v>2937.6</v>
      </c>
      <c r="I402" s="53">
        <f t="shared" si="13"/>
        <v>0.7</v>
      </c>
      <c r="J402" s="12"/>
      <c r="K402" s="1"/>
      <c r="L402" s="1"/>
      <c r="M402" s="1"/>
      <c r="N402" s="1"/>
      <c r="O402" s="1"/>
      <c r="P402" s="1"/>
      <c r="Q402" s="1"/>
      <c r="R402" s="1"/>
      <c r="S402" s="1"/>
      <c r="T402" s="1"/>
      <c r="U402" s="1"/>
      <c r="V402" s="1"/>
      <c r="W402" s="1"/>
      <c r="X402" s="1"/>
      <c r="Y402" s="1"/>
      <c r="Z402" s="1"/>
    </row>
    <row r="403">
      <c r="A403" s="1"/>
      <c r="B403" s="1"/>
      <c r="C403" s="54" t="str">
        <f>IFERROR(__xludf.DUMMYFUNCTION("""COMPUTED_VALUE"""),"CURVA DE 90 GRAUS LONGA")</f>
        <v>CURVA DE 90 GRAUS LONGA</v>
      </c>
      <c r="D403" s="64" t="str">
        <f>IFERROR(__xludf.DUMMYFUNCTION("IMPORTRANGE(""https://docs.google.com/spreadsheets/d/1GMOWcUb26jVTosRt5EqlFYb5WfKNVSDMwfDXmDOMGao/edit?gid=410167636#gid=410167636"",""beam!f1"")"),"BEAM")</f>
        <v>BEAM</v>
      </c>
      <c r="E403" s="56">
        <v>0.0</v>
      </c>
      <c r="F403" s="58">
        <f>IFERROR(__xludf.DUMMYFUNCTION("""COMPUTED_VALUE"""),19.0)</f>
        <v>19</v>
      </c>
      <c r="G403" s="58">
        <f t="shared" si="12"/>
        <v>19</v>
      </c>
      <c r="H403" s="58">
        <f t="shared" si="10"/>
        <v>32.3</v>
      </c>
      <c r="I403" s="59">
        <f t="shared" si="13"/>
        <v>0.7</v>
      </c>
      <c r="J403" s="12"/>
      <c r="K403" s="1"/>
      <c r="L403" s="1"/>
      <c r="M403" s="1"/>
      <c r="N403" s="1"/>
      <c r="O403" s="1"/>
      <c r="P403" s="1"/>
      <c r="Q403" s="1"/>
      <c r="R403" s="1"/>
      <c r="S403" s="1"/>
      <c r="T403" s="1"/>
      <c r="U403" s="1"/>
      <c r="V403" s="1"/>
      <c r="W403" s="1"/>
      <c r="X403" s="1"/>
      <c r="Y403" s="1"/>
      <c r="Z403" s="1"/>
    </row>
    <row r="404">
      <c r="A404" s="1"/>
      <c r="B404" s="1"/>
      <c r="C404" s="48" t="str">
        <f>IFERROR(__xludf.DUMMYFUNCTION("""COMPUTED_VALUE"""),"CURVA DE 90 GRAUS LONGA
(CAIXA COM 115 UNIDADES)")</f>
        <v>CURVA DE 90 GRAUS LONGA
(CAIXA COM 115 UNIDADES)</v>
      </c>
      <c r="D404" s="61" t="str">
        <f>IFERROR(__xludf.DUMMYFUNCTION("IMPORTRANGE(""https://docs.google.com/spreadsheets/d/1GMOWcUb26jVTosRt5EqlFYb5WfKNVSDMwfDXmDOMGao/edit?gid=410167636#gid=410167636"",""beam!f1"")"),"BEAM")</f>
        <v>BEAM</v>
      </c>
      <c r="E404" s="50">
        <v>0.0</v>
      </c>
      <c r="F404" s="52">
        <f>IFERROR(__xludf.DUMMYFUNCTION("""COMPUTED_VALUE"""),1910.0)</f>
        <v>1910</v>
      </c>
      <c r="G404" s="52">
        <f t="shared" si="12"/>
        <v>1910</v>
      </c>
      <c r="H404" s="52">
        <f t="shared" si="10"/>
        <v>3247</v>
      </c>
      <c r="I404" s="53">
        <f t="shared" si="13"/>
        <v>0.7</v>
      </c>
      <c r="J404" s="12"/>
      <c r="K404" s="1"/>
      <c r="L404" s="1"/>
      <c r="M404" s="1"/>
      <c r="N404" s="1"/>
      <c r="O404" s="1"/>
      <c r="P404" s="1"/>
      <c r="Q404" s="1"/>
      <c r="R404" s="1"/>
      <c r="S404" s="1"/>
      <c r="T404" s="1"/>
      <c r="U404" s="1"/>
      <c r="V404" s="1"/>
      <c r="W404" s="1"/>
      <c r="X404" s="1"/>
      <c r="Y404" s="1"/>
      <c r="Z404" s="1"/>
    </row>
    <row r="405">
      <c r="A405" s="1"/>
      <c r="B405" s="1"/>
      <c r="C405" s="54" t="str">
        <f>IFERROR(__xludf.DUMMYFUNCTION("""COMPUTED_VALUE"""),"CURVA DE 45 GRAUS CURTA")</f>
        <v>CURVA DE 45 GRAUS CURTA</v>
      </c>
      <c r="D405" s="64" t="str">
        <f>IFERROR(__xludf.DUMMYFUNCTION("IMPORTRANGE(""https://docs.google.com/spreadsheets/d/1GMOWcUb26jVTosRt5EqlFYb5WfKNVSDMwfDXmDOMGao/edit?gid=410167636#gid=410167636"",""beam!f1"")"),"BEAM")</f>
        <v>BEAM</v>
      </c>
      <c r="E405" s="56">
        <v>0.0</v>
      </c>
      <c r="F405" s="58">
        <f>IFERROR(__xludf.DUMMYFUNCTION("""COMPUTED_VALUE"""),14.0)</f>
        <v>14</v>
      </c>
      <c r="G405" s="58">
        <f t="shared" si="12"/>
        <v>14</v>
      </c>
      <c r="H405" s="58">
        <f t="shared" si="10"/>
        <v>23.8</v>
      </c>
      <c r="I405" s="59">
        <f t="shared" si="13"/>
        <v>0.7</v>
      </c>
      <c r="J405" s="12"/>
      <c r="K405" s="1"/>
      <c r="L405" s="1"/>
      <c r="M405" s="1"/>
      <c r="N405" s="1"/>
      <c r="O405" s="1"/>
      <c r="P405" s="1"/>
      <c r="Q405" s="1"/>
      <c r="R405" s="1"/>
      <c r="S405" s="1"/>
      <c r="T405" s="1"/>
      <c r="U405" s="1"/>
      <c r="V405" s="1"/>
      <c r="W405" s="1"/>
      <c r="X405" s="1"/>
      <c r="Y405" s="1"/>
      <c r="Z405" s="1"/>
    </row>
    <row r="406">
      <c r="A406" s="1"/>
      <c r="B406" s="1"/>
      <c r="C406" s="48" t="str">
        <f>IFERROR(__xludf.DUMMYFUNCTION("""COMPUTED_VALUE"""),"CURVA DE 45 GRAUS CURTA
(CAIXA COM 125 UNIDADES)")</f>
        <v>CURVA DE 45 GRAUS CURTA
(CAIXA COM 125 UNIDADES)</v>
      </c>
      <c r="D406" s="61" t="str">
        <f>IFERROR(__xludf.DUMMYFUNCTION("IMPORTRANGE(""https://docs.google.com/spreadsheets/d/1GMOWcUb26jVTosRt5EqlFYb5WfKNVSDMwfDXmDOMGao/edit?gid=410167636#gid=410167636"",""beam!f1"")"),"BEAM")</f>
        <v>BEAM</v>
      </c>
      <c r="E406" s="50">
        <v>0.0</v>
      </c>
      <c r="F406" s="52">
        <f>IFERROR(__xludf.DUMMYFUNCTION("""COMPUTED_VALUE"""),1448.0)</f>
        <v>1448</v>
      </c>
      <c r="G406" s="52">
        <f t="shared" si="12"/>
        <v>1448</v>
      </c>
      <c r="H406" s="52">
        <f t="shared" si="10"/>
        <v>2461.6</v>
      </c>
      <c r="I406" s="53">
        <f t="shared" si="13"/>
        <v>0.7</v>
      </c>
      <c r="J406" s="12"/>
      <c r="K406" s="1"/>
      <c r="L406" s="1"/>
      <c r="M406" s="1"/>
      <c r="N406" s="1"/>
      <c r="O406" s="1"/>
      <c r="P406" s="1"/>
      <c r="Q406" s="1"/>
      <c r="R406" s="1"/>
      <c r="S406" s="1"/>
      <c r="T406" s="1"/>
      <c r="U406" s="1"/>
      <c r="V406" s="1"/>
      <c r="W406" s="1"/>
      <c r="X406" s="1"/>
      <c r="Y406" s="1"/>
      <c r="Z406" s="1"/>
    </row>
    <row r="407">
      <c r="A407" s="1"/>
      <c r="B407" s="1"/>
      <c r="C407" s="54" t="str">
        <f>IFERROR(__xludf.DUMMYFUNCTION("""COMPUTED_VALUE"""),"CONEXAO EM T 90 GRAUS")</f>
        <v>CONEXAO EM T 90 GRAUS</v>
      </c>
      <c r="D407" s="64" t="str">
        <f>IFERROR(__xludf.DUMMYFUNCTION("IMPORTRANGE(""https://docs.google.com/spreadsheets/d/1GMOWcUb26jVTosRt5EqlFYb5WfKNVSDMwfDXmDOMGao/edit?gid=410167636#gid=410167636"",""beam!f1"")"),"BEAM")</f>
        <v>BEAM</v>
      </c>
      <c r="E407" s="56">
        <v>0.0</v>
      </c>
      <c r="F407" s="58">
        <f>IFERROR(__xludf.DUMMYFUNCTION("""COMPUTED_VALUE"""),22.0)</f>
        <v>22</v>
      </c>
      <c r="G407" s="58">
        <f t="shared" si="12"/>
        <v>22</v>
      </c>
      <c r="H407" s="58">
        <f t="shared" si="10"/>
        <v>37.4</v>
      </c>
      <c r="I407" s="59">
        <f t="shared" si="13"/>
        <v>0.7</v>
      </c>
      <c r="J407" s="12"/>
      <c r="K407" s="1"/>
      <c r="L407" s="1"/>
      <c r="M407" s="1"/>
      <c r="N407" s="1"/>
      <c r="O407" s="1"/>
      <c r="P407" s="1"/>
      <c r="Q407" s="1"/>
      <c r="R407" s="1"/>
      <c r="S407" s="1"/>
      <c r="T407" s="1"/>
      <c r="U407" s="1"/>
      <c r="V407" s="1"/>
      <c r="W407" s="1"/>
      <c r="X407" s="1"/>
      <c r="Y407" s="1"/>
      <c r="Z407" s="1"/>
    </row>
    <row r="408">
      <c r="A408" s="1"/>
      <c r="B408" s="1"/>
      <c r="C408" s="48" t="str">
        <f>IFERROR(__xludf.DUMMYFUNCTION("""COMPUTED_VALUE"""),"CONEXAO EM T 90 GRAUS
(CAIXA COM 45 UNIDADES)")</f>
        <v>CONEXAO EM T 90 GRAUS
(CAIXA COM 45 UNIDADES)</v>
      </c>
      <c r="D408" s="61" t="str">
        <f>IFERROR(__xludf.DUMMYFUNCTION("IMPORTRANGE(""https://docs.google.com/spreadsheets/d/1GMOWcUb26jVTosRt5EqlFYb5WfKNVSDMwfDXmDOMGao/edit?gid=410167636#gid=410167636"",""beam!f1"")"),"BEAM")</f>
        <v>BEAM</v>
      </c>
      <c r="E408" s="50">
        <v>0.0</v>
      </c>
      <c r="F408" s="52">
        <f>IFERROR(__xludf.DUMMYFUNCTION("""COMPUTED_VALUE"""),904.0)</f>
        <v>904</v>
      </c>
      <c r="G408" s="52">
        <f t="shared" si="12"/>
        <v>904</v>
      </c>
      <c r="H408" s="52">
        <f t="shared" si="10"/>
        <v>1536.8</v>
      </c>
      <c r="I408" s="53">
        <f t="shared" si="13"/>
        <v>0.7</v>
      </c>
      <c r="J408" s="12"/>
      <c r="K408" s="1"/>
      <c r="L408" s="1"/>
      <c r="M408" s="1"/>
      <c r="N408" s="1"/>
      <c r="O408" s="1"/>
      <c r="P408" s="1"/>
      <c r="Q408" s="1"/>
      <c r="R408" s="1"/>
      <c r="S408" s="1"/>
      <c r="T408" s="1"/>
      <c r="U408" s="1"/>
      <c r="V408" s="1"/>
      <c r="W408" s="1"/>
      <c r="X408" s="1"/>
      <c r="Y408" s="1"/>
      <c r="Z408" s="1"/>
    </row>
    <row r="409">
      <c r="A409" s="1"/>
      <c r="B409" s="1"/>
      <c r="C409" s="54" t="str">
        <f>IFERROR(__xludf.DUMMYFUNCTION("""COMPUTED_VALUE"""),"CONEXAO EM Y 45 GRAUS")</f>
        <v>CONEXAO EM Y 45 GRAUS</v>
      </c>
      <c r="D409" s="64" t="str">
        <f>IFERROR(__xludf.DUMMYFUNCTION("IMPORTRANGE(""https://docs.google.com/spreadsheets/d/1GMOWcUb26jVTosRt5EqlFYb5WfKNVSDMwfDXmDOMGao/edit?gid=410167636#gid=410167636"",""beam!f1"")"),"BEAM")</f>
        <v>BEAM</v>
      </c>
      <c r="E409" s="56">
        <v>0.0</v>
      </c>
      <c r="F409" s="58">
        <f>IFERROR(__xludf.DUMMYFUNCTION("""COMPUTED_VALUE"""),28.0)</f>
        <v>28</v>
      </c>
      <c r="G409" s="58">
        <f t="shared" si="12"/>
        <v>28</v>
      </c>
      <c r="H409" s="58">
        <f t="shared" si="10"/>
        <v>47.6</v>
      </c>
      <c r="I409" s="59">
        <f t="shared" si="13"/>
        <v>0.7</v>
      </c>
      <c r="J409" s="12"/>
      <c r="K409" s="1"/>
      <c r="L409" s="1"/>
      <c r="M409" s="1"/>
      <c r="N409" s="1"/>
      <c r="O409" s="1"/>
      <c r="P409" s="1"/>
      <c r="Q409" s="1"/>
      <c r="R409" s="1"/>
      <c r="S409" s="1"/>
      <c r="T409" s="1"/>
      <c r="U409" s="1"/>
      <c r="V409" s="1"/>
      <c r="W409" s="1"/>
      <c r="X409" s="1"/>
      <c r="Y409" s="1"/>
      <c r="Z409" s="1"/>
    </row>
    <row r="410">
      <c r="A410" s="1"/>
      <c r="B410" s="1"/>
      <c r="C410" s="48" t="str">
        <f>IFERROR(__xludf.DUMMYFUNCTION("""COMPUTED_VALUE"""),"CONEXAO EM Y 45 GRAUS
(CAIXA COM 45 UNIDADES)")</f>
        <v>CONEXAO EM Y 45 GRAUS
(CAIXA COM 45 UNIDADES)</v>
      </c>
      <c r="D410" s="61" t="str">
        <f>IFERROR(__xludf.DUMMYFUNCTION("IMPORTRANGE(""https://docs.google.com/spreadsheets/d/1GMOWcUb26jVTosRt5EqlFYb5WfKNVSDMwfDXmDOMGao/edit?gid=410167636#gid=410167636"",""beam!f1"")"),"BEAM")</f>
        <v>BEAM</v>
      </c>
      <c r="E410" s="50">
        <v>0.0</v>
      </c>
      <c r="F410" s="52">
        <f>IFERROR(__xludf.DUMMYFUNCTION("""COMPUTED_VALUE"""),1114.0)</f>
        <v>1114</v>
      </c>
      <c r="G410" s="52">
        <f t="shared" si="12"/>
        <v>1114</v>
      </c>
      <c r="H410" s="52">
        <f t="shared" si="10"/>
        <v>1893.8</v>
      </c>
      <c r="I410" s="53">
        <f t="shared" si="13"/>
        <v>0.7</v>
      </c>
      <c r="J410" s="12"/>
      <c r="K410" s="1"/>
      <c r="L410" s="1"/>
      <c r="M410" s="1"/>
      <c r="N410" s="1"/>
      <c r="O410" s="1"/>
      <c r="P410" s="1"/>
      <c r="Q410" s="1"/>
      <c r="R410" s="1"/>
      <c r="S410" s="1"/>
      <c r="T410" s="1"/>
      <c r="U410" s="1"/>
      <c r="V410" s="1"/>
      <c r="W410" s="1"/>
      <c r="X410" s="1"/>
      <c r="Y410" s="1"/>
      <c r="Z410" s="1"/>
    </row>
    <row r="411">
      <c r="A411" s="1"/>
      <c r="B411" s="1"/>
      <c r="C411" s="54" t="str">
        <f>IFERROR(__xludf.DUMMYFUNCTION("""COMPUTED_VALUE"""),"CONEXAO EM DUPLO Y 90 GRAUS")</f>
        <v>CONEXAO EM DUPLO Y 90 GRAUS</v>
      </c>
      <c r="D411" s="64" t="str">
        <f>IFERROR(__xludf.DUMMYFUNCTION("IMPORTRANGE(""https://docs.google.com/spreadsheets/d/1GMOWcUb26jVTosRt5EqlFYb5WfKNVSDMwfDXmDOMGao/edit?gid=410167636#gid=410167636"",""beam!f1"")"),"BEAM")</f>
        <v>BEAM</v>
      </c>
      <c r="E411" s="56">
        <v>0.0</v>
      </c>
      <c r="F411" s="58">
        <f>IFERROR(__xludf.DUMMYFUNCTION("""COMPUTED_VALUE"""),48.0)</f>
        <v>48</v>
      </c>
      <c r="G411" s="58">
        <f t="shared" si="12"/>
        <v>48</v>
      </c>
      <c r="H411" s="58">
        <f t="shared" si="10"/>
        <v>81.6</v>
      </c>
      <c r="I411" s="59">
        <f t="shared" si="13"/>
        <v>0.7</v>
      </c>
      <c r="J411" s="12"/>
      <c r="K411" s="1"/>
      <c r="L411" s="1"/>
      <c r="M411" s="1"/>
      <c r="N411" s="1"/>
      <c r="O411" s="1"/>
      <c r="P411" s="1"/>
      <c r="Q411" s="1"/>
      <c r="R411" s="1"/>
      <c r="S411" s="1"/>
      <c r="T411" s="1"/>
      <c r="U411" s="1"/>
      <c r="V411" s="1"/>
      <c r="W411" s="1"/>
      <c r="X411" s="1"/>
      <c r="Y411" s="1"/>
      <c r="Z411" s="1"/>
    </row>
    <row r="412">
      <c r="A412" s="1"/>
      <c r="B412" s="1"/>
      <c r="C412" s="48" t="str">
        <f>IFERROR(__xludf.DUMMYFUNCTION("""COMPUTED_VALUE"""),"LUVA PARA TUBO PVC 50mm")</f>
        <v>LUVA PARA TUBO PVC 50mm</v>
      </c>
      <c r="D412" s="61" t="str">
        <f>IFERROR(__xludf.DUMMYFUNCTION("IMPORTRANGE(""https://docs.google.com/spreadsheets/d/1GMOWcUb26jVTosRt5EqlFYb5WfKNVSDMwfDXmDOMGao/edit?gid=410167636#gid=410167636"",""beam!f1"")"),"BEAM")</f>
        <v>BEAM</v>
      </c>
      <c r="E412" s="50">
        <v>0.0</v>
      </c>
      <c r="F412" s="52">
        <f>IFERROR(__xludf.DUMMYFUNCTION("""COMPUTED_VALUE"""),17.0)</f>
        <v>17</v>
      </c>
      <c r="G412" s="52">
        <f t="shared" si="12"/>
        <v>17</v>
      </c>
      <c r="H412" s="52">
        <f t="shared" si="10"/>
        <v>28.9</v>
      </c>
      <c r="I412" s="53">
        <f t="shared" si="13"/>
        <v>0.7</v>
      </c>
      <c r="J412" s="12"/>
      <c r="K412" s="1"/>
      <c r="L412" s="1"/>
      <c r="M412" s="1"/>
      <c r="N412" s="1"/>
      <c r="O412" s="1"/>
      <c r="P412" s="1"/>
      <c r="Q412" s="1"/>
      <c r="R412" s="1"/>
      <c r="S412" s="1"/>
      <c r="T412" s="1"/>
      <c r="U412" s="1"/>
      <c r="V412" s="1"/>
      <c r="W412" s="1"/>
      <c r="X412" s="1"/>
      <c r="Y412" s="1"/>
      <c r="Z412" s="1"/>
    </row>
    <row r="413">
      <c r="A413" s="1"/>
      <c r="B413" s="1"/>
      <c r="C413" s="54" t="str">
        <f>IFERROR(__xludf.DUMMYFUNCTION("""COMPUTED_VALUE"""),"CONEXAO DUPLO Y 45 GRAUS")</f>
        <v>CONEXAO DUPLO Y 45 GRAUS</v>
      </c>
      <c r="D413" s="64" t="str">
        <f>IFERROR(__xludf.DUMMYFUNCTION("IMPORTRANGE(""https://docs.google.com/spreadsheets/d/1GMOWcUb26jVTosRt5EqlFYb5WfKNVSDMwfDXmDOMGao/edit?gid=410167636#gid=410167636"",""beam!f1"")"),"BEAM")</f>
        <v>BEAM</v>
      </c>
      <c r="E413" s="56">
        <v>0.0</v>
      </c>
      <c r="F413" s="58">
        <f>IFERROR(__xludf.DUMMYFUNCTION("""COMPUTED_VALUE"""),34.0)</f>
        <v>34</v>
      </c>
      <c r="G413" s="58">
        <f t="shared" si="12"/>
        <v>34</v>
      </c>
      <c r="H413" s="58">
        <f t="shared" si="10"/>
        <v>57.8</v>
      </c>
      <c r="I413" s="59">
        <f t="shared" si="13"/>
        <v>0.7</v>
      </c>
      <c r="J413" s="12"/>
      <c r="K413" s="1"/>
      <c r="L413" s="1"/>
      <c r="M413" s="1"/>
      <c r="N413" s="1"/>
      <c r="O413" s="1"/>
      <c r="P413" s="1"/>
      <c r="Q413" s="1"/>
      <c r="R413" s="1"/>
      <c r="S413" s="1"/>
      <c r="T413" s="1"/>
      <c r="U413" s="1"/>
      <c r="V413" s="1"/>
      <c r="W413" s="1"/>
      <c r="X413" s="1"/>
      <c r="Y413" s="1"/>
      <c r="Z413" s="1"/>
    </row>
    <row r="414">
      <c r="A414" s="1"/>
      <c r="B414" s="1"/>
      <c r="C414" s="48" t="str">
        <f>IFERROR(__xludf.DUMMYFUNCTION("""COMPUTED_VALUE"""),"ACABAMENTO PARA CENTRAL ""LUVA""")</f>
        <v>ACABAMENTO PARA CENTRAL "LUVA"</v>
      </c>
      <c r="D414" s="61" t="str">
        <f>IFERROR(__xludf.DUMMYFUNCTION("IMPORTRANGE(""https://docs.google.com/spreadsheets/d/1GMOWcUb26jVTosRt5EqlFYb5WfKNVSDMwfDXmDOMGao/edit?gid=410167636#gid=410167636"",""beam!f1"")"),"BEAM")</f>
        <v>BEAM</v>
      </c>
      <c r="E414" s="50">
        <v>0.0</v>
      </c>
      <c r="F414" s="52">
        <f>IFERROR(__xludf.DUMMYFUNCTION("""COMPUTED_VALUE"""),42.0)</f>
        <v>42</v>
      </c>
      <c r="G414" s="52">
        <f t="shared" si="12"/>
        <v>42</v>
      </c>
      <c r="H414" s="52">
        <f t="shared" si="10"/>
        <v>71.4</v>
      </c>
      <c r="I414" s="53">
        <f t="shared" si="13"/>
        <v>0.7</v>
      </c>
      <c r="J414" s="12"/>
      <c r="K414" s="1"/>
      <c r="L414" s="1"/>
      <c r="M414" s="1"/>
      <c r="N414" s="1"/>
      <c r="O414" s="1"/>
      <c r="P414" s="1"/>
      <c r="Q414" s="1"/>
      <c r="R414" s="1"/>
      <c r="S414" s="1"/>
      <c r="T414" s="1"/>
      <c r="U414" s="1"/>
      <c r="V414" s="1"/>
      <c r="W414" s="1"/>
      <c r="X414" s="1"/>
      <c r="Y414" s="1"/>
      <c r="Z414" s="1"/>
    </row>
    <row r="415">
      <c r="A415" s="1"/>
      <c r="B415" s="1"/>
      <c r="C415" s="54" t="str">
        <f>IFERROR(__xludf.DUMMYFUNCTION("""COMPUTED_VALUE"""),"FILTRO DE PAPEL PARA CENTRAIS INTERVAC MODELOS - RM, CS E H
(Kit com 5 filtros Centrais Intervac)")</f>
        <v>FILTRO DE PAPEL PARA CENTRAIS INTERVAC MODELOS - RM, CS E H
(Kit com 5 filtros Centrais Intervac)</v>
      </c>
      <c r="D415" s="64" t="str">
        <f>IFERROR(__xludf.DUMMYFUNCTION("IMPORTRANGE(""https://docs.google.com/spreadsheets/d/1GMOWcUb26jVTosRt5EqlFYb5WfKNVSDMwfDXmDOMGao/edit?gid=410167636#gid=410167636"",""beam!f1"")"),"BEAM")</f>
        <v>BEAM</v>
      </c>
      <c r="E415" s="56">
        <v>0.0</v>
      </c>
      <c r="F415" s="58">
        <f>IFERROR(__xludf.DUMMYFUNCTION("""COMPUTED_VALUE"""),400.0)</f>
        <v>400</v>
      </c>
      <c r="G415" s="58">
        <f t="shared" si="12"/>
        <v>400</v>
      </c>
      <c r="H415" s="58">
        <f t="shared" si="10"/>
        <v>680</v>
      </c>
      <c r="I415" s="59">
        <f t="shared" si="13"/>
        <v>0.7</v>
      </c>
      <c r="J415" s="12"/>
      <c r="K415" s="1"/>
      <c r="L415" s="1"/>
      <c r="M415" s="1"/>
      <c r="N415" s="1"/>
      <c r="O415" s="1"/>
      <c r="P415" s="1"/>
      <c r="Q415" s="1"/>
      <c r="R415" s="1"/>
      <c r="S415" s="1"/>
      <c r="T415" s="1"/>
      <c r="U415" s="1"/>
      <c r="V415" s="1"/>
      <c r="W415" s="1"/>
      <c r="X415" s="1"/>
      <c r="Y415" s="1"/>
      <c r="Z415" s="1"/>
    </row>
    <row r="416">
      <c r="A416" s="1"/>
      <c r="B416" s="1"/>
      <c r="C416" s="48" t="str">
        <f>IFERROR(__xludf.DUMMYFUNCTION("""COMPUTED_VALUE"""),"FILTRO DE PAPEL PARA CENTRAIS INTERVAC MODELOS - RMD, CSRM
(Kit com 5 filtros Centrais Intervac)")</f>
        <v>FILTRO DE PAPEL PARA CENTRAIS INTERVAC MODELOS - RMD, CSRM
(Kit com 5 filtros Centrais Intervac)</v>
      </c>
      <c r="D416" s="61" t="str">
        <f>IFERROR(__xludf.DUMMYFUNCTION("IMPORTRANGE(""https://docs.google.com/spreadsheets/d/1GMOWcUb26jVTosRt5EqlFYb5WfKNVSDMwfDXmDOMGao/edit?gid=410167636#gid=410167636"",""beam!f1"")"),"BEAM")</f>
        <v>BEAM</v>
      </c>
      <c r="E416" s="50">
        <v>0.0</v>
      </c>
      <c r="F416" s="52">
        <f>IFERROR(__xludf.DUMMYFUNCTION("""COMPUTED_VALUE"""),445.0)</f>
        <v>445</v>
      </c>
      <c r="G416" s="52">
        <f t="shared" si="12"/>
        <v>445</v>
      </c>
      <c r="H416" s="52">
        <f t="shared" si="10"/>
        <v>756.5</v>
      </c>
      <c r="I416" s="53">
        <f t="shared" si="13"/>
        <v>0.7</v>
      </c>
      <c r="J416" s="12"/>
      <c r="K416" s="1"/>
      <c r="L416" s="1"/>
      <c r="M416" s="1"/>
      <c r="N416" s="1"/>
      <c r="O416" s="1"/>
      <c r="P416" s="1"/>
      <c r="Q416" s="1"/>
      <c r="R416" s="1"/>
      <c r="S416" s="1"/>
      <c r="T416" s="1"/>
      <c r="U416" s="1"/>
      <c r="V416" s="1"/>
      <c r="W416" s="1"/>
      <c r="X416" s="1"/>
      <c r="Y416" s="1"/>
      <c r="Z416" s="1"/>
    </row>
    <row r="417">
      <c r="A417" s="1"/>
      <c r="B417" s="1"/>
      <c r="C417" s="54" t="str">
        <f>IFERROR(__xludf.DUMMYFUNCTION("""COMPUTED_VALUE"""),"FILTRO DE PAPEL PARA CENTRAL INTERVAC MODELO - IVD660
(Kit com 3 filtros Centrais Intervac)")</f>
        <v>FILTRO DE PAPEL PARA CENTRAL INTERVAC MODELO - IVD660
(Kit com 3 filtros Centrais Intervac)</v>
      </c>
      <c r="D417" s="64" t="str">
        <f>IFERROR(__xludf.DUMMYFUNCTION("IMPORTRANGE(""https://docs.google.com/spreadsheets/d/1GMOWcUb26jVTosRt5EqlFYb5WfKNVSDMwfDXmDOMGao/edit?gid=410167636#gid=410167636"",""beam!f1"")"),"BEAM")</f>
        <v>BEAM</v>
      </c>
      <c r="E417" s="56">
        <v>0.0</v>
      </c>
      <c r="F417" s="58">
        <f>IFERROR(__xludf.DUMMYFUNCTION("""COMPUTED_VALUE"""),406.0)</f>
        <v>406</v>
      </c>
      <c r="G417" s="58">
        <f t="shared" si="12"/>
        <v>406</v>
      </c>
      <c r="H417" s="58">
        <f t="shared" si="10"/>
        <v>690.2</v>
      </c>
      <c r="I417" s="59">
        <f t="shared" si="13"/>
        <v>0.7</v>
      </c>
      <c r="J417" s="12"/>
      <c r="K417" s="1"/>
      <c r="L417" s="1"/>
      <c r="M417" s="1"/>
      <c r="N417" s="1"/>
      <c r="O417" s="1"/>
      <c r="P417" s="1"/>
      <c r="Q417" s="1"/>
      <c r="R417" s="1"/>
      <c r="S417" s="1"/>
      <c r="T417" s="1"/>
      <c r="U417" s="1"/>
      <c r="V417" s="1"/>
      <c r="W417" s="1"/>
      <c r="X417" s="1"/>
      <c r="Y417" s="1"/>
      <c r="Z417" s="1"/>
    </row>
    <row r="418">
      <c r="A418" s="1"/>
      <c r="B418" s="1"/>
      <c r="C418" s="48" t="str">
        <f>IFERROR(__xludf.DUMMYFUNCTION("""COMPUTED_VALUE"""),"FILTRO DE PAPEL PARA CENTRAIS MODELOS - 160, 165, BM262, BM265, BM282
(Kit com 3 filtros)")</f>
        <v>FILTRO DE PAPEL PARA CENTRAIS MODELOS - 160, 165, BM262, BM265, BM282
(Kit com 3 filtros)</v>
      </c>
      <c r="D418" s="61" t="str">
        <f>IFERROR(__xludf.DUMMYFUNCTION("IMPORTRANGE(""https://docs.google.com/spreadsheets/d/1GMOWcUb26jVTosRt5EqlFYb5WfKNVSDMwfDXmDOMGao/edit?gid=410167636#gid=410167636"",""beam!f1"")"),"BEAM")</f>
        <v>BEAM</v>
      </c>
      <c r="E418" s="50">
        <v>0.0</v>
      </c>
      <c r="F418" s="52">
        <f>IFERROR(__xludf.DUMMYFUNCTION("""COMPUTED_VALUE"""),417.0)</f>
        <v>417</v>
      </c>
      <c r="G418" s="52">
        <f t="shared" si="12"/>
        <v>417</v>
      </c>
      <c r="H418" s="52">
        <f t="shared" si="10"/>
        <v>708.9</v>
      </c>
      <c r="I418" s="53">
        <f t="shared" si="13"/>
        <v>0.7</v>
      </c>
      <c r="J418" s="12"/>
      <c r="K418" s="1"/>
      <c r="L418" s="1"/>
      <c r="M418" s="1"/>
      <c r="N418" s="1"/>
      <c r="O418" s="1"/>
      <c r="P418" s="1"/>
      <c r="Q418" s="1"/>
      <c r="R418" s="1"/>
      <c r="S418" s="1"/>
      <c r="T418" s="1"/>
      <c r="U418" s="1"/>
      <c r="V418" s="1"/>
      <c r="W418" s="1"/>
      <c r="X418" s="1"/>
      <c r="Y418" s="1"/>
      <c r="Z418" s="1"/>
    </row>
    <row r="419">
      <c r="A419" s="1"/>
      <c r="B419" s="1"/>
      <c r="C419" s="54" t="str">
        <f>IFERROR(__xludf.DUMMYFUNCTION("""COMPUTED_VALUE"""),"CONECTOR PARA MANGUEIRA STANDARD 38mm")</f>
        <v>CONECTOR PARA MANGUEIRA STANDARD 38mm</v>
      </c>
      <c r="D419" s="64" t="str">
        <f>IFERROR(__xludf.DUMMYFUNCTION("IMPORTRANGE(""https://docs.google.com/spreadsheets/d/1GMOWcUb26jVTosRt5EqlFYb5WfKNVSDMwfDXmDOMGao/edit?gid=410167636#gid=410167636"",""beam!f1"")"),"BEAM")</f>
        <v>BEAM</v>
      </c>
      <c r="E419" s="56">
        <v>0.0</v>
      </c>
      <c r="F419" s="58">
        <f>IFERROR(__xludf.DUMMYFUNCTION("""COMPUTED_VALUE"""),267.0)</f>
        <v>267</v>
      </c>
      <c r="G419" s="58">
        <f t="shared" si="12"/>
        <v>267</v>
      </c>
      <c r="H419" s="58">
        <f t="shared" si="10"/>
        <v>453.9</v>
      </c>
      <c r="I419" s="59">
        <f t="shared" si="13"/>
        <v>0.7</v>
      </c>
      <c r="J419" s="12"/>
      <c r="K419" s="1"/>
      <c r="L419" s="1"/>
      <c r="M419" s="1"/>
      <c r="N419" s="1"/>
      <c r="O419" s="1"/>
      <c r="P419" s="1"/>
      <c r="Q419" s="1"/>
      <c r="R419" s="1"/>
      <c r="S419" s="1"/>
      <c r="T419" s="1"/>
      <c r="U419" s="1"/>
      <c r="V419" s="1"/>
      <c r="W419" s="1"/>
      <c r="X419" s="1"/>
      <c r="Y419" s="1"/>
      <c r="Z419" s="1"/>
    </row>
    <row r="420">
      <c r="A420" s="1"/>
      <c r="B420" s="1"/>
      <c r="C420" s="48" t="str">
        <f>IFERROR(__xludf.DUMMYFUNCTION("""COMPUTED_VALUE"""),"CONECTOR PARA MANGUEIRA STANDARD 32mm")</f>
        <v>CONECTOR PARA MANGUEIRA STANDARD 32mm</v>
      </c>
      <c r="D420" s="61" t="str">
        <f>IFERROR(__xludf.DUMMYFUNCTION("IMPORTRANGE(""https://docs.google.com/spreadsheets/d/1GMOWcUb26jVTosRt5EqlFYb5WfKNVSDMwfDXmDOMGao/edit?gid=410167636#gid=410167636"",""beam!f1"")"),"BEAM")</f>
        <v>BEAM</v>
      </c>
      <c r="E420" s="50">
        <v>0.0</v>
      </c>
      <c r="F420" s="52">
        <f>IFERROR(__xludf.DUMMYFUNCTION("""COMPUTED_VALUE"""),267.0)</f>
        <v>267</v>
      </c>
      <c r="G420" s="52">
        <f t="shared" si="12"/>
        <v>267</v>
      </c>
      <c r="H420" s="52">
        <f t="shared" si="10"/>
        <v>453.9</v>
      </c>
      <c r="I420" s="53">
        <f t="shared" si="13"/>
        <v>0.7</v>
      </c>
      <c r="J420" s="12"/>
      <c r="K420" s="1"/>
      <c r="L420" s="1"/>
      <c r="M420" s="1"/>
      <c r="N420" s="1"/>
      <c r="O420" s="1"/>
      <c r="P420" s="1"/>
      <c r="Q420" s="1"/>
      <c r="R420" s="1"/>
      <c r="S420" s="1"/>
      <c r="T420" s="1"/>
      <c r="U420" s="1"/>
      <c r="V420" s="1"/>
      <c r="W420" s="1"/>
      <c r="X420" s="1"/>
      <c r="Y420" s="1"/>
      <c r="Z420" s="1"/>
    </row>
    <row r="421">
      <c r="A421" s="1"/>
      <c r="B421" s="1"/>
      <c r="C421" s="54" t="str">
        <f>IFERROR(__xludf.DUMMYFUNCTION("""COMPUTED_VALUE"""),"PISTOLA PARA MANGUEIRA STANDARD 32mm")</f>
        <v>PISTOLA PARA MANGUEIRA STANDARD 32mm</v>
      </c>
      <c r="D421" s="64" t="str">
        <f>IFERROR(__xludf.DUMMYFUNCTION("IMPORTRANGE(""https://docs.google.com/spreadsheets/d/1GMOWcUb26jVTosRt5EqlFYb5WfKNVSDMwfDXmDOMGao/edit?gid=410167636#gid=410167636"",""beam!f1"")"),"BEAM")</f>
        <v>BEAM</v>
      </c>
      <c r="E421" s="56">
        <v>0.0</v>
      </c>
      <c r="F421" s="58">
        <f>IFERROR(__xludf.DUMMYFUNCTION("""COMPUTED_VALUE"""),617.0)</f>
        <v>617</v>
      </c>
      <c r="G421" s="58">
        <f t="shared" si="12"/>
        <v>617</v>
      </c>
      <c r="H421" s="58">
        <f t="shared" si="10"/>
        <v>1048.9</v>
      </c>
      <c r="I421" s="59">
        <f t="shared" si="13"/>
        <v>0.7</v>
      </c>
      <c r="J421" s="12"/>
      <c r="K421" s="1"/>
      <c r="L421" s="1"/>
      <c r="M421" s="1"/>
      <c r="N421" s="1"/>
      <c r="O421" s="1"/>
      <c r="P421" s="1"/>
      <c r="Q421" s="1"/>
      <c r="R421" s="1"/>
      <c r="S421" s="1"/>
      <c r="T421" s="1"/>
      <c r="U421" s="1"/>
      <c r="V421" s="1"/>
      <c r="W421" s="1"/>
      <c r="X421" s="1"/>
      <c r="Y421" s="1"/>
      <c r="Z421" s="1"/>
    </row>
    <row r="422">
      <c r="A422" s="1"/>
      <c r="B422" s="1"/>
      <c r="C422" s="48" t="str">
        <f>IFERROR(__xludf.DUMMYFUNCTION("""COMPUTED_VALUE"""),"PISTOLA PLAST MANGUEIRA STANDARD 32mm")</f>
        <v>PISTOLA PLAST MANGUEIRA STANDARD 32mm</v>
      </c>
      <c r="D422" s="61" t="str">
        <f>IFERROR(__xludf.DUMMYFUNCTION("IMPORTRANGE(""https://docs.google.com/spreadsheets/d/1GMOWcUb26jVTosRt5EqlFYb5WfKNVSDMwfDXmDOMGao/edit?gid=410167636#gid=410167636"",""beam!f1"")"),"BEAM")</f>
        <v>BEAM</v>
      </c>
      <c r="E422" s="50">
        <v>0.0</v>
      </c>
      <c r="F422" s="52">
        <f>IFERROR(__xludf.DUMMYFUNCTION("""COMPUTED_VALUE"""),617.0)</f>
        <v>617</v>
      </c>
      <c r="G422" s="52">
        <f t="shared" si="12"/>
        <v>617</v>
      </c>
      <c r="H422" s="52">
        <f t="shared" si="10"/>
        <v>1048.9</v>
      </c>
      <c r="I422" s="53">
        <f t="shared" si="13"/>
        <v>0.7</v>
      </c>
      <c r="J422" s="12"/>
      <c r="K422" s="1"/>
      <c r="L422" s="1"/>
      <c r="M422" s="1"/>
      <c r="N422" s="1"/>
      <c r="O422" s="1"/>
      <c r="P422" s="1"/>
      <c r="Q422" s="1"/>
      <c r="R422" s="1"/>
      <c r="S422" s="1"/>
      <c r="T422" s="1"/>
      <c r="U422" s="1"/>
      <c r="V422" s="1"/>
      <c r="W422" s="1"/>
      <c r="X422" s="1"/>
      <c r="Y422" s="1"/>
      <c r="Z422" s="1"/>
    </row>
    <row r="423">
      <c r="A423" s="1"/>
      <c r="B423" s="1"/>
      <c r="C423" s="54" t="str">
        <f>IFERROR(__xludf.DUMMYFUNCTION("""COMPUTED_VALUE"""),"PISTOLA PARA MANGUEIRA STANDARD 32mm")</f>
        <v>PISTOLA PARA MANGUEIRA STANDARD 32mm</v>
      </c>
      <c r="D423" s="64" t="str">
        <f>IFERROR(__xludf.DUMMYFUNCTION("IMPORTRANGE(""https://docs.google.com/spreadsheets/d/1GMOWcUb26jVTosRt5EqlFYb5WfKNVSDMwfDXmDOMGao/edit?gid=410167636#gid=410167636"",""beam!f1"")"),"BEAM")</f>
        <v>BEAM</v>
      </c>
      <c r="E423" s="56">
        <v>0.0</v>
      </c>
      <c r="F423" s="58">
        <f>IFERROR(__xludf.DUMMYFUNCTION("""COMPUTED_VALUE"""),617.0)</f>
        <v>617</v>
      </c>
      <c r="G423" s="58">
        <f t="shared" si="12"/>
        <v>617</v>
      </c>
      <c r="H423" s="58">
        <f t="shared" si="10"/>
        <v>1048.9</v>
      </c>
      <c r="I423" s="59">
        <f t="shared" si="13"/>
        <v>0.7</v>
      </c>
      <c r="J423" s="12"/>
      <c r="K423" s="1"/>
      <c r="L423" s="1"/>
      <c r="M423" s="1"/>
      <c r="N423" s="1"/>
      <c r="O423" s="1"/>
      <c r="P423" s="1"/>
      <c r="Q423" s="1"/>
      <c r="R423" s="1"/>
      <c r="S423" s="1"/>
      <c r="T423" s="1"/>
      <c r="U423" s="1"/>
      <c r="V423" s="1"/>
      <c r="W423" s="1"/>
      <c r="X423" s="1"/>
      <c r="Y423" s="1"/>
      <c r="Z423" s="1"/>
    </row>
    <row r="424">
      <c r="A424" s="1"/>
      <c r="B424" s="1"/>
      <c r="C424" s="48" t="str">
        <f>IFERROR(__xludf.DUMMYFUNCTION("""COMPUTED_VALUE"""),"PISTOLA PARA MANGUEIRA STANDARD 38mm")</f>
        <v>PISTOLA PARA MANGUEIRA STANDARD 38mm</v>
      </c>
      <c r="D424" s="61" t="str">
        <f>IFERROR(__xludf.DUMMYFUNCTION("IMPORTRANGE(""https://docs.google.com/spreadsheets/d/1GMOWcUb26jVTosRt5EqlFYb5WfKNVSDMwfDXmDOMGao/edit?gid=410167636#gid=410167636"",""beam!f1"")"),"BEAM")</f>
        <v>BEAM</v>
      </c>
      <c r="E424" s="50">
        <v>0.0</v>
      </c>
      <c r="F424" s="52">
        <f>IFERROR(__xludf.DUMMYFUNCTION("""COMPUTED_VALUE"""),617.0)</f>
        <v>617</v>
      </c>
      <c r="G424" s="52">
        <f t="shared" si="12"/>
        <v>617</v>
      </c>
      <c r="H424" s="52">
        <f t="shared" si="10"/>
        <v>1048.9</v>
      </c>
      <c r="I424" s="53">
        <f t="shared" si="13"/>
        <v>0.7</v>
      </c>
      <c r="J424" s="12"/>
      <c r="K424" s="1"/>
      <c r="L424" s="1"/>
      <c r="M424" s="1"/>
      <c r="N424" s="1"/>
      <c r="O424" s="1"/>
      <c r="P424" s="1"/>
      <c r="Q424" s="1"/>
      <c r="R424" s="1"/>
      <c r="S424" s="1"/>
      <c r="T424" s="1"/>
      <c r="U424" s="1"/>
      <c r="V424" s="1"/>
      <c r="W424" s="1"/>
      <c r="X424" s="1"/>
      <c r="Y424" s="1"/>
      <c r="Z424" s="1"/>
    </row>
    <row r="425">
      <c r="A425" s="1"/>
      <c r="B425" s="1"/>
      <c r="C425" s="54" t="str">
        <f>IFERROR(__xludf.DUMMYFUNCTION("""COMPUTED_VALUE"""),"CENTRAL CS E CSRM  - FRAME PARA INSTALACAO DE SOBREPOR")</f>
        <v>CENTRAL CS E CSRM  - FRAME PARA INSTALACAO DE SOBREPOR</v>
      </c>
      <c r="D425" s="64" t="str">
        <f>IFERROR(__xludf.DUMMYFUNCTION("IMPORTRANGE(""https://docs.google.com/spreadsheets/d/1GMOWcUb26jVTosRt5EqlFYb5WfKNVSDMwfDXmDOMGao/edit?gid=410167636#gid=410167636"",""beam!f1"")"),"BEAM")</f>
        <v>BEAM</v>
      </c>
      <c r="E425" s="56">
        <v>0.0</v>
      </c>
      <c r="F425" s="58">
        <f>IFERROR(__xludf.DUMMYFUNCTION("""COMPUTED_VALUE"""),690.0)</f>
        <v>690</v>
      </c>
      <c r="G425" s="58">
        <f t="shared" si="12"/>
        <v>690</v>
      </c>
      <c r="H425" s="58">
        <f t="shared" si="10"/>
        <v>1173</v>
      </c>
      <c r="I425" s="59">
        <f t="shared" si="13"/>
        <v>0.7</v>
      </c>
      <c r="J425" s="12"/>
      <c r="K425" s="1"/>
      <c r="L425" s="1"/>
      <c r="M425" s="1"/>
      <c r="N425" s="1"/>
      <c r="O425" s="1"/>
      <c r="P425" s="1"/>
      <c r="Q425" s="1"/>
      <c r="R425" s="1"/>
      <c r="S425" s="1"/>
      <c r="T425" s="1"/>
      <c r="U425" s="1"/>
      <c r="V425" s="1"/>
      <c r="W425" s="1"/>
      <c r="X425" s="1"/>
      <c r="Y425" s="1"/>
      <c r="Z425" s="1"/>
    </row>
    <row r="426">
      <c r="A426" s="1"/>
      <c r="B426" s="1"/>
      <c r="C426" s="48" t="str">
        <f>IFERROR(__xludf.DUMMYFUNCTION("""COMPUTED_VALUE"""),"CENTRAL CS - SAÍDA DA EXAUSTÃO EXTERNA
(NÃO INCLUSO TUBO FLEXÍVEL)")</f>
        <v>CENTRAL CS - SAÍDA DA EXAUSTÃO EXTERNA
(NÃO INCLUSO TUBO FLEXÍVEL)</v>
      </c>
      <c r="D426" s="61" t="str">
        <f>IFERROR(__xludf.DUMMYFUNCTION("IMPORTRANGE(""https://docs.google.com/spreadsheets/d/1GMOWcUb26jVTosRt5EqlFYb5WfKNVSDMwfDXmDOMGao/edit?gid=410167636#gid=410167636"",""beam!f1"")"),"BEAM")</f>
        <v>BEAM</v>
      </c>
      <c r="E426" s="50">
        <v>0.0</v>
      </c>
      <c r="F426" s="52">
        <f>IFERROR(__xludf.DUMMYFUNCTION("""COMPUTED_VALUE"""),392.0)</f>
        <v>392</v>
      </c>
      <c r="G426" s="52">
        <f t="shared" si="12"/>
        <v>392</v>
      </c>
      <c r="H426" s="52">
        <f t="shared" si="10"/>
        <v>666.4</v>
      </c>
      <c r="I426" s="53">
        <f t="shared" si="13"/>
        <v>0.7</v>
      </c>
      <c r="J426" s="12"/>
      <c r="K426" s="1"/>
      <c r="L426" s="1"/>
      <c r="M426" s="1"/>
      <c r="N426" s="1"/>
      <c r="O426" s="1"/>
      <c r="P426" s="1"/>
      <c r="Q426" s="1"/>
      <c r="R426" s="1"/>
      <c r="S426" s="1"/>
      <c r="T426" s="1"/>
      <c r="U426" s="1"/>
      <c r="V426" s="1"/>
      <c r="W426" s="1"/>
      <c r="X426" s="1"/>
      <c r="Y426" s="1"/>
      <c r="Z426" s="1"/>
    </row>
    <row r="427">
      <c r="A427" s="1"/>
      <c r="B427" s="1"/>
      <c r="C427" s="54" t="str">
        <f>IFERROR(__xludf.DUMMYFUNCTION("""COMPUTED_VALUE"""),"CENTRAL IVD660 - FRAME PARA EMBUTIR IVD")</f>
        <v>CENTRAL IVD660 - FRAME PARA EMBUTIR IVD</v>
      </c>
      <c r="D427" s="64" t="str">
        <f>IFERROR(__xludf.DUMMYFUNCTION("IMPORTRANGE(""https://docs.google.com/spreadsheets/d/1GMOWcUb26jVTosRt5EqlFYb5WfKNVSDMwfDXmDOMGao/edit?gid=410167636#gid=410167636"",""beam!f1"")"),"BEAM")</f>
        <v>BEAM</v>
      </c>
      <c r="E427" s="56">
        <v>0.0</v>
      </c>
      <c r="F427" s="58">
        <f>IFERROR(__xludf.DUMMYFUNCTION("""COMPUTED_VALUE"""),1088.0)</f>
        <v>1088</v>
      </c>
      <c r="G427" s="58">
        <f t="shared" si="12"/>
        <v>1088</v>
      </c>
      <c r="H427" s="58">
        <f t="shared" si="10"/>
        <v>1849.6</v>
      </c>
      <c r="I427" s="59">
        <f t="shared" si="13"/>
        <v>0.7</v>
      </c>
      <c r="J427" s="12"/>
      <c r="K427" s="1"/>
      <c r="L427" s="1"/>
      <c r="M427" s="1"/>
      <c r="N427" s="1"/>
      <c r="O427" s="1"/>
      <c r="P427" s="1"/>
      <c r="Q427" s="1"/>
      <c r="R427" s="1"/>
      <c r="S427" s="1"/>
      <c r="T427" s="1"/>
      <c r="U427" s="1"/>
      <c r="V427" s="1"/>
      <c r="W427" s="1"/>
      <c r="X427" s="1"/>
      <c r="Y427" s="1"/>
      <c r="Z427" s="1"/>
    </row>
    <row r="428">
      <c r="A428" s="1"/>
      <c r="B428" s="1"/>
      <c r="C428" s="48" t="str">
        <f>IFERROR(__xludf.DUMMYFUNCTION("""COMPUTED_VALUE"""),"PLACA ELETRONICA PARA CENTRAIS 2100, 2250")</f>
        <v>PLACA ELETRONICA PARA CENTRAIS 2100, 2250</v>
      </c>
      <c r="D428" s="61" t="str">
        <f>IFERROR(__xludf.DUMMYFUNCTION("IMPORTRANGE(""https://docs.google.com/spreadsheets/d/1GMOWcUb26jVTosRt5EqlFYb5WfKNVSDMwfDXmDOMGao/edit?gid=410167636#gid=410167636"",""beam!f1"")"),"BEAM")</f>
        <v>BEAM</v>
      </c>
      <c r="E428" s="50">
        <v>0.0</v>
      </c>
      <c r="F428" s="52">
        <f>IFERROR(__xludf.DUMMYFUNCTION("""COMPUTED_VALUE"""),2964.0)</f>
        <v>2964</v>
      </c>
      <c r="G428" s="52">
        <f t="shared" si="12"/>
        <v>2964</v>
      </c>
      <c r="H428" s="52">
        <f t="shared" si="10"/>
        <v>5038.8</v>
      </c>
      <c r="I428" s="53">
        <f t="shared" si="13"/>
        <v>0.7</v>
      </c>
      <c r="J428" s="12"/>
      <c r="K428" s="1"/>
      <c r="L428" s="1"/>
      <c r="M428" s="1"/>
      <c r="N428" s="1"/>
      <c r="O428" s="1"/>
      <c r="P428" s="1"/>
      <c r="Q428" s="1"/>
      <c r="R428" s="1"/>
      <c r="S428" s="1"/>
      <c r="T428" s="1"/>
      <c r="U428" s="1"/>
      <c r="V428" s="1"/>
      <c r="W428" s="1"/>
      <c r="X428" s="1"/>
      <c r="Y428" s="1"/>
      <c r="Z428" s="1"/>
    </row>
    <row r="429">
      <c r="A429" s="1"/>
      <c r="B429" s="1"/>
      <c r="C429" s="54" t="str">
        <f>IFERROR(__xludf.DUMMYFUNCTION("""COMPUTED_VALUE"""),"PLACA ELETRONICA PARA CENTRAIS
199, 2100, 2250, 398, 187EG, 2067EA, 2087EB, 2087EC")</f>
        <v>PLACA ELETRONICA PARA CENTRAIS
199, 2100, 2250, 398, 187EG, 2067EA, 2087EB, 2087EC</v>
      </c>
      <c r="D429" s="64" t="str">
        <f>IFERROR(__xludf.DUMMYFUNCTION("IMPORTRANGE(""https://docs.google.com/spreadsheets/d/1GMOWcUb26jVTosRt5EqlFYb5WfKNVSDMwfDXmDOMGao/edit?gid=410167636#gid=410167636"",""beam!f1"")"),"BEAM")</f>
        <v>BEAM</v>
      </c>
      <c r="E429" s="56">
        <v>0.0</v>
      </c>
      <c r="F429" s="58">
        <f>IFERROR(__xludf.DUMMYFUNCTION("""COMPUTED_VALUE"""),2121.0)</f>
        <v>2121</v>
      </c>
      <c r="G429" s="58">
        <f t="shared" si="12"/>
        <v>2121</v>
      </c>
      <c r="H429" s="58">
        <f t="shared" si="10"/>
        <v>3605.7</v>
      </c>
      <c r="I429" s="59">
        <f t="shared" si="13"/>
        <v>0.7</v>
      </c>
      <c r="J429" s="12"/>
      <c r="K429" s="1"/>
      <c r="L429" s="1"/>
      <c r="M429" s="1"/>
      <c r="N429" s="1"/>
      <c r="O429" s="1"/>
      <c r="P429" s="1"/>
      <c r="Q429" s="1"/>
      <c r="R429" s="1"/>
      <c r="S429" s="1"/>
      <c r="T429" s="1"/>
      <c r="U429" s="1"/>
      <c r="V429" s="1"/>
      <c r="W429" s="1"/>
      <c r="X429" s="1"/>
      <c r="Y429" s="1"/>
      <c r="Z429" s="1"/>
    </row>
    <row r="430">
      <c r="A430" s="1"/>
      <c r="B430" s="1"/>
      <c r="C430" s="48" t="str">
        <f>IFERROR(__xludf.DUMMYFUNCTION("""COMPUTED_VALUE"""),"PLACA ELETRONICA PARA CENTRAIS 2500, 697, 2900, SC3500")</f>
        <v>PLACA ELETRONICA PARA CENTRAIS 2500, 697, 2900, SC3500</v>
      </c>
      <c r="D430" s="61" t="str">
        <f>IFERROR(__xludf.DUMMYFUNCTION("IMPORTRANGE(""https://docs.google.com/spreadsheets/d/1GMOWcUb26jVTosRt5EqlFYb5WfKNVSDMwfDXmDOMGao/edit?gid=410167636#gid=410167636"",""beam!f1"")"),"BEAM")</f>
        <v>BEAM</v>
      </c>
      <c r="E430" s="50">
        <v>0.0</v>
      </c>
      <c r="F430" s="52">
        <f>IFERROR(__xludf.DUMMYFUNCTION("""COMPUTED_VALUE"""),2862.0)</f>
        <v>2862</v>
      </c>
      <c r="G430" s="52">
        <f t="shared" si="12"/>
        <v>2862</v>
      </c>
      <c r="H430" s="52">
        <f t="shared" si="10"/>
        <v>4865.4</v>
      </c>
      <c r="I430" s="53">
        <f t="shared" si="13"/>
        <v>0.7</v>
      </c>
      <c r="J430" s="12"/>
      <c r="K430" s="1"/>
      <c r="L430" s="1"/>
      <c r="M430" s="1"/>
      <c r="N430" s="1"/>
      <c r="O430" s="1"/>
      <c r="P430" s="1"/>
      <c r="Q430" s="1"/>
      <c r="R430" s="1"/>
      <c r="S430" s="1"/>
      <c r="T430" s="1"/>
      <c r="U430" s="1"/>
      <c r="V430" s="1"/>
      <c r="W430" s="1"/>
      <c r="X430" s="1"/>
      <c r="Y430" s="1"/>
      <c r="Z430" s="1"/>
    </row>
    <row r="431">
      <c r="A431" s="1"/>
      <c r="B431" s="1"/>
      <c r="C431" s="54" t="str">
        <f>IFERROR(__xludf.DUMMYFUNCTION("""COMPUTED_VALUE"""),"PLACA ELETRONICA PARA CENTRAIS BU195, 2700, 2725, 2775, 2875")</f>
        <v>PLACA ELETRONICA PARA CENTRAIS BU195, 2700, 2725, 2775, 2875</v>
      </c>
      <c r="D431" s="64" t="str">
        <f>IFERROR(__xludf.DUMMYFUNCTION("IMPORTRANGE(""https://docs.google.com/spreadsheets/d/1GMOWcUb26jVTosRt5EqlFYb5WfKNVSDMwfDXmDOMGao/edit?gid=410167636#gid=410167636"",""beam!f1"")"),"BEAM")</f>
        <v>BEAM</v>
      </c>
      <c r="E431" s="56">
        <v>0.0</v>
      </c>
      <c r="F431" s="58">
        <f>IFERROR(__xludf.DUMMYFUNCTION("""COMPUTED_VALUE"""),2446.0)</f>
        <v>2446</v>
      </c>
      <c r="G431" s="58">
        <f t="shared" si="12"/>
        <v>2446</v>
      </c>
      <c r="H431" s="58">
        <f t="shared" si="10"/>
        <v>4158.2</v>
      </c>
      <c r="I431" s="59">
        <f t="shared" si="13"/>
        <v>0.7</v>
      </c>
      <c r="J431" s="12"/>
      <c r="K431" s="1"/>
      <c r="L431" s="1"/>
      <c r="M431" s="1"/>
      <c r="N431" s="1"/>
      <c r="O431" s="1"/>
      <c r="P431" s="1"/>
      <c r="Q431" s="1"/>
      <c r="R431" s="1"/>
      <c r="S431" s="1"/>
      <c r="T431" s="1"/>
      <c r="U431" s="1"/>
      <c r="V431" s="1"/>
      <c r="W431" s="1"/>
      <c r="X431" s="1"/>
      <c r="Y431" s="1"/>
      <c r="Z431" s="1"/>
    </row>
    <row r="432">
      <c r="A432" s="1"/>
      <c r="B432" s="1"/>
      <c r="C432" s="48" t="str">
        <f>IFERROR(__xludf.DUMMYFUNCTION("""COMPUTED_VALUE"""),"PLACA ELETRONICA PARA CENTRAIS BU195, 2700, 2725, 2775, 2875")</f>
        <v>PLACA ELETRONICA PARA CENTRAIS BU195, 2700, 2725, 2775, 2875</v>
      </c>
      <c r="D432" s="61" t="str">
        <f>IFERROR(__xludf.DUMMYFUNCTION("IMPORTRANGE(""https://docs.google.com/spreadsheets/d/1GMOWcUb26jVTosRt5EqlFYb5WfKNVSDMwfDXmDOMGao/edit?gid=410167636#gid=410167636"",""beam!f1"")"),"BEAM")</f>
        <v>BEAM</v>
      </c>
      <c r="E432" s="50">
        <v>0.0</v>
      </c>
      <c r="F432" s="52">
        <f>IFERROR(__xludf.DUMMYFUNCTION("""COMPUTED_VALUE"""),2920.0)</f>
        <v>2920</v>
      </c>
      <c r="G432" s="52">
        <f t="shared" si="12"/>
        <v>2920</v>
      </c>
      <c r="H432" s="52">
        <f t="shared" si="10"/>
        <v>4964</v>
      </c>
      <c r="I432" s="53">
        <f t="shared" si="13"/>
        <v>0.7</v>
      </c>
      <c r="J432" s="12"/>
      <c r="K432" s="1"/>
      <c r="L432" s="1"/>
      <c r="M432" s="1"/>
      <c r="N432" s="1"/>
      <c r="O432" s="1"/>
      <c r="P432" s="1"/>
      <c r="Q432" s="1"/>
      <c r="R432" s="1"/>
      <c r="S432" s="1"/>
      <c r="T432" s="1"/>
      <c r="U432" s="1"/>
      <c r="V432" s="1"/>
      <c r="W432" s="1"/>
      <c r="X432" s="1"/>
      <c r="Y432" s="1"/>
      <c r="Z432" s="1"/>
    </row>
    <row r="433">
      <c r="A433" s="1"/>
      <c r="B433" s="1"/>
      <c r="C433" s="54" t="str">
        <f>IFERROR(__xludf.DUMMYFUNCTION("""COMPUTED_VALUE"""),"PLACA ELETRONICA PARA CENTRAIS
168, 189, 197, 199, 2100, 2250, 2275, 2875, 297, 299, 397")</f>
        <v>PLACA ELETRONICA PARA CENTRAIS
168, 189, 197, 199, 2100, 2250, 2275, 2875, 297, 299, 397</v>
      </c>
      <c r="D433" s="64" t="str">
        <f>IFERROR(__xludf.DUMMYFUNCTION("IMPORTRANGE(""https://docs.google.com/spreadsheets/d/1GMOWcUb26jVTosRt5EqlFYb5WfKNVSDMwfDXmDOMGao/edit?gid=410167636#gid=410167636"",""beam!f1"")"),"BEAM")</f>
        <v>BEAM</v>
      </c>
      <c r="E433" s="56">
        <v>0.0</v>
      </c>
      <c r="F433" s="58">
        <f>IFERROR(__xludf.DUMMYFUNCTION("""COMPUTED_VALUE"""),1910.0)</f>
        <v>1910</v>
      </c>
      <c r="G433" s="58">
        <f t="shared" si="12"/>
        <v>1910</v>
      </c>
      <c r="H433" s="58">
        <f t="shared" si="10"/>
        <v>3247</v>
      </c>
      <c r="I433" s="59">
        <f t="shared" si="13"/>
        <v>0.7</v>
      </c>
      <c r="J433" s="12"/>
      <c r="K433" s="1"/>
      <c r="L433" s="1"/>
      <c r="M433" s="1"/>
      <c r="N433" s="1"/>
      <c r="O433" s="1"/>
      <c r="P433" s="1"/>
      <c r="Q433" s="1"/>
      <c r="R433" s="1"/>
      <c r="S433" s="1"/>
      <c r="T433" s="1"/>
      <c r="U433" s="1"/>
      <c r="V433" s="1"/>
      <c r="W433" s="1"/>
      <c r="X433" s="1"/>
      <c r="Y433" s="1"/>
      <c r="Z433" s="1"/>
    </row>
    <row r="434">
      <c r="A434" s="1"/>
      <c r="B434" s="1"/>
      <c r="C434" s="48" t="str">
        <f>IFERROR(__xludf.DUMMYFUNCTION("""COMPUTED_VALUE"""),"PLACA ELETRONICA PARA CENTRAIS
199, 2100, 2250, 398, 187EG, 2067EA, 2087EB, 2087EC")</f>
        <v>PLACA ELETRONICA PARA CENTRAIS
199, 2100, 2250, 398, 187EG, 2067EA, 2087EB, 2087EC</v>
      </c>
      <c r="D434" s="61" t="str">
        <f>IFERROR(__xludf.DUMMYFUNCTION("IMPORTRANGE(""https://docs.google.com/spreadsheets/d/1GMOWcUb26jVTosRt5EqlFYb5WfKNVSDMwfDXmDOMGao/edit?gid=410167636#gid=410167636"",""beam!f1"")"),"BEAM")</f>
        <v>BEAM</v>
      </c>
      <c r="E434" s="50">
        <v>0.0</v>
      </c>
      <c r="F434" s="52">
        <f>IFERROR(__xludf.DUMMYFUNCTION("""COMPUTED_VALUE"""),1746.0)</f>
        <v>1746</v>
      </c>
      <c r="G434" s="52">
        <f t="shared" si="12"/>
        <v>1746</v>
      </c>
      <c r="H434" s="52">
        <f t="shared" si="10"/>
        <v>2968.2</v>
      </c>
      <c r="I434" s="53">
        <f t="shared" si="13"/>
        <v>0.7</v>
      </c>
      <c r="J434" s="12"/>
      <c r="K434" s="1"/>
      <c r="L434" s="1"/>
      <c r="M434" s="1"/>
      <c r="N434" s="1"/>
      <c r="O434" s="1"/>
      <c r="P434" s="1"/>
      <c r="Q434" s="1"/>
      <c r="R434" s="1"/>
      <c r="S434" s="1"/>
      <c r="T434" s="1"/>
      <c r="U434" s="1"/>
      <c r="V434" s="1"/>
      <c r="W434" s="1"/>
      <c r="X434" s="1"/>
      <c r="Y434" s="1"/>
      <c r="Z434" s="1"/>
    </row>
    <row r="435">
      <c r="A435" s="1"/>
      <c r="B435" s="1"/>
      <c r="C435" s="54" t="str">
        <f>IFERROR(__xludf.DUMMYFUNCTION("""COMPUTED_VALUE"""),"PLACA ELETRONICA PARA CENTRAIS BU 180")</f>
        <v>PLACA ELETRONICA PARA CENTRAIS BU 180</v>
      </c>
      <c r="D435" s="64" t="str">
        <f>IFERROR(__xludf.DUMMYFUNCTION("IMPORTRANGE(""https://docs.google.com/spreadsheets/d/1GMOWcUb26jVTosRt5EqlFYb5WfKNVSDMwfDXmDOMGao/edit?gid=410167636#gid=410167636"",""beam!f1"")"),"BEAM")</f>
        <v>BEAM</v>
      </c>
      <c r="E435" s="56">
        <v>0.0</v>
      </c>
      <c r="F435" s="58">
        <f>IFERROR(__xludf.DUMMYFUNCTION("""COMPUTED_VALUE"""),1487.0)</f>
        <v>1487</v>
      </c>
      <c r="G435" s="58">
        <f t="shared" si="12"/>
        <v>1487</v>
      </c>
      <c r="H435" s="58">
        <f t="shared" si="10"/>
        <v>2527.9</v>
      </c>
      <c r="I435" s="59">
        <f t="shared" si="13"/>
        <v>0.7</v>
      </c>
      <c r="J435" s="12"/>
      <c r="K435" s="1"/>
      <c r="L435" s="1"/>
      <c r="M435" s="1"/>
      <c r="N435" s="1"/>
      <c r="O435" s="1"/>
      <c r="P435" s="1"/>
      <c r="Q435" s="1"/>
      <c r="R435" s="1"/>
      <c r="S435" s="1"/>
      <c r="T435" s="1"/>
      <c r="U435" s="1"/>
      <c r="V435" s="1"/>
      <c r="W435" s="1"/>
      <c r="X435" s="1"/>
      <c r="Y435" s="1"/>
      <c r="Z435" s="1"/>
    </row>
    <row r="436">
      <c r="A436" s="1"/>
      <c r="B436" s="1"/>
      <c r="C436" s="48" t="str">
        <f>IFERROR(__xludf.DUMMYFUNCTION("""COMPUTED_VALUE"""),"PLACA ELETRONICA PARA CENTRAIS 145,165,185")</f>
        <v>PLACA ELETRONICA PARA CENTRAIS 145,165,185</v>
      </c>
      <c r="D436" s="61" t="str">
        <f>IFERROR(__xludf.DUMMYFUNCTION("IMPORTRANGE(""https://docs.google.com/spreadsheets/d/1GMOWcUb26jVTosRt5EqlFYb5WfKNVSDMwfDXmDOMGao/edit?gid=410167636#gid=410167636"",""beam!f1"")"),"BEAM")</f>
        <v>BEAM</v>
      </c>
      <c r="E436" s="50">
        <v>0.0</v>
      </c>
      <c r="F436" s="52">
        <f>IFERROR(__xludf.DUMMYFUNCTION("""COMPUTED_VALUE"""),2340.0)</f>
        <v>2340</v>
      </c>
      <c r="G436" s="52">
        <f t="shared" si="12"/>
        <v>2340</v>
      </c>
      <c r="H436" s="52">
        <f t="shared" si="10"/>
        <v>3978</v>
      </c>
      <c r="I436" s="53">
        <f t="shared" si="13"/>
        <v>0.7</v>
      </c>
      <c r="J436" s="12"/>
      <c r="K436" s="1"/>
      <c r="L436" s="1"/>
      <c r="M436" s="1"/>
      <c r="N436" s="1"/>
      <c r="O436" s="1"/>
      <c r="P436" s="1"/>
      <c r="Q436" s="1"/>
      <c r="R436" s="1"/>
      <c r="S436" s="1"/>
      <c r="T436" s="1"/>
      <c r="U436" s="1"/>
      <c r="V436" s="1"/>
      <c r="W436" s="1"/>
      <c r="X436" s="1"/>
      <c r="Y436" s="1"/>
      <c r="Z436" s="1"/>
    </row>
    <row r="437">
      <c r="A437" s="1"/>
      <c r="B437" s="1"/>
      <c r="C437" s="54" t="str">
        <f>IFERROR(__xludf.DUMMYFUNCTION("""COMPUTED_VALUE"""),"PLACA ELETRONICA PARA CENTRAIS 282, 262, 265, 285, 335, 385, 398")</f>
        <v>PLACA ELETRONICA PARA CENTRAIS 282, 262, 265, 285, 335, 385, 398</v>
      </c>
      <c r="D437" s="64" t="str">
        <f>IFERROR(__xludf.DUMMYFUNCTION("IMPORTRANGE(""https://docs.google.com/spreadsheets/d/1GMOWcUb26jVTosRt5EqlFYb5WfKNVSDMwfDXmDOMGao/edit?gid=410167636#gid=410167636"",""beam!f1"")"),"BEAM")</f>
        <v>BEAM</v>
      </c>
      <c r="E437" s="56">
        <v>0.0</v>
      </c>
      <c r="F437" s="58">
        <f>IFERROR(__xludf.DUMMYFUNCTION("""COMPUTED_VALUE"""),2800.0)</f>
        <v>2800</v>
      </c>
      <c r="G437" s="58">
        <f t="shared" si="12"/>
        <v>2800</v>
      </c>
      <c r="H437" s="58">
        <f t="shared" si="10"/>
        <v>4760</v>
      </c>
      <c r="I437" s="59">
        <f t="shared" si="13"/>
        <v>0.7</v>
      </c>
      <c r="J437" s="12"/>
      <c r="K437" s="1"/>
      <c r="L437" s="1"/>
      <c r="M437" s="1"/>
      <c r="N437" s="1"/>
      <c r="O437" s="1"/>
      <c r="P437" s="1"/>
      <c r="Q437" s="1"/>
      <c r="R437" s="1"/>
      <c r="S437" s="1"/>
      <c r="T437" s="1"/>
      <c r="U437" s="1"/>
      <c r="V437" s="1"/>
      <c r="W437" s="1"/>
      <c r="X437" s="1"/>
      <c r="Y437" s="1"/>
      <c r="Z437" s="1"/>
    </row>
    <row r="438">
      <c r="A438" s="1"/>
      <c r="B438" s="1"/>
      <c r="C438" s="48" t="str">
        <f>IFERROR(__xludf.DUMMYFUNCTION("""COMPUTED_VALUE"""),"PLACA ELETRONICA PARA CENTRAIS SC3500 ULTRA")</f>
        <v>PLACA ELETRONICA PARA CENTRAIS SC3500 ULTRA</v>
      </c>
      <c r="D438" s="61" t="str">
        <f>IFERROR(__xludf.DUMMYFUNCTION("IMPORTRANGE(""https://docs.google.com/spreadsheets/d/1GMOWcUb26jVTosRt5EqlFYb5WfKNVSDMwfDXmDOMGao/edit?gid=410167636#gid=410167636"",""beam!f1"")"),"BEAM")</f>
        <v>BEAM</v>
      </c>
      <c r="E438" s="50">
        <v>0.0</v>
      </c>
      <c r="F438" s="52">
        <f>IFERROR(__xludf.DUMMYFUNCTION("""COMPUTED_VALUE"""),5148.0)</f>
        <v>5148</v>
      </c>
      <c r="G438" s="52">
        <f t="shared" si="12"/>
        <v>5148</v>
      </c>
      <c r="H438" s="52">
        <f t="shared" si="10"/>
        <v>8751.6</v>
      </c>
      <c r="I438" s="53">
        <f t="shared" si="13"/>
        <v>0.7</v>
      </c>
      <c r="J438" s="12"/>
      <c r="K438" s="1"/>
      <c r="L438" s="1"/>
      <c r="M438" s="1"/>
      <c r="N438" s="1"/>
      <c r="O438" s="1"/>
      <c r="P438" s="1"/>
      <c r="Q438" s="1"/>
      <c r="R438" s="1"/>
      <c r="S438" s="1"/>
      <c r="T438" s="1"/>
      <c r="U438" s="1"/>
      <c r="V438" s="1"/>
      <c r="W438" s="1"/>
      <c r="X438" s="1"/>
      <c r="Y438" s="1"/>
      <c r="Z438" s="1"/>
    </row>
    <row r="439">
      <c r="A439" s="1"/>
      <c r="B439" s="1"/>
      <c r="C439" s="54" t="str">
        <f>IFERROR(__xludf.DUMMYFUNCTION("""COMPUTED_VALUE"""),"PLACA ELETRONICA CENTRAIS ALLIANCE 625, 650, 675, 700")</f>
        <v>PLACA ELETRONICA CENTRAIS ALLIANCE 625, 650, 675, 700</v>
      </c>
      <c r="D439" s="64" t="str">
        <f>IFERROR(__xludf.DUMMYFUNCTION("IMPORTRANGE(""https://docs.google.com/spreadsheets/d/1GMOWcUb26jVTosRt5EqlFYb5WfKNVSDMwfDXmDOMGao/edit?gid=410167636#gid=410167636"",""beam!f1"")"),"BEAM")</f>
        <v>BEAM</v>
      </c>
      <c r="E439" s="56">
        <v>0.0</v>
      </c>
      <c r="F439" s="58">
        <f>IFERROR(__xludf.DUMMYFUNCTION("""COMPUTED_VALUE"""),1831.0)</f>
        <v>1831</v>
      </c>
      <c r="G439" s="58">
        <f t="shared" si="12"/>
        <v>1831</v>
      </c>
      <c r="H439" s="58">
        <f t="shared" si="10"/>
        <v>3112.7</v>
      </c>
      <c r="I439" s="59">
        <f t="shared" si="13"/>
        <v>0.7</v>
      </c>
      <c r="J439" s="12"/>
      <c r="K439" s="1"/>
      <c r="L439" s="1"/>
      <c r="M439" s="1"/>
      <c r="N439" s="1"/>
      <c r="O439" s="1"/>
      <c r="P439" s="1"/>
      <c r="Q439" s="1"/>
      <c r="R439" s="1"/>
      <c r="S439" s="1"/>
      <c r="T439" s="1"/>
      <c r="U439" s="1"/>
      <c r="V439" s="1"/>
      <c r="W439" s="1"/>
      <c r="X439" s="1"/>
      <c r="Y439" s="1"/>
      <c r="Z439" s="1"/>
    </row>
    <row r="440">
      <c r="A440" s="1"/>
      <c r="B440" s="1"/>
      <c r="C440" s="48" t="str">
        <f>IFERROR(__xludf.DUMMYFUNCTION("""COMPUTED_VALUE"""),"PLACA ELETRONICA CENTRAIS INTERVAC - CS, CSRM")</f>
        <v>PLACA ELETRONICA CENTRAIS INTERVAC - CS, CSRM</v>
      </c>
      <c r="D440" s="61" t="str">
        <f>IFERROR(__xludf.DUMMYFUNCTION("IMPORTRANGE(""https://docs.google.com/spreadsheets/d/1GMOWcUb26jVTosRt5EqlFYb5WfKNVSDMwfDXmDOMGao/edit?gid=410167636#gid=410167636"",""beam!f1"")"),"BEAM")</f>
        <v>BEAM</v>
      </c>
      <c r="E440" s="50">
        <v>0.0</v>
      </c>
      <c r="F440" s="52">
        <f>IFERROR(__xludf.DUMMYFUNCTION("""COMPUTED_VALUE"""),813.0)</f>
        <v>813</v>
      </c>
      <c r="G440" s="52">
        <f t="shared" si="12"/>
        <v>813</v>
      </c>
      <c r="H440" s="52">
        <f t="shared" si="10"/>
        <v>1382.1</v>
      </c>
      <c r="I440" s="53">
        <f t="shared" si="13"/>
        <v>0.7</v>
      </c>
      <c r="J440" s="12"/>
      <c r="K440" s="1"/>
      <c r="L440" s="1"/>
      <c r="M440" s="1"/>
      <c r="N440" s="1"/>
      <c r="O440" s="1"/>
      <c r="P440" s="1"/>
      <c r="Q440" s="1"/>
      <c r="R440" s="1"/>
      <c r="S440" s="1"/>
      <c r="T440" s="1"/>
      <c r="U440" s="1"/>
      <c r="V440" s="1"/>
      <c r="W440" s="1"/>
      <c r="X440" s="1"/>
      <c r="Y440" s="1"/>
      <c r="Z440" s="1"/>
    </row>
    <row r="441">
      <c r="A441" s="1"/>
      <c r="B441" s="1"/>
      <c r="C441" s="54" t="str">
        <f>IFERROR(__xludf.DUMMYFUNCTION("""COMPUTED_VALUE"""),"PLACA ELETRONICA CENTRAIS INTERVAC - IVD660")</f>
        <v>PLACA ELETRONICA CENTRAIS INTERVAC - IVD660</v>
      </c>
      <c r="D441" s="64" t="str">
        <f>IFERROR(__xludf.DUMMYFUNCTION("IMPORTRANGE(""https://docs.google.com/spreadsheets/d/1GMOWcUb26jVTosRt5EqlFYb5WfKNVSDMwfDXmDOMGao/edit?gid=410167636#gid=410167636"",""beam!f1"")"),"BEAM")</f>
        <v>BEAM</v>
      </c>
      <c r="E441" s="56">
        <v>0.0</v>
      </c>
      <c r="F441" s="58">
        <f>IFERROR(__xludf.DUMMYFUNCTION("""COMPUTED_VALUE"""),813.0)</f>
        <v>813</v>
      </c>
      <c r="G441" s="58">
        <f t="shared" si="12"/>
        <v>813</v>
      </c>
      <c r="H441" s="58">
        <f t="shared" si="10"/>
        <v>1382.1</v>
      </c>
      <c r="I441" s="59">
        <f t="shared" si="13"/>
        <v>0.7</v>
      </c>
      <c r="J441" s="12"/>
      <c r="K441" s="1"/>
      <c r="L441" s="1"/>
      <c r="M441" s="1"/>
      <c r="N441" s="1"/>
      <c r="O441" s="1"/>
      <c r="P441" s="1"/>
      <c r="Q441" s="1"/>
      <c r="R441" s="1"/>
      <c r="S441" s="1"/>
      <c r="T441" s="1"/>
      <c r="U441" s="1"/>
      <c r="V441" s="1"/>
      <c r="W441" s="1"/>
      <c r="X441" s="1"/>
      <c r="Y441" s="1"/>
      <c r="Z441" s="1"/>
    </row>
    <row r="442">
      <c r="A442" s="1"/>
      <c r="B442" s="1"/>
      <c r="C442" s="48" t="str">
        <f>IFERROR(__xludf.DUMMYFUNCTION("""COMPUTED_VALUE"""),"MOTOR PARA CENTRAIS 287, 387, 875, 2875")</f>
        <v>MOTOR PARA CENTRAIS 287, 387, 875, 2875</v>
      </c>
      <c r="D442" s="61" t="str">
        <f>IFERROR(__xludf.DUMMYFUNCTION("IMPORTRANGE(""https://docs.google.com/spreadsheets/d/1GMOWcUb26jVTosRt5EqlFYb5WfKNVSDMwfDXmDOMGao/edit?gid=410167636#gid=410167636"",""beam!f1"")"),"BEAM")</f>
        <v>BEAM</v>
      </c>
      <c r="E442" s="50">
        <v>0.0</v>
      </c>
      <c r="F442" s="52">
        <f>IFERROR(__xludf.DUMMYFUNCTION("""COMPUTED_VALUE"""),7538.0)</f>
        <v>7538</v>
      </c>
      <c r="G442" s="52">
        <f t="shared" si="12"/>
        <v>7538</v>
      </c>
      <c r="H442" s="52">
        <f t="shared" si="10"/>
        <v>12814.6</v>
      </c>
      <c r="I442" s="53">
        <f t="shared" si="13"/>
        <v>0.7</v>
      </c>
      <c r="J442" s="12"/>
      <c r="K442" s="1"/>
      <c r="L442" s="1"/>
      <c r="M442" s="1"/>
      <c r="N442" s="1"/>
      <c r="O442" s="1"/>
      <c r="P442" s="1"/>
      <c r="Q442" s="1"/>
      <c r="R442" s="1"/>
      <c r="S442" s="1"/>
      <c r="T442" s="1"/>
      <c r="U442" s="1"/>
      <c r="V442" s="1"/>
      <c r="W442" s="1"/>
      <c r="X442" s="1"/>
      <c r="Y442" s="1"/>
      <c r="Z442" s="1"/>
    </row>
    <row r="443">
      <c r="A443" s="1"/>
      <c r="B443" s="1"/>
      <c r="C443" s="54" t="str">
        <f>IFERROR(__xludf.DUMMYFUNCTION("""COMPUTED_VALUE"""),"MOTOR PARA CENTRAIS
199, 299, 361e, 697, 2100, 2087, 2500, SC3500")</f>
        <v>MOTOR PARA CENTRAIS
199, 299, 361e, 697, 2100, 2087, 2500, SC3500</v>
      </c>
      <c r="D443" s="64" t="str">
        <f>IFERROR(__xludf.DUMMYFUNCTION("IMPORTRANGE(""https://docs.google.com/spreadsheets/d/1GMOWcUb26jVTosRt5EqlFYb5WfKNVSDMwfDXmDOMGao/edit?gid=410167636#gid=410167636"",""beam!f1"")"),"BEAM")</f>
        <v>BEAM</v>
      </c>
      <c r="E443" s="56">
        <v>0.0</v>
      </c>
      <c r="F443" s="58">
        <f>IFERROR(__xludf.DUMMYFUNCTION("""COMPUTED_VALUE"""),5249.0)</f>
        <v>5249</v>
      </c>
      <c r="G443" s="58">
        <f t="shared" si="12"/>
        <v>5249</v>
      </c>
      <c r="H443" s="58">
        <f t="shared" si="10"/>
        <v>8923.3</v>
      </c>
      <c r="I443" s="59">
        <f t="shared" si="13"/>
        <v>0.7</v>
      </c>
      <c r="J443" s="12"/>
      <c r="K443" s="1"/>
      <c r="L443" s="1"/>
      <c r="M443" s="1"/>
      <c r="N443" s="1"/>
      <c r="O443" s="1"/>
      <c r="P443" s="1"/>
      <c r="Q443" s="1"/>
      <c r="R443" s="1"/>
      <c r="S443" s="1"/>
      <c r="T443" s="1"/>
      <c r="U443" s="1"/>
      <c r="V443" s="1"/>
      <c r="W443" s="1"/>
      <c r="X443" s="1"/>
      <c r="Y443" s="1"/>
      <c r="Z443" s="1"/>
    </row>
    <row r="444">
      <c r="A444" s="1"/>
      <c r="B444" s="1"/>
      <c r="C444" s="48" t="str">
        <f>IFERROR(__xludf.DUMMYFUNCTION("""COMPUTED_VALUE"""),"MOTOR PARA CENTRAIS
166, 167, 168, 177, 178, 188, 189, 2067, 2700")</f>
        <v>MOTOR PARA CENTRAIS
166, 167, 168, 177, 178, 188, 189, 2067, 2700</v>
      </c>
      <c r="D444" s="61" t="str">
        <f>IFERROR(__xludf.DUMMYFUNCTION("IMPORTRANGE(""https://docs.google.com/spreadsheets/d/1GMOWcUb26jVTosRt5EqlFYb5WfKNVSDMwfDXmDOMGao/edit?gid=410167636#gid=410167636"",""beam!f1"")"),"BEAM")</f>
        <v>BEAM</v>
      </c>
      <c r="E444" s="50">
        <v>0.0</v>
      </c>
      <c r="F444" s="52">
        <f>IFERROR(__xludf.DUMMYFUNCTION("""COMPUTED_VALUE"""),3810.0)</f>
        <v>3810</v>
      </c>
      <c r="G444" s="52">
        <f t="shared" si="12"/>
        <v>3810</v>
      </c>
      <c r="H444" s="52">
        <f t="shared" si="10"/>
        <v>6477</v>
      </c>
      <c r="I444" s="53">
        <f t="shared" si="13"/>
        <v>0.7</v>
      </c>
      <c r="J444" s="12"/>
      <c r="K444" s="1"/>
      <c r="L444" s="1"/>
      <c r="M444" s="1"/>
      <c r="N444" s="1"/>
      <c r="O444" s="1"/>
      <c r="P444" s="1"/>
      <c r="Q444" s="1"/>
      <c r="R444" s="1"/>
      <c r="S444" s="1"/>
      <c r="T444" s="1"/>
      <c r="U444" s="1"/>
      <c r="V444" s="1"/>
      <c r="W444" s="1"/>
      <c r="X444" s="1"/>
      <c r="Y444" s="1"/>
      <c r="Z444" s="1"/>
    </row>
    <row r="445">
      <c r="A445" s="1"/>
      <c r="B445" s="1"/>
      <c r="C445" s="54" t="str">
        <f>IFERROR(__xludf.DUMMYFUNCTION("""COMPUTED_VALUE"""),"MOTOR PARA CENTRAIS
297, 397, 2250, 2875, Smart PU800, 491, 481")</f>
        <v>MOTOR PARA CENTRAIS
297, 397, 2250, 2875, Smart PU800, 491, 481</v>
      </c>
      <c r="D445" s="64" t="str">
        <f>IFERROR(__xludf.DUMMYFUNCTION("IMPORTRANGE(""https://docs.google.com/spreadsheets/d/1GMOWcUb26jVTosRt5EqlFYb5WfKNVSDMwfDXmDOMGao/edit?gid=410167636#gid=410167636"",""beam!f1"")"),"BEAM")</f>
        <v>BEAM</v>
      </c>
      <c r="E445" s="56">
        <v>0.0</v>
      </c>
      <c r="F445" s="58">
        <f>IFERROR(__xludf.DUMMYFUNCTION("""COMPUTED_VALUE"""),9692.0)</f>
        <v>9692</v>
      </c>
      <c r="G445" s="58">
        <f t="shared" si="12"/>
        <v>9692</v>
      </c>
      <c r="H445" s="58">
        <f t="shared" si="10"/>
        <v>16476.4</v>
      </c>
      <c r="I445" s="59">
        <f t="shared" si="13"/>
        <v>0.7</v>
      </c>
      <c r="J445" s="12"/>
      <c r="K445" s="1"/>
      <c r="L445" s="1"/>
      <c r="M445" s="1"/>
      <c r="N445" s="1"/>
      <c r="O445" s="1"/>
      <c r="P445" s="1"/>
      <c r="Q445" s="1"/>
      <c r="R445" s="1"/>
      <c r="S445" s="1"/>
      <c r="T445" s="1"/>
      <c r="U445" s="1"/>
      <c r="V445" s="1"/>
      <c r="W445" s="1"/>
      <c r="X445" s="1"/>
      <c r="Y445" s="1"/>
      <c r="Z445" s="1"/>
    </row>
    <row r="446">
      <c r="A446" s="1"/>
      <c r="B446" s="1"/>
      <c r="C446" s="48" t="str">
        <f>IFERROR(__xludf.DUMMYFUNCTION("""COMPUTED_VALUE"""),"MOTOR PARA CENTRAIS 187, 2087, 391E, 361E")</f>
        <v>MOTOR PARA CENTRAIS 187, 2087, 391E, 361E</v>
      </c>
      <c r="D446" s="61" t="str">
        <f>IFERROR(__xludf.DUMMYFUNCTION("IMPORTRANGE(""https://docs.google.com/spreadsheets/d/1GMOWcUb26jVTosRt5EqlFYb5WfKNVSDMwfDXmDOMGao/edit?gid=410167636#gid=410167636"",""beam!f1"")"),"BEAM")</f>
        <v>BEAM</v>
      </c>
      <c r="E446" s="50">
        <v>0.0</v>
      </c>
      <c r="F446" s="52">
        <f>IFERROR(__xludf.DUMMYFUNCTION("""COMPUTED_VALUE"""),4626.0)</f>
        <v>4626</v>
      </c>
      <c r="G446" s="52">
        <f t="shared" si="12"/>
        <v>4626</v>
      </c>
      <c r="H446" s="52">
        <f t="shared" si="10"/>
        <v>7864.2</v>
      </c>
      <c r="I446" s="53">
        <f t="shared" si="13"/>
        <v>0.7</v>
      </c>
      <c r="J446" s="12"/>
      <c r="K446" s="1"/>
      <c r="L446" s="1"/>
      <c r="M446" s="1"/>
      <c r="N446" s="1"/>
      <c r="O446" s="1"/>
      <c r="P446" s="1"/>
      <c r="Q446" s="1"/>
      <c r="R446" s="1"/>
      <c r="S446" s="1"/>
      <c r="T446" s="1"/>
      <c r="U446" s="1"/>
      <c r="V446" s="1"/>
      <c r="W446" s="1"/>
      <c r="X446" s="1"/>
      <c r="Y446" s="1"/>
      <c r="Z446" s="1"/>
    </row>
    <row r="447">
      <c r="A447" s="1"/>
      <c r="B447" s="1"/>
      <c r="C447" s="54" t="str">
        <f>IFERROR(__xludf.DUMMYFUNCTION("""COMPUTED_VALUE"""),"MOTOR PARA CENTRAIS SC300, SC325, SC335, SC375")</f>
        <v>MOTOR PARA CENTRAIS SC300, SC325, SC335, SC375</v>
      </c>
      <c r="D447" s="64" t="str">
        <f>IFERROR(__xludf.DUMMYFUNCTION("IMPORTRANGE(""https://docs.google.com/spreadsheets/d/1GMOWcUb26jVTosRt5EqlFYb5WfKNVSDMwfDXmDOMGao/edit?gid=410167636#gid=410167636"",""beam!f1"")"),"BEAM")</f>
        <v>BEAM</v>
      </c>
      <c r="E447" s="56">
        <v>0.0</v>
      </c>
      <c r="F447" s="58">
        <f>IFERROR(__xludf.DUMMYFUNCTION("""COMPUTED_VALUE"""),5679.0)</f>
        <v>5679</v>
      </c>
      <c r="G447" s="58">
        <f t="shared" si="12"/>
        <v>5679</v>
      </c>
      <c r="H447" s="58">
        <f t="shared" si="10"/>
        <v>9654.3</v>
      </c>
      <c r="I447" s="59">
        <f t="shared" si="13"/>
        <v>0.7</v>
      </c>
      <c r="J447" s="12"/>
      <c r="K447" s="1"/>
      <c r="L447" s="1"/>
      <c r="M447" s="1"/>
      <c r="N447" s="1"/>
      <c r="O447" s="1"/>
      <c r="P447" s="1"/>
      <c r="Q447" s="1"/>
      <c r="R447" s="1"/>
      <c r="S447" s="1"/>
      <c r="T447" s="1"/>
      <c r="U447" s="1"/>
      <c r="V447" s="1"/>
      <c r="W447" s="1"/>
      <c r="X447" s="1"/>
      <c r="Y447" s="1"/>
      <c r="Z447" s="1"/>
    </row>
    <row r="448">
      <c r="A448" s="1"/>
      <c r="B448" s="1"/>
      <c r="C448" s="48" t="str">
        <f>IFERROR(__xludf.DUMMYFUNCTION("""COMPUTED_VALUE"""),"MOTOR PARA CENTRAIS SC325, SC335, SC375")</f>
        <v>MOTOR PARA CENTRAIS SC325, SC335, SC375</v>
      </c>
      <c r="D448" s="61" t="str">
        <f>IFERROR(__xludf.DUMMYFUNCTION("IMPORTRANGE(""https://docs.google.com/spreadsheets/d/1GMOWcUb26jVTosRt5EqlFYb5WfKNVSDMwfDXmDOMGao/edit?gid=410167636#gid=410167636"",""beam!f1"")"),"BEAM")</f>
        <v>BEAM</v>
      </c>
      <c r="E448" s="50">
        <v>0.0</v>
      </c>
      <c r="F448" s="52">
        <f>IFERROR(__xludf.DUMMYFUNCTION("""COMPUTED_VALUE"""),5015.0)</f>
        <v>5015</v>
      </c>
      <c r="G448" s="52">
        <f t="shared" si="12"/>
        <v>5015</v>
      </c>
      <c r="H448" s="52">
        <f t="shared" si="10"/>
        <v>8525.5</v>
      </c>
      <c r="I448" s="53">
        <f t="shared" si="13"/>
        <v>0.7</v>
      </c>
      <c r="J448" s="12"/>
      <c r="K448" s="1"/>
      <c r="L448" s="1"/>
      <c r="M448" s="1"/>
      <c r="N448" s="1"/>
      <c r="O448" s="1"/>
      <c r="P448" s="1"/>
      <c r="Q448" s="1"/>
      <c r="R448" s="1"/>
      <c r="S448" s="1"/>
      <c r="T448" s="1"/>
      <c r="U448" s="1"/>
      <c r="V448" s="1"/>
      <c r="W448" s="1"/>
      <c r="X448" s="1"/>
      <c r="Y448" s="1"/>
      <c r="Z448" s="1"/>
    </row>
    <row r="449">
      <c r="A449" s="1"/>
      <c r="B449" s="1"/>
      <c r="C449" s="54" t="str">
        <f>IFERROR(__xludf.DUMMYFUNCTION("""COMPUTED_VALUE"""),"MOTOR PARA CENTRAIS BM 282, 262, 265, 285")</f>
        <v>MOTOR PARA CENTRAIS BM 282, 262, 265, 285</v>
      </c>
      <c r="D449" s="64" t="str">
        <f>IFERROR(__xludf.DUMMYFUNCTION("IMPORTRANGE(""https://docs.google.com/spreadsheets/d/1GMOWcUb26jVTosRt5EqlFYb5WfKNVSDMwfDXmDOMGao/edit?gid=410167636#gid=410167636"",""beam!f1"")"),"BEAM")</f>
        <v>BEAM</v>
      </c>
      <c r="E449" s="56">
        <v>0.0</v>
      </c>
      <c r="F449" s="58">
        <f>IFERROR(__xludf.DUMMYFUNCTION("""COMPUTED_VALUE"""),2557.0)</f>
        <v>2557</v>
      </c>
      <c r="G449" s="58">
        <f t="shared" si="12"/>
        <v>2557</v>
      </c>
      <c r="H449" s="58">
        <f t="shared" si="10"/>
        <v>4346.9</v>
      </c>
      <c r="I449" s="59">
        <f t="shared" si="13"/>
        <v>0.7</v>
      </c>
      <c r="J449" s="12"/>
      <c r="K449" s="1"/>
      <c r="L449" s="1"/>
      <c r="M449" s="1"/>
      <c r="N449" s="1"/>
      <c r="O449" s="1"/>
      <c r="P449" s="1"/>
      <c r="Q449" s="1"/>
      <c r="R449" s="1"/>
      <c r="S449" s="1"/>
      <c r="T449" s="1"/>
      <c r="U449" s="1"/>
      <c r="V449" s="1"/>
      <c r="W449" s="1"/>
      <c r="X449" s="1"/>
      <c r="Y449" s="1"/>
      <c r="Z449" s="1"/>
    </row>
    <row r="450">
      <c r="A450" s="1"/>
      <c r="B450" s="1"/>
      <c r="C450" s="48" t="str">
        <f>IFERROR(__xludf.DUMMYFUNCTION("""COMPUTED_VALUE"""),"MOTOR PARA CENTRAIS SC355, SC385, SC385, SC3500 Ultra")</f>
        <v>MOTOR PARA CENTRAIS SC355, SC385, SC385, SC3500 Ultra</v>
      </c>
      <c r="D450" s="61" t="str">
        <f>IFERROR(__xludf.DUMMYFUNCTION("IMPORTRANGE(""https://docs.google.com/spreadsheets/d/1GMOWcUb26jVTosRt5EqlFYb5WfKNVSDMwfDXmDOMGao/edit?gid=410167636#gid=410167636"",""beam!f1"")"),"BEAM")</f>
        <v>BEAM</v>
      </c>
      <c r="E450" s="50">
        <v>0.0</v>
      </c>
      <c r="F450" s="52">
        <f>IFERROR(__xludf.DUMMYFUNCTION("""COMPUTED_VALUE"""),3773.0)</f>
        <v>3773</v>
      </c>
      <c r="G450" s="52">
        <f t="shared" si="12"/>
        <v>3773</v>
      </c>
      <c r="H450" s="52">
        <f t="shared" si="10"/>
        <v>6414.1</v>
      </c>
      <c r="I450" s="53">
        <f t="shared" si="13"/>
        <v>0.7</v>
      </c>
      <c r="J450" s="12"/>
      <c r="K450" s="1"/>
      <c r="L450" s="1"/>
      <c r="M450" s="1"/>
      <c r="N450" s="1"/>
      <c r="O450" s="1"/>
      <c r="P450" s="1"/>
      <c r="Q450" s="1"/>
      <c r="R450" s="1"/>
      <c r="S450" s="1"/>
      <c r="T450" s="1"/>
      <c r="U450" s="1"/>
      <c r="V450" s="1"/>
      <c r="W450" s="1"/>
      <c r="X450" s="1"/>
      <c r="Y450" s="1"/>
      <c r="Z450" s="1"/>
    </row>
    <row r="451">
      <c r="A451" s="1"/>
      <c r="B451" s="1"/>
      <c r="C451" s="54" t="str">
        <f>IFERROR(__xludf.DUMMYFUNCTION("""COMPUTED_VALUE"""),"MOTOR PARA CENTRAL SC398")</f>
        <v>MOTOR PARA CENTRAL SC398</v>
      </c>
      <c r="D451" s="64" t="str">
        <f>IFERROR(__xludf.DUMMYFUNCTION("IMPORTRANGE(""https://docs.google.com/spreadsheets/d/1GMOWcUb26jVTosRt5EqlFYb5WfKNVSDMwfDXmDOMGao/edit?gid=410167636#gid=410167636"",""beam!f1"")"),"BEAM")</f>
        <v>BEAM</v>
      </c>
      <c r="E451" s="56">
        <v>0.0</v>
      </c>
      <c r="F451" s="58">
        <f>IFERROR(__xludf.DUMMYFUNCTION("""COMPUTED_VALUE"""),7754.0)</f>
        <v>7754</v>
      </c>
      <c r="G451" s="58">
        <f t="shared" si="12"/>
        <v>7754</v>
      </c>
      <c r="H451" s="58">
        <f t="shared" si="10"/>
        <v>13181.8</v>
      </c>
      <c r="I451" s="59">
        <f t="shared" si="13"/>
        <v>0.7</v>
      </c>
      <c r="J451" s="12"/>
      <c r="K451" s="1"/>
      <c r="L451" s="1"/>
      <c r="M451" s="1"/>
      <c r="N451" s="1"/>
      <c r="O451" s="1"/>
      <c r="P451" s="1"/>
      <c r="Q451" s="1"/>
      <c r="R451" s="1"/>
      <c r="S451" s="1"/>
      <c r="T451" s="1"/>
      <c r="U451" s="1"/>
      <c r="V451" s="1"/>
      <c r="W451" s="1"/>
      <c r="X451" s="1"/>
      <c r="Y451" s="1"/>
      <c r="Z451" s="1"/>
    </row>
    <row r="452">
      <c r="A452" s="1"/>
      <c r="B452" s="1"/>
      <c r="C452" s="48" t="str">
        <f>IFERROR(__xludf.DUMMYFUNCTION("""COMPUTED_VALUE"""),"MOTOR PARA CENTRAL MODELO 35 BARCO  110V")</f>
        <v>MOTOR PARA CENTRAL MODELO 35 BARCO  110V</v>
      </c>
      <c r="D452" s="61" t="str">
        <f>IFERROR(__xludf.DUMMYFUNCTION("IMPORTRANGE(""https://docs.google.com/spreadsheets/d/1GMOWcUb26jVTosRt5EqlFYb5WfKNVSDMwfDXmDOMGao/edit?gid=410167636#gid=410167636"",""beam!f1"")"),"BEAM")</f>
        <v>BEAM</v>
      </c>
      <c r="E452" s="50">
        <v>0.0</v>
      </c>
      <c r="F452" s="52">
        <f>IFERROR(__xludf.DUMMYFUNCTION("""COMPUTED_VALUE"""),2527.0)</f>
        <v>2527</v>
      </c>
      <c r="G452" s="52">
        <f t="shared" si="12"/>
        <v>2527</v>
      </c>
      <c r="H452" s="52">
        <f t="shared" si="10"/>
        <v>4295.9</v>
      </c>
      <c r="I452" s="53">
        <f t="shared" si="13"/>
        <v>0.7</v>
      </c>
      <c r="J452" s="12"/>
      <c r="K452" s="1"/>
      <c r="L452" s="1"/>
      <c r="M452" s="1"/>
      <c r="N452" s="1"/>
      <c r="O452" s="1"/>
      <c r="P452" s="1"/>
      <c r="Q452" s="1"/>
      <c r="R452" s="1"/>
      <c r="S452" s="1"/>
      <c r="T452" s="1"/>
      <c r="U452" s="1"/>
      <c r="V452" s="1"/>
      <c r="W452" s="1"/>
      <c r="X452" s="1"/>
      <c r="Y452" s="1"/>
      <c r="Z452" s="1"/>
    </row>
    <row r="453">
      <c r="A453" s="1"/>
      <c r="B453" s="1"/>
      <c r="C453" s="54" t="str">
        <f>IFERROR(__xludf.DUMMYFUNCTION("""COMPUTED_VALUE"""),"MOTOR PARA CENTRAL BU 180")</f>
        <v>MOTOR PARA CENTRAL BU 180</v>
      </c>
      <c r="D453" s="64" t="str">
        <f>IFERROR(__xludf.DUMMYFUNCTION("IMPORTRANGE(""https://docs.google.com/spreadsheets/d/1GMOWcUb26jVTosRt5EqlFYb5WfKNVSDMwfDXmDOMGao/edit?gid=410167636#gid=410167636"",""beam!f1"")"),"BEAM")</f>
        <v>BEAM</v>
      </c>
      <c r="E453" s="56">
        <v>0.0</v>
      </c>
      <c r="F453" s="58">
        <f>IFERROR(__xludf.DUMMYFUNCTION("""COMPUTED_VALUE"""),3524.0)</f>
        <v>3524</v>
      </c>
      <c r="G453" s="58">
        <f t="shared" si="12"/>
        <v>3524</v>
      </c>
      <c r="H453" s="58">
        <f t="shared" si="10"/>
        <v>5990.8</v>
      </c>
      <c r="I453" s="59">
        <f t="shared" si="13"/>
        <v>0.7</v>
      </c>
      <c r="J453" s="12"/>
      <c r="K453" s="1"/>
      <c r="L453" s="1"/>
      <c r="M453" s="1"/>
      <c r="N453" s="1"/>
      <c r="O453" s="1"/>
      <c r="P453" s="1"/>
      <c r="Q453" s="1"/>
      <c r="R453" s="1"/>
      <c r="S453" s="1"/>
      <c r="T453" s="1"/>
      <c r="U453" s="1"/>
      <c r="V453" s="1"/>
      <c r="W453" s="1"/>
      <c r="X453" s="1"/>
      <c r="Y453" s="1"/>
      <c r="Z453" s="1"/>
    </row>
    <row r="454">
      <c r="A454" s="1"/>
      <c r="B454" s="1"/>
      <c r="C454" s="48" t="str">
        <f>IFERROR(__xludf.DUMMYFUNCTION("""COMPUTED_VALUE"""),"MOTOR PARA CENTRAIS 2775, 2725, 2900, SC3500")</f>
        <v>MOTOR PARA CENTRAIS 2775, 2725, 2900, SC3500</v>
      </c>
      <c r="D454" s="61" t="str">
        <f>IFERROR(__xludf.DUMMYFUNCTION("IMPORTRANGE(""https://docs.google.com/spreadsheets/d/1GMOWcUb26jVTosRt5EqlFYb5WfKNVSDMwfDXmDOMGao/edit?gid=410167636#gid=410167636"",""beam!f1"")"),"BEAM")</f>
        <v>BEAM</v>
      </c>
      <c r="E454" s="50">
        <v>0.0</v>
      </c>
      <c r="F454" s="52">
        <f>IFERROR(__xludf.DUMMYFUNCTION("""COMPUTED_VALUE"""),5607.0)</f>
        <v>5607</v>
      </c>
      <c r="G454" s="52">
        <f t="shared" si="12"/>
        <v>5607</v>
      </c>
      <c r="H454" s="52">
        <f t="shared" si="10"/>
        <v>9531.9</v>
      </c>
      <c r="I454" s="53">
        <f t="shared" si="13"/>
        <v>0.7</v>
      </c>
      <c r="J454" s="12"/>
      <c r="K454" s="1"/>
      <c r="L454" s="1"/>
      <c r="M454" s="1"/>
      <c r="N454" s="1"/>
      <c r="O454" s="1"/>
      <c r="P454" s="1"/>
      <c r="Q454" s="1"/>
      <c r="R454" s="1"/>
      <c r="S454" s="1"/>
      <c r="T454" s="1"/>
      <c r="U454" s="1"/>
      <c r="V454" s="1"/>
      <c r="W454" s="1"/>
      <c r="X454" s="1"/>
      <c r="Y454" s="1"/>
      <c r="Z454" s="1"/>
    </row>
    <row r="455">
      <c r="A455" s="1"/>
      <c r="B455" s="1"/>
      <c r="C455" s="54" t="str">
        <f>IFERROR(__xludf.DUMMYFUNCTION("""COMPUTED_VALUE"""),"MOTOR CENTRAL BU195")</f>
        <v>MOTOR CENTRAL BU195</v>
      </c>
      <c r="D455" s="64" t="str">
        <f>IFERROR(__xludf.DUMMYFUNCTION("IMPORTRANGE(""https://docs.google.com/spreadsheets/d/1GMOWcUb26jVTosRt5EqlFYb5WfKNVSDMwfDXmDOMGao/edit?gid=410167636#gid=410167636"",""beam!f1"")"),"BEAM")</f>
        <v>BEAM</v>
      </c>
      <c r="E455" s="56">
        <v>0.0</v>
      </c>
      <c r="F455" s="58">
        <f>IFERROR(__xludf.DUMMYFUNCTION("""COMPUTED_VALUE"""),5310.0)</f>
        <v>5310</v>
      </c>
      <c r="G455" s="58">
        <f t="shared" si="12"/>
        <v>5310</v>
      </c>
      <c r="H455" s="58">
        <f t="shared" si="10"/>
        <v>9027</v>
      </c>
      <c r="I455" s="59">
        <f t="shared" si="13"/>
        <v>0.7</v>
      </c>
      <c r="J455" s="12"/>
      <c r="K455" s="1"/>
      <c r="L455" s="1"/>
      <c r="M455" s="1"/>
      <c r="N455" s="1"/>
      <c r="O455" s="1"/>
      <c r="P455" s="1"/>
      <c r="Q455" s="1"/>
      <c r="R455" s="1"/>
      <c r="S455" s="1"/>
      <c r="T455" s="1"/>
      <c r="U455" s="1"/>
      <c r="V455" s="1"/>
      <c r="W455" s="1"/>
      <c r="X455" s="1"/>
      <c r="Y455" s="1"/>
      <c r="Z455" s="1"/>
    </row>
    <row r="456">
      <c r="A456" s="1"/>
      <c r="B456" s="1"/>
      <c r="C456" s="48" t="str">
        <f>IFERROR(__xludf.DUMMYFUNCTION("""COMPUTED_VALUE"""),"MOTOR PARA CENTRAL
ZCV792G Green")</f>
        <v>MOTOR PARA CENTRAL
ZCV792G Green</v>
      </c>
      <c r="D456" s="61" t="str">
        <f>IFERROR(__xludf.DUMMYFUNCTION("IMPORTRANGE(""https://docs.google.com/spreadsheets/d/1GMOWcUb26jVTosRt5EqlFYb5WfKNVSDMwfDXmDOMGao/edit?gid=410167636#gid=410167636"",""beam!f1"")"),"BEAM")</f>
        <v>BEAM</v>
      </c>
      <c r="E456" s="50">
        <v>0.0</v>
      </c>
      <c r="F456" s="52">
        <f>IFERROR(__xludf.DUMMYFUNCTION("""COMPUTED_VALUE"""),3182.0)</f>
        <v>3182</v>
      </c>
      <c r="G456" s="52">
        <f t="shared" si="12"/>
        <v>3182</v>
      </c>
      <c r="H456" s="52">
        <f t="shared" si="10"/>
        <v>5409.4</v>
      </c>
      <c r="I456" s="53">
        <f t="shared" si="13"/>
        <v>0.7</v>
      </c>
      <c r="J456" s="12"/>
      <c r="K456" s="1"/>
      <c r="L456" s="1"/>
      <c r="M456" s="1"/>
      <c r="N456" s="1"/>
      <c r="O456" s="1"/>
      <c r="P456" s="1"/>
      <c r="Q456" s="1"/>
      <c r="R456" s="1"/>
      <c r="S456" s="1"/>
      <c r="T456" s="1"/>
      <c r="U456" s="1"/>
      <c r="V456" s="1"/>
      <c r="W456" s="1"/>
      <c r="X456" s="1"/>
      <c r="Y456" s="1"/>
      <c r="Z456" s="1"/>
    </row>
    <row r="457">
      <c r="A457" s="1"/>
      <c r="B457" s="1"/>
      <c r="C457" s="54" t="str">
        <f>IFERROR(__xludf.DUMMYFUNCTION("""COMPUTED_VALUE"""),"MOTOR PARA CENTRAIS 145, 165, 185")</f>
        <v>MOTOR PARA CENTRAIS 145, 165, 185</v>
      </c>
      <c r="D457" s="64" t="str">
        <f>IFERROR(__xludf.DUMMYFUNCTION("IMPORTRANGE(""https://docs.google.com/spreadsheets/d/1GMOWcUb26jVTosRt5EqlFYb5WfKNVSDMwfDXmDOMGao/edit?gid=410167636#gid=410167636"",""beam!f1"")"),"BEAM")</f>
        <v>BEAM</v>
      </c>
      <c r="E457" s="56">
        <v>0.0</v>
      </c>
      <c r="F457" s="58">
        <f>IFERROR(__xludf.DUMMYFUNCTION("""COMPUTED_VALUE"""),2558.0)</f>
        <v>2558</v>
      </c>
      <c r="G457" s="58">
        <f t="shared" si="12"/>
        <v>2558</v>
      </c>
      <c r="H457" s="58">
        <f t="shared" si="10"/>
        <v>4348.6</v>
      </c>
      <c r="I457" s="59">
        <f t="shared" si="13"/>
        <v>0.7</v>
      </c>
      <c r="J457" s="12"/>
      <c r="K457" s="1"/>
      <c r="L457" s="1"/>
      <c r="M457" s="1"/>
      <c r="N457" s="1"/>
      <c r="O457" s="1"/>
      <c r="P457" s="1"/>
      <c r="Q457" s="1"/>
      <c r="R457" s="1"/>
      <c r="S457" s="1"/>
      <c r="T457" s="1"/>
      <c r="U457" s="1"/>
      <c r="V457" s="1"/>
      <c r="W457" s="1"/>
      <c r="X457" s="1"/>
      <c r="Y457" s="1"/>
      <c r="Z457" s="1"/>
    </row>
    <row r="458">
      <c r="A458" s="1"/>
      <c r="B458" s="1"/>
      <c r="C458" s="48" t="str">
        <f>IFERROR(__xludf.DUMMYFUNCTION("""COMPUTED_VALUE"""),"MOTOR PARA CENTRAL ALLIANCE 625SB E 650TB")</f>
        <v>MOTOR PARA CENTRAL ALLIANCE 625SB E 650TB</v>
      </c>
      <c r="D458" s="61" t="str">
        <f>IFERROR(__xludf.DUMMYFUNCTION("IMPORTRANGE(""https://docs.google.com/spreadsheets/d/1GMOWcUb26jVTosRt5EqlFYb5WfKNVSDMwfDXmDOMGao/edit?gid=410167636#gid=410167636"",""beam!f1"")"),"BEAM")</f>
        <v>BEAM</v>
      </c>
      <c r="E458" s="50">
        <v>0.0</v>
      </c>
      <c r="F458" s="52">
        <f>IFERROR(__xludf.DUMMYFUNCTION("""COMPUTED_VALUE"""),2023.0)</f>
        <v>2023</v>
      </c>
      <c r="G458" s="52">
        <f t="shared" si="12"/>
        <v>2023</v>
      </c>
      <c r="H458" s="52">
        <f t="shared" si="10"/>
        <v>3439.1</v>
      </c>
      <c r="I458" s="53">
        <f t="shared" si="13"/>
        <v>0.7</v>
      </c>
      <c r="J458" s="12"/>
      <c r="K458" s="1"/>
      <c r="L458" s="1"/>
      <c r="M458" s="1"/>
      <c r="N458" s="1"/>
      <c r="O458" s="1"/>
      <c r="P458" s="1"/>
      <c r="Q458" s="1"/>
      <c r="R458" s="1"/>
      <c r="S458" s="1"/>
      <c r="T458" s="1"/>
      <c r="U458" s="1"/>
      <c r="V458" s="1"/>
      <c r="W458" s="1"/>
      <c r="X458" s="1"/>
      <c r="Y458" s="1"/>
      <c r="Z458" s="1"/>
    </row>
    <row r="459">
      <c r="A459" s="1"/>
      <c r="B459" s="1"/>
      <c r="C459" s="54" t="str">
        <f>IFERROR(__xludf.DUMMYFUNCTION("""COMPUTED_VALUE"""),"MOTOR PARA CENTRAL ALLIANCE 700TC E 675SC")</f>
        <v>MOTOR PARA CENTRAL ALLIANCE 700TC E 675SC</v>
      </c>
      <c r="D459" s="64" t="str">
        <f>IFERROR(__xludf.DUMMYFUNCTION("IMPORTRANGE(""https://docs.google.com/spreadsheets/d/1GMOWcUb26jVTosRt5EqlFYb5WfKNVSDMwfDXmDOMGao/edit?gid=410167636#gid=410167636"",""beam!f1"")"),"BEAM")</f>
        <v>BEAM</v>
      </c>
      <c r="E459" s="56">
        <v>0.0</v>
      </c>
      <c r="F459" s="58">
        <f>IFERROR(__xludf.DUMMYFUNCTION("""COMPUTED_VALUE"""),2180.0)</f>
        <v>2180</v>
      </c>
      <c r="G459" s="58">
        <f t="shared" si="12"/>
        <v>2180</v>
      </c>
      <c r="H459" s="58">
        <f t="shared" si="10"/>
        <v>3706</v>
      </c>
      <c r="I459" s="59">
        <f t="shared" si="13"/>
        <v>0.7</v>
      </c>
      <c r="J459" s="12"/>
      <c r="K459" s="1"/>
      <c r="L459" s="1"/>
      <c r="M459" s="1"/>
      <c r="N459" s="1"/>
      <c r="O459" s="1"/>
      <c r="P459" s="1"/>
      <c r="Q459" s="1"/>
      <c r="R459" s="1"/>
      <c r="S459" s="1"/>
      <c r="T459" s="1"/>
      <c r="U459" s="1"/>
      <c r="V459" s="1"/>
      <c r="W459" s="1"/>
      <c r="X459" s="1"/>
      <c r="Y459" s="1"/>
      <c r="Z459" s="1"/>
    </row>
    <row r="460">
      <c r="A460" s="1"/>
      <c r="B460" s="1"/>
      <c r="C460" s="48" t="str">
        <f>IFERROR(__xludf.DUMMYFUNCTION("""COMPUTED_VALUE"""),"MOTOR PARA CENTRAIS INTERVAC - CS, CSRM")</f>
        <v>MOTOR PARA CENTRAIS INTERVAC - CS, CSRM</v>
      </c>
      <c r="D460" s="61" t="str">
        <f>IFERROR(__xludf.DUMMYFUNCTION("IMPORTRANGE(""https://docs.google.com/spreadsheets/d/1GMOWcUb26jVTosRt5EqlFYb5WfKNVSDMwfDXmDOMGao/edit?gid=410167636#gid=410167636"",""beam!f1"")"),"BEAM")</f>
        <v>BEAM</v>
      </c>
      <c r="E460" s="50">
        <v>0.0</v>
      </c>
      <c r="F460" s="52">
        <f>IFERROR(__xludf.DUMMYFUNCTION("""COMPUTED_VALUE"""),1298.0)</f>
        <v>1298</v>
      </c>
      <c r="G460" s="52">
        <f t="shared" si="12"/>
        <v>1298</v>
      </c>
      <c r="H460" s="52">
        <f t="shared" si="10"/>
        <v>2206.6</v>
      </c>
      <c r="I460" s="53">
        <f t="shared" si="13"/>
        <v>0.7</v>
      </c>
      <c r="J460" s="12"/>
      <c r="K460" s="1"/>
      <c r="L460" s="1"/>
      <c r="M460" s="1"/>
      <c r="N460" s="1"/>
      <c r="O460" s="1"/>
      <c r="P460" s="1"/>
      <c r="Q460" s="1"/>
      <c r="R460" s="1"/>
      <c r="S460" s="1"/>
      <c r="T460" s="1"/>
      <c r="U460" s="1"/>
      <c r="V460" s="1"/>
      <c r="W460" s="1"/>
      <c r="X460" s="1"/>
      <c r="Y460" s="1"/>
      <c r="Z460" s="1"/>
    </row>
    <row r="461">
      <c r="A461" s="1"/>
      <c r="B461" s="1"/>
      <c r="C461" s="54" t="str">
        <f>IFERROR(__xludf.DUMMYFUNCTION("""COMPUTED_VALUE"""),"MOTOR PARA CENTRAIS INTERVAC - IVD660")</f>
        <v>MOTOR PARA CENTRAIS INTERVAC - IVD660</v>
      </c>
      <c r="D461" s="64" t="str">
        <f>IFERROR(__xludf.DUMMYFUNCTION("IMPORTRANGE(""https://docs.google.com/spreadsheets/d/1GMOWcUb26jVTosRt5EqlFYb5WfKNVSDMwfDXmDOMGao/edit?gid=410167636#gid=410167636"",""beam!f1"")"),"BEAM")</f>
        <v>BEAM</v>
      </c>
      <c r="E461" s="56">
        <v>0.0</v>
      </c>
      <c r="F461" s="58">
        <f>IFERROR(__xludf.DUMMYFUNCTION("""COMPUTED_VALUE"""),1380.0)</f>
        <v>1380</v>
      </c>
      <c r="G461" s="58">
        <f t="shared" si="12"/>
        <v>1380</v>
      </c>
      <c r="H461" s="58">
        <f t="shared" si="10"/>
        <v>2346</v>
      </c>
      <c r="I461" s="59">
        <f t="shared" si="13"/>
        <v>0.7</v>
      </c>
      <c r="J461" s="12"/>
      <c r="K461" s="1"/>
      <c r="L461" s="1"/>
      <c r="M461" s="1"/>
      <c r="N461" s="1"/>
      <c r="O461" s="1"/>
      <c r="P461" s="1"/>
      <c r="Q461" s="1"/>
      <c r="R461" s="1"/>
      <c r="S461" s="1"/>
      <c r="T461" s="1"/>
      <c r="U461" s="1"/>
      <c r="V461" s="1"/>
      <c r="W461" s="1"/>
      <c r="X461" s="1"/>
      <c r="Y461" s="1"/>
      <c r="Z461" s="1"/>
    </row>
    <row r="462">
      <c r="A462" s="1"/>
      <c r="B462" s="1"/>
      <c r="C462" s="48" t="str">
        <f>IFERROR(__xludf.DUMMYFUNCTION("""COMPUTED_VALUE"""),"FILTRO DE PAPEL PARA CENTRAIS INTERVAC MODELOS - RM, CS E H (Kit com 5 filtros Centrais Intervac)")</f>
        <v>FILTRO DE PAPEL PARA CENTRAIS INTERVAC MODELOS - RM, CS E H (Kit com 5 filtros Centrais Intervac)</v>
      </c>
      <c r="D462" s="61" t="str">
        <f>IFERROR(__xludf.DUMMYFUNCTION("IMPORTRANGE(""https://docs.google.com/spreadsheets/d/1GMOWcUb26jVTosRt5EqlFYb5WfKNVSDMwfDXmDOMGao/edit?gid=410167636#gid=410167636"",""beam!f1"")"),"BEAM")</f>
        <v>BEAM</v>
      </c>
      <c r="E462" s="50">
        <v>0.0</v>
      </c>
      <c r="F462" s="52">
        <f>IFERROR(__xludf.DUMMYFUNCTION("""COMPUTED_VALUE"""),400.0)</f>
        <v>400</v>
      </c>
      <c r="G462" s="52">
        <f t="shared" si="12"/>
        <v>400</v>
      </c>
      <c r="H462" s="52">
        <f t="shared" si="10"/>
        <v>680</v>
      </c>
      <c r="I462" s="53">
        <f t="shared" si="13"/>
        <v>0.7</v>
      </c>
      <c r="J462" s="12"/>
      <c r="K462" s="1"/>
      <c r="L462" s="1"/>
      <c r="M462" s="1"/>
      <c r="N462" s="1"/>
      <c r="O462" s="1"/>
      <c r="P462" s="1"/>
      <c r="Q462" s="1"/>
      <c r="R462" s="1"/>
      <c r="S462" s="1"/>
      <c r="T462" s="1"/>
      <c r="U462" s="1"/>
      <c r="V462" s="1"/>
      <c r="W462" s="1"/>
      <c r="X462" s="1"/>
      <c r="Y462" s="1"/>
      <c r="Z462" s="1"/>
    </row>
    <row r="463">
      <c r="A463" s="1"/>
      <c r="B463" s="1"/>
      <c r="C463" s="54" t="str">
        <f>IFERROR(__xludf.DUMMYFUNCTION("""COMPUTED_VALUE"""),"FILTRO DE PAPEL PARA CENTRAIS INTERVAC MODELOS - RMD, CSRM (Kit com 5 filtros Centrais Intervac)")</f>
        <v>FILTRO DE PAPEL PARA CENTRAIS INTERVAC MODELOS - RMD, CSRM (Kit com 5 filtros Centrais Intervac)</v>
      </c>
      <c r="D463" s="64" t="str">
        <f>IFERROR(__xludf.DUMMYFUNCTION("IMPORTRANGE(""https://docs.google.com/spreadsheets/d/1GMOWcUb26jVTosRt5EqlFYb5WfKNVSDMwfDXmDOMGao/edit?gid=410167636#gid=410167636"",""beam!f1"")"),"BEAM")</f>
        <v>BEAM</v>
      </c>
      <c r="E463" s="56">
        <v>0.0</v>
      </c>
      <c r="F463" s="58">
        <f>IFERROR(__xludf.DUMMYFUNCTION("""COMPUTED_VALUE"""),445.0)</f>
        <v>445</v>
      </c>
      <c r="G463" s="58">
        <f t="shared" si="12"/>
        <v>445</v>
      </c>
      <c r="H463" s="58">
        <f t="shared" si="10"/>
        <v>756.5</v>
      </c>
      <c r="I463" s="59">
        <f t="shared" si="13"/>
        <v>0.7</v>
      </c>
      <c r="J463" s="12"/>
      <c r="K463" s="1"/>
      <c r="L463" s="1"/>
      <c r="M463" s="1"/>
      <c r="N463" s="1"/>
      <c r="O463" s="1"/>
      <c r="P463" s="1"/>
      <c r="Q463" s="1"/>
      <c r="R463" s="1"/>
      <c r="S463" s="1"/>
      <c r="T463" s="1"/>
      <c r="U463" s="1"/>
      <c r="V463" s="1"/>
      <c r="W463" s="1"/>
      <c r="X463" s="1"/>
      <c r="Y463" s="1"/>
      <c r="Z463" s="1"/>
    </row>
    <row r="464">
      <c r="A464" s="1"/>
      <c r="B464" s="1"/>
      <c r="C464" s="48" t="str">
        <f>IFERROR(__xludf.DUMMYFUNCTION("""COMPUTED_VALUE"""),"FILTRO DE PAPEL PARA CENTRAL INTERVAC MODELO - IVD660 (Kit com 3 filtros Centrais Intervac)")</f>
        <v>FILTRO DE PAPEL PARA CENTRAL INTERVAC MODELO - IVD660 (Kit com 3 filtros Centrais Intervac)</v>
      </c>
      <c r="D464" s="61" t="str">
        <f>IFERROR(__xludf.DUMMYFUNCTION("IMPORTRANGE(""https://docs.google.com/spreadsheets/d/1GMOWcUb26jVTosRt5EqlFYb5WfKNVSDMwfDXmDOMGao/edit?gid=410167636#gid=410167636"",""beam!f1"")"),"BEAM")</f>
        <v>BEAM</v>
      </c>
      <c r="E464" s="50">
        <v>0.0</v>
      </c>
      <c r="F464" s="52">
        <f>IFERROR(__xludf.DUMMYFUNCTION("""COMPUTED_VALUE"""),406.0)</f>
        <v>406</v>
      </c>
      <c r="G464" s="52">
        <f t="shared" si="12"/>
        <v>406</v>
      </c>
      <c r="H464" s="52">
        <f t="shared" si="10"/>
        <v>690.2</v>
      </c>
      <c r="I464" s="53">
        <f t="shared" si="13"/>
        <v>0.7</v>
      </c>
      <c r="J464" s="12"/>
      <c r="K464" s="1"/>
      <c r="L464" s="1"/>
      <c r="M464" s="1"/>
      <c r="N464" s="1"/>
      <c r="O464" s="1"/>
      <c r="P464" s="1"/>
      <c r="Q464" s="1"/>
      <c r="R464" s="1"/>
      <c r="S464" s="1"/>
      <c r="T464" s="1"/>
      <c r="U464" s="1"/>
      <c r="V464" s="1"/>
      <c r="W464" s="1"/>
      <c r="X464" s="1"/>
      <c r="Y464" s="1"/>
      <c r="Z464" s="1"/>
    </row>
    <row r="465">
      <c r="A465" s="1"/>
      <c r="B465" s="1"/>
      <c r="C465" s="54" t="str">
        <f>IFERROR(__xludf.DUMMYFUNCTION("""COMPUTED_VALUE"""),"FILTRO DE PAPEL PARA CENTRAIS MODELOS - 166, 167, 168, 169 (kit com 3 filtros)")</f>
        <v>FILTRO DE PAPEL PARA CENTRAIS MODELOS - 166, 167, 168, 169 (kit com 3 filtros)</v>
      </c>
      <c r="D465" s="64" t="str">
        <f>IFERROR(__xludf.DUMMYFUNCTION("IMPORTRANGE(""https://docs.google.com/spreadsheets/d/1GMOWcUb26jVTosRt5EqlFYb5WfKNVSDMwfDXmDOMGao/edit?gid=410167636#gid=410167636"",""beam!f1"")"),"BEAM")</f>
        <v>BEAM</v>
      </c>
      <c r="E465" s="56">
        <v>0.0</v>
      </c>
      <c r="F465" s="58">
        <f>IFERROR(__xludf.DUMMYFUNCTION("""COMPUTED_VALUE"""),265.0)</f>
        <v>265</v>
      </c>
      <c r="G465" s="58">
        <f t="shared" si="12"/>
        <v>265</v>
      </c>
      <c r="H465" s="58">
        <f t="shared" si="10"/>
        <v>450.5</v>
      </c>
      <c r="I465" s="59">
        <f t="shared" si="13"/>
        <v>0.7</v>
      </c>
      <c r="J465" s="12"/>
      <c r="K465" s="1"/>
      <c r="L465" s="1"/>
      <c r="M465" s="1"/>
      <c r="N465" s="1"/>
      <c r="O465" s="1"/>
      <c r="P465" s="1"/>
      <c r="Q465" s="1"/>
      <c r="R465" s="1"/>
      <c r="S465" s="1"/>
      <c r="T465" s="1"/>
      <c r="U465" s="1"/>
      <c r="V465" s="1"/>
      <c r="W465" s="1"/>
      <c r="X465" s="1"/>
      <c r="Y465" s="1"/>
      <c r="Z465" s="1"/>
    </row>
    <row r="466">
      <c r="A466" s="1"/>
      <c r="B466" s="1"/>
      <c r="C466" s="48" t="str">
        <f>IFERROR(__xludf.DUMMYFUNCTION("""COMPUTED_VALUE"""),"FILTRO TIPO DISCO PARA CENTRAIS - PROTEÇÃO MOTOR MODELOS - BM 165, BU165, BU160")</f>
        <v>FILTRO TIPO DISCO PARA CENTRAIS - PROTEÇÃO MOTOR MODELOS - BM 165, BU165, BU160</v>
      </c>
      <c r="D466" s="61" t="str">
        <f>IFERROR(__xludf.DUMMYFUNCTION("IMPORTRANGE(""https://docs.google.com/spreadsheets/d/1GMOWcUb26jVTosRt5EqlFYb5WfKNVSDMwfDXmDOMGao/edit?gid=410167636#gid=410167636"",""beam!f1"")"),"BEAM")</f>
        <v>BEAM</v>
      </c>
      <c r="E466" s="50">
        <v>0.0</v>
      </c>
      <c r="F466" s="52">
        <f>IFERROR(__xludf.DUMMYFUNCTION("""COMPUTED_VALUE"""),472.0)</f>
        <v>472</v>
      </c>
      <c r="G466" s="52">
        <f t="shared" si="12"/>
        <v>472</v>
      </c>
      <c r="H466" s="52">
        <f t="shared" si="10"/>
        <v>802.4</v>
      </c>
      <c r="I466" s="53">
        <f t="shared" si="13"/>
        <v>0.7</v>
      </c>
      <c r="J466" s="12"/>
      <c r="K466" s="1"/>
      <c r="L466" s="1"/>
      <c r="M466" s="1"/>
      <c r="N466" s="1"/>
      <c r="O466" s="1"/>
      <c r="P466" s="1"/>
      <c r="Q466" s="1"/>
      <c r="R466" s="1"/>
      <c r="S466" s="1"/>
      <c r="T466" s="1"/>
      <c r="U466" s="1"/>
      <c r="V466" s="1"/>
      <c r="W466" s="1"/>
      <c r="X466" s="1"/>
      <c r="Y466" s="1"/>
      <c r="Z466" s="1"/>
    </row>
    <row r="467">
      <c r="A467" s="1"/>
      <c r="B467" s="1"/>
      <c r="C467" s="54" t="str">
        <f>IFERROR(__xludf.DUMMYFUNCTION("""COMPUTED_VALUE"""),"FILTRO DE PAPEL PARA CENTRAL modelo CV140 (Kit com 3 filtros)")</f>
        <v>FILTRO DE PAPEL PARA CENTRAL modelo CV140 (Kit com 3 filtros)</v>
      </c>
      <c r="D467" s="64" t="str">
        <f>IFERROR(__xludf.DUMMYFUNCTION("IMPORTRANGE(""https://docs.google.com/spreadsheets/d/1GMOWcUb26jVTosRt5EqlFYb5WfKNVSDMwfDXmDOMGao/edit?gid=410167636#gid=410167636"",""beam!f1"")"),"BEAM")</f>
        <v>BEAM</v>
      </c>
      <c r="E467" s="56">
        <v>0.0</v>
      </c>
      <c r="F467" s="58">
        <f>IFERROR(__xludf.DUMMYFUNCTION("""COMPUTED_VALUE"""),168.0)</f>
        <v>168</v>
      </c>
      <c r="G467" s="58">
        <f t="shared" si="12"/>
        <v>168</v>
      </c>
      <c r="H467" s="58">
        <f t="shared" si="10"/>
        <v>285.6</v>
      </c>
      <c r="I467" s="59">
        <f t="shared" si="13"/>
        <v>0.7</v>
      </c>
      <c r="J467" s="12"/>
      <c r="K467" s="1"/>
      <c r="L467" s="1"/>
      <c r="M467" s="1"/>
      <c r="N467" s="1"/>
      <c r="O467" s="1"/>
      <c r="P467" s="1"/>
      <c r="Q467" s="1"/>
      <c r="R467" s="1"/>
      <c r="S467" s="1"/>
      <c r="T467" s="1"/>
      <c r="U467" s="1"/>
      <c r="V467" s="1"/>
      <c r="W467" s="1"/>
      <c r="X467" s="1"/>
      <c r="Y467" s="1"/>
      <c r="Z467" s="1"/>
    </row>
    <row r="468">
      <c r="A468" s="1"/>
      <c r="B468" s="1"/>
      <c r="C468" s="48" t="str">
        <f>IFERROR(__xludf.DUMMYFUNCTION("""COMPUTED_VALUE"""),"FILTRO DE PAPEL PARA CENTRAIS MODELOS - 160, 165, BM262, BM265, BM282 (Kit com 3 filtros)")</f>
        <v>FILTRO DE PAPEL PARA CENTRAIS MODELOS - 160, 165, BM262, BM265, BM282 (Kit com 3 filtros)</v>
      </c>
      <c r="D468" s="61" t="str">
        <f>IFERROR(__xludf.DUMMYFUNCTION("IMPORTRANGE(""https://docs.google.com/spreadsheets/d/1GMOWcUb26jVTosRt5EqlFYb5WfKNVSDMwfDXmDOMGao/edit?gid=410167636#gid=410167636"",""beam!f1"")"),"BEAM")</f>
        <v>BEAM</v>
      </c>
      <c r="E468" s="50">
        <v>0.0</v>
      </c>
      <c r="F468" s="52">
        <f>IFERROR(__xludf.DUMMYFUNCTION("""COMPUTED_VALUE"""),417.0)</f>
        <v>417</v>
      </c>
      <c r="G468" s="52">
        <f t="shared" si="12"/>
        <v>417</v>
      </c>
      <c r="H468" s="52">
        <f t="shared" si="10"/>
        <v>708.9</v>
      </c>
      <c r="I468" s="53">
        <f t="shared" si="13"/>
        <v>0.7</v>
      </c>
      <c r="J468" s="12"/>
      <c r="K468" s="1"/>
      <c r="L468" s="1"/>
      <c r="M468" s="1"/>
      <c r="N468" s="1"/>
      <c r="O468" s="1"/>
      <c r="P468" s="1"/>
      <c r="Q468" s="1"/>
      <c r="R468" s="1"/>
      <c r="S468" s="1"/>
      <c r="T468" s="1"/>
      <c r="U468" s="1"/>
      <c r="V468" s="1"/>
      <c r="W468" s="1"/>
      <c r="X468" s="1"/>
      <c r="Y468" s="1"/>
      <c r="Z468" s="1"/>
    </row>
    <row r="469">
      <c r="A469" s="1"/>
      <c r="B469" s="1"/>
      <c r="C469" s="54" t="str">
        <f>IFERROR(__xludf.DUMMYFUNCTION("""COMPUTED_VALUE"""),"FILTRO DE PAPEL PARA CENTRAL MODELO - BM145 (Kit com 3 filtros)")</f>
        <v>FILTRO DE PAPEL PARA CENTRAL MODELO - BM145 (Kit com 3 filtros)</v>
      </c>
      <c r="D469" s="64" t="str">
        <f>IFERROR(__xludf.DUMMYFUNCTION("IMPORTRANGE(""https://docs.google.com/spreadsheets/d/1GMOWcUb26jVTosRt5EqlFYb5WfKNVSDMwfDXmDOMGao/edit?gid=410167636#gid=410167636"",""beam!f1"")"),"BEAM")</f>
        <v>BEAM</v>
      </c>
      <c r="E469" s="56">
        <v>0.0</v>
      </c>
      <c r="F469" s="58">
        <f>IFERROR(__xludf.DUMMYFUNCTION("""COMPUTED_VALUE"""),327.0)</f>
        <v>327</v>
      </c>
      <c r="G469" s="58">
        <f t="shared" si="12"/>
        <v>327</v>
      </c>
      <c r="H469" s="58">
        <f t="shared" si="10"/>
        <v>555.9</v>
      </c>
      <c r="I469" s="59">
        <f t="shared" si="13"/>
        <v>0.7</v>
      </c>
      <c r="J469" s="12"/>
      <c r="K469" s="1"/>
      <c r="L469" s="1"/>
      <c r="M469" s="1"/>
      <c r="N469" s="1"/>
      <c r="O469" s="1"/>
      <c r="P469" s="1"/>
      <c r="Q469" s="1"/>
      <c r="R469" s="1"/>
      <c r="S469" s="1"/>
      <c r="T469" s="1"/>
      <c r="U469" s="1"/>
      <c r="V469" s="1"/>
      <c r="W469" s="1"/>
      <c r="X469" s="1"/>
      <c r="Y469" s="1"/>
      <c r="Z469" s="1"/>
    </row>
    <row r="470">
      <c r="A470" s="1"/>
      <c r="B470" s="1"/>
      <c r="C470" s="48" t="str">
        <f>IFERROR(__xludf.DUMMYFUNCTION("""COMPUTED_VALUE"""),"FILTRO DE TECIDO PARA CENTRAIS MODELOS - 195, SC375, SC385, 350, 355, 2775, 2750")</f>
        <v>FILTRO DE TECIDO PARA CENTRAIS MODELOS - 195, SC375, SC385, 350, 355, 2775, 2750</v>
      </c>
      <c r="D470" s="61" t="str">
        <f>IFERROR(__xludf.DUMMYFUNCTION("IMPORTRANGE(""https://docs.google.com/spreadsheets/d/1GMOWcUb26jVTosRt5EqlFYb5WfKNVSDMwfDXmDOMGao/edit?gid=410167636#gid=410167636"",""beam!f1"")"),"BEAM")</f>
        <v>BEAM</v>
      </c>
      <c r="E470" s="50">
        <v>0.0</v>
      </c>
      <c r="F470" s="52">
        <f>IFERROR(__xludf.DUMMYFUNCTION("""COMPUTED_VALUE"""),1098.0)</f>
        <v>1098</v>
      </c>
      <c r="G470" s="52">
        <f t="shared" si="12"/>
        <v>1098</v>
      </c>
      <c r="H470" s="52">
        <f t="shared" si="10"/>
        <v>1866.6</v>
      </c>
      <c r="I470" s="53">
        <f t="shared" si="13"/>
        <v>0.7</v>
      </c>
      <c r="J470" s="12"/>
      <c r="K470" s="1"/>
      <c r="L470" s="1"/>
      <c r="M470" s="1"/>
      <c r="N470" s="1"/>
      <c r="O470" s="1"/>
      <c r="P470" s="1"/>
      <c r="Q470" s="1"/>
      <c r="R470" s="1"/>
      <c r="S470" s="1"/>
      <c r="T470" s="1"/>
      <c r="U470" s="1"/>
      <c r="V470" s="1"/>
      <c r="W470" s="1"/>
      <c r="X470" s="1"/>
      <c r="Y470" s="1"/>
      <c r="Z470" s="1"/>
    </row>
    <row r="471">
      <c r="A471" s="1"/>
      <c r="B471" s="1"/>
      <c r="C471" s="54" t="str">
        <f>IFERROR(__xludf.DUMMYFUNCTION("""COMPUTED_VALUE"""),"FILTRO DE TECIDO PARA CENTRAIS MODELOS - BM285, SC325, SC335, 2725, 185, 2087")</f>
        <v>FILTRO DE TECIDO PARA CENTRAIS MODELOS - BM285, SC325, SC335, 2725, 185, 2087</v>
      </c>
      <c r="D471" s="64" t="str">
        <f>IFERROR(__xludf.DUMMYFUNCTION("IMPORTRANGE(""https://docs.google.com/spreadsheets/d/1GMOWcUb26jVTosRt5EqlFYb5WfKNVSDMwfDXmDOMGao/edit?gid=410167636#gid=410167636"",""beam!f1"")"),"BEAM")</f>
        <v>BEAM</v>
      </c>
      <c r="E471" s="56">
        <v>0.0</v>
      </c>
      <c r="F471" s="58">
        <f>IFERROR(__xludf.DUMMYFUNCTION("""COMPUTED_VALUE"""),1068.0)</f>
        <v>1068</v>
      </c>
      <c r="G471" s="58">
        <f t="shared" si="12"/>
        <v>1068</v>
      </c>
      <c r="H471" s="58">
        <f t="shared" si="10"/>
        <v>1815.6</v>
      </c>
      <c r="I471" s="59">
        <f t="shared" si="13"/>
        <v>0.7</v>
      </c>
      <c r="J471" s="12"/>
      <c r="K471" s="1"/>
      <c r="L471" s="1"/>
      <c r="M471" s="1"/>
      <c r="N471" s="1"/>
      <c r="O471" s="1"/>
      <c r="P471" s="1"/>
      <c r="Q471" s="1"/>
      <c r="R471" s="1"/>
      <c r="S471" s="1"/>
      <c r="T471" s="1"/>
      <c r="U471" s="1"/>
      <c r="V471" s="1"/>
      <c r="W471" s="1"/>
      <c r="X471" s="1"/>
      <c r="Y471" s="1"/>
      <c r="Z471" s="1"/>
    </row>
    <row r="472">
      <c r="A472" s="1"/>
      <c r="B472" s="1"/>
      <c r="C472" s="48" t="str">
        <f>IFERROR(__xludf.DUMMYFUNCTION("""COMPUTED_VALUE"""),"FILTRO DE TECIDO PARA CENTRAIS MODELOS - 2875, SC398, SC3500, SC 395, 2500, 2200")</f>
        <v>FILTRO DE TECIDO PARA CENTRAIS MODELOS - 2875, SC398, SC3500, SC 395, 2500, 2200</v>
      </c>
      <c r="D472" s="61" t="str">
        <f>IFERROR(__xludf.DUMMYFUNCTION("IMPORTRANGE(""https://docs.google.com/spreadsheets/d/1GMOWcUb26jVTosRt5EqlFYb5WfKNVSDMwfDXmDOMGao/edit?gid=410167636#gid=410167636"",""beam!f1"")"),"BEAM")</f>
        <v>BEAM</v>
      </c>
      <c r="E472" s="50">
        <v>0.0</v>
      </c>
      <c r="F472" s="52">
        <f>IFERROR(__xludf.DUMMYFUNCTION("""COMPUTED_VALUE"""),1214.0)</f>
        <v>1214</v>
      </c>
      <c r="G472" s="52">
        <f t="shared" si="12"/>
        <v>1214</v>
      </c>
      <c r="H472" s="52">
        <f t="shared" si="10"/>
        <v>2063.8</v>
      </c>
      <c r="I472" s="53">
        <f t="shared" si="13"/>
        <v>0.7</v>
      </c>
      <c r="J472" s="12"/>
      <c r="K472" s="1"/>
      <c r="L472" s="1"/>
      <c r="M472" s="1"/>
      <c r="N472" s="1"/>
      <c r="O472" s="1"/>
      <c r="P472" s="1"/>
      <c r="Q472" s="1"/>
      <c r="R472" s="1"/>
      <c r="S472" s="1"/>
      <c r="T472" s="1"/>
      <c r="U472" s="1"/>
      <c r="V472" s="1"/>
      <c r="W472" s="1"/>
      <c r="X472" s="1"/>
      <c r="Y472" s="1"/>
      <c r="Z472" s="1"/>
    </row>
    <row r="473">
      <c r="A473" s="1"/>
      <c r="B473" s="1"/>
      <c r="C473" s="54" t="str">
        <f>IFERROR(__xludf.DUMMYFUNCTION("""COMPUTED_VALUE"""),"FILTRO DE TECIDO PARA CENTRAIS MODELOS - CV199, CV800, 2100")</f>
        <v>FILTRO DE TECIDO PARA CENTRAIS MODELOS - CV199, CV800, 2100</v>
      </c>
      <c r="D473" s="64" t="str">
        <f>IFERROR(__xludf.DUMMYFUNCTION("IMPORTRANGE(""https://docs.google.com/spreadsheets/d/1GMOWcUb26jVTosRt5EqlFYb5WfKNVSDMwfDXmDOMGao/edit?gid=410167636#gid=410167636"",""beam!f1"")"),"BEAM")</f>
        <v>BEAM</v>
      </c>
      <c r="E473" s="56">
        <v>0.0</v>
      </c>
      <c r="F473" s="58">
        <f>IFERROR(__xludf.DUMMYFUNCTION("""COMPUTED_VALUE"""),1121.0)</f>
        <v>1121</v>
      </c>
      <c r="G473" s="58">
        <f t="shared" si="12"/>
        <v>1121</v>
      </c>
      <c r="H473" s="58">
        <f t="shared" si="10"/>
        <v>1905.7</v>
      </c>
      <c r="I473" s="59">
        <f t="shared" si="13"/>
        <v>0.7</v>
      </c>
      <c r="J473" s="12"/>
      <c r="K473" s="1"/>
      <c r="L473" s="1"/>
      <c r="M473" s="1"/>
      <c r="N473" s="1"/>
      <c r="O473" s="1"/>
      <c r="P473" s="1"/>
      <c r="Q473" s="1"/>
      <c r="R473" s="1"/>
      <c r="S473" s="1"/>
      <c r="T473" s="1"/>
      <c r="U473" s="1"/>
      <c r="V473" s="1"/>
      <c r="W473" s="1"/>
      <c r="X473" s="1"/>
      <c r="Y473" s="1"/>
      <c r="Z473" s="1"/>
    </row>
    <row r="474">
      <c r="A474" s="1"/>
      <c r="B474" s="1"/>
      <c r="C474" s="48" t="str">
        <f>IFERROR(__xludf.DUMMYFUNCTION("""COMPUTED_VALUE"""),"FILTRO DE TECIDO PARA CENTRAIS MODELOS - BM185, BU180, BU185, 2087, 2089A")</f>
        <v>FILTRO DE TECIDO PARA CENTRAIS MODELOS - BM185, BU180, BU185, 2087, 2089A</v>
      </c>
      <c r="D474" s="61" t="str">
        <f>IFERROR(__xludf.DUMMYFUNCTION("IMPORTRANGE(""https://docs.google.com/spreadsheets/d/1GMOWcUb26jVTosRt5EqlFYb5WfKNVSDMwfDXmDOMGao/edit?gid=410167636#gid=410167636"",""beam!f1"")"),"BEAM")</f>
        <v>BEAM</v>
      </c>
      <c r="E474" s="50">
        <v>0.0</v>
      </c>
      <c r="F474" s="52">
        <f>IFERROR(__xludf.DUMMYFUNCTION("""COMPUTED_VALUE"""),1056.0)</f>
        <v>1056</v>
      </c>
      <c r="G474" s="52">
        <f t="shared" si="12"/>
        <v>1056</v>
      </c>
      <c r="H474" s="52">
        <f t="shared" si="10"/>
        <v>1795.2</v>
      </c>
      <c r="I474" s="53">
        <f t="shared" si="13"/>
        <v>0.7</v>
      </c>
      <c r="J474" s="12"/>
      <c r="K474" s="1"/>
      <c r="L474" s="1"/>
      <c r="M474" s="1"/>
      <c r="N474" s="1"/>
      <c r="O474" s="1"/>
      <c r="P474" s="1"/>
      <c r="Q474" s="1"/>
      <c r="R474" s="1"/>
      <c r="S474" s="1"/>
      <c r="T474" s="1"/>
      <c r="U474" s="1"/>
      <c r="V474" s="1"/>
      <c r="W474" s="1"/>
      <c r="X474" s="1"/>
      <c r="Y474" s="1"/>
      <c r="Z474" s="1"/>
    </row>
    <row r="475">
      <c r="A475" s="1"/>
      <c r="B475" s="1"/>
      <c r="C475" s="54" t="str">
        <f>IFERROR(__xludf.DUMMYFUNCTION("""COMPUTED_VALUE"""),"FILTRO DE TECIDO CENTRAIS MODELOS - 2250, 297, 294")</f>
        <v>FILTRO DE TECIDO CENTRAIS MODELOS - 2250, 297, 294</v>
      </c>
      <c r="D475" s="64" t="str">
        <f>IFERROR(__xludf.DUMMYFUNCTION("IMPORTRANGE(""https://docs.google.com/spreadsheets/d/1GMOWcUb26jVTosRt5EqlFYb5WfKNVSDMwfDXmDOMGao/edit?gid=410167636#gid=410167636"",""beam!f1"")"),"BEAM")</f>
        <v>BEAM</v>
      </c>
      <c r="E475" s="56">
        <v>0.0</v>
      </c>
      <c r="F475" s="58">
        <f>IFERROR(__xludf.DUMMYFUNCTION("""COMPUTED_VALUE"""),1214.0)</f>
        <v>1214</v>
      </c>
      <c r="G475" s="58">
        <f t="shared" si="12"/>
        <v>1214</v>
      </c>
      <c r="H475" s="58">
        <f t="shared" si="10"/>
        <v>2063.8</v>
      </c>
      <c r="I475" s="59">
        <f t="shared" si="13"/>
        <v>0.7</v>
      </c>
      <c r="J475" s="12"/>
      <c r="K475" s="1"/>
      <c r="L475" s="1"/>
      <c r="M475" s="1"/>
      <c r="N475" s="1"/>
      <c r="O475" s="1"/>
      <c r="P475" s="1"/>
      <c r="Q475" s="1"/>
      <c r="R475" s="1"/>
      <c r="S475" s="1"/>
      <c r="T475" s="1"/>
      <c r="U475" s="1"/>
      <c r="V475" s="1"/>
      <c r="W475" s="1"/>
      <c r="X475" s="1"/>
      <c r="Y475" s="1"/>
      <c r="Z475" s="1"/>
    </row>
    <row r="476">
      <c r="A476" s="1"/>
      <c r="B476" s="1"/>
      <c r="C476" s="48" t="str">
        <f>IFERROR(__xludf.DUMMYFUNCTION("""COMPUTED_VALUE"""),"FILTRO DE TECIDO PARA Alliance")</f>
        <v>FILTRO DE TECIDO PARA Alliance</v>
      </c>
      <c r="D476" s="61" t="str">
        <f>IFERROR(__xludf.DUMMYFUNCTION("IMPORTRANGE(""https://docs.google.com/spreadsheets/d/1GMOWcUb26jVTosRt5EqlFYb5WfKNVSDMwfDXmDOMGao/edit?gid=410167636#gid=410167636"",""beam!f1"")"),"BEAM")</f>
        <v>BEAM</v>
      </c>
      <c r="E476" s="50">
        <v>0.0</v>
      </c>
      <c r="F476" s="52">
        <f>IFERROR(__xludf.DUMMYFUNCTION("""COMPUTED_VALUE"""),1322.0)</f>
        <v>1322</v>
      </c>
      <c r="G476" s="52">
        <f t="shared" si="12"/>
        <v>1322</v>
      </c>
      <c r="H476" s="52">
        <f t="shared" si="10"/>
        <v>2247.4</v>
      </c>
      <c r="I476" s="53">
        <f t="shared" si="13"/>
        <v>0.7</v>
      </c>
      <c r="J476" s="12"/>
      <c r="K476" s="1"/>
      <c r="L476" s="1"/>
      <c r="M476" s="1"/>
      <c r="N476" s="1"/>
      <c r="O476" s="1"/>
      <c r="P476" s="1"/>
      <c r="Q476" s="1"/>
      <c r="R476" s="1"/>
      <c r="S476" s="1"/>
      <c r="T476" s="1"/>
      <c r="U476" s="1"/>
      <c r="V476" s="1"/>
      <c r="W476" s="1"/>
      <c r="X476" s="1"/>
      <c r="Y476" s="1"/>
      <c r="Z476" s="1"/>
    </row>
    <row r="477">
      <c r="A477" s="1"/>
      <c r="B477" s="1"/>
      <c r="C477" s="54" t="str">
        <f>IFERROR(__xludf.DUMMYFUNCTION("""COMPUTED_VALUE"""),"FILTRO PARA SEPARADOR DE DETRITOS HEAVY (detritos ) (SOB CONSULTA)")</f>
        <v>FILTRO PARA SEPARADOR DE DETRITOS HEAVY (detritos ) (SOB CONSULTA)</v>
      </c>
      <c r="D477" s="64" t="str">
        <f>IFERROR(__xludf.DUMMYFUNCTION("IMPORTRANGE(""https://docs.google.com/spreadsheets/d/1GMOWcUb26jVTosRt5EqlFYb5WfKNVSDMwfDXmDOMGao/edit?gid=410167636#gid=410167636"",""beam!f1"")"),"BEAM")</f>
        <v>BEAM</v>
      </c>
      <c r="E477" s="56">
        <v>0.0</v>
      </c>
      <c r="F477" s="58">
        <f>IFERROR(__xludf.DUMMYFUNCTION("""COMPUTED_VALUE"""),326.0)</f>
        <v>326</v>
      </c>
      <c r="G477" s="58">
        <f t="shared" si="12"/>
        <v>326</v>
      </c>
      <c r="H477" s="58">
        <f t="shared" si="10"/>
        <v>554.2</v>
      </c>
      <c r="I477" s="59">
        <f t="shared" si="13"/>
        <v>0.7</v>
      </c>
      <c r="J477" s="12"/>
      <c r="K477" s="1"/>
      <c r="L477" s="1"/>
      <c r="M477" s="1"/>
      <c r="N477" s="1"/>
      <c r="O477" s="1"/>
      <c r="P477" s="1"/>
      <c r="Q477" s="1"/>
      <c r="R477" s="1"/>
      <c r="S477" s="1"/>
      <c r="T477" s="1"/>
      <c r="U477" s="1"/>
      <c r="V477" s="1"/>
      <c r="W477" s="1"/>
      <c r="X477" s="1"/>
      <c r="Y477" s="1"/>
      <c r="Z477" s="1"/>
    </row>
    <row r="478">
      <c r="A478" s="1"/>
      <c r="B478" s="1"/>
      <c r="C478" s="48" t="str">
        <f>IFERROR(__xludf.DUMMYFUNCTION("""COMPUTED_VALUE"""),"FILTRO PARA SEPARADOR DE DETRITOS HEAVY (líquidos) (SOB CONSULTA)")</f>
        <v>FILTRO PARA SEPARADOR DE DETRITOS HEAVY (líquidos) (SOB CONSULTA)</v>
      </c>
      <c r="D478" s="61" t="str">
        <f>IFERROR(__xludf.DUMMYFUNCTION("IMPORTRANGE(""https://docs.google.com/spreadsheets/d/1GMOWcUb26jVTosRt5EqlFYb5WfKNVSDMwfDXmDOMGao/edit?gid=410167636#gid=410167636"",""beam!f1"")"),"BEAM")</f>
        <v>BEAM</v>
      </c>
      <c r="E478" s="50">
        <v>0.0</v>
      </c>
      <c r="F478" s="52">
        <f>IFERROR(__xludf.DUMMYFUNCTION("""COMPUTED_VALUE"""),404.0)</f>
        <v>404</v>
      </c>
      <c r="G478" s="52">
        <f t="shared" si="12"/>
        <v>404</v>
      </c>
      <c r="H478" s="52">
        <f t="shared" si="10"/>
        <v>686.8</v>
      </c>
      <c r="I478" s="53">
        <f t="shared" si="13"/>
        <v>0.7</v>
      </c>
      <c r="J478" s="12"/>
      <c r="K478" s="1"/>
      <c r="L478" s="1"/>
      <c r="M478" s="1"/>
      <c r="N478" s="1"/>
      <c r="O478" s="1"/>
      <c r="P478" s="1"/>
      <c r="Q478" s="1"/>
      <c r="R478" s="1"/>
      <c r="S478" s="1"/>
      <c r="T478" s="1"/>
      <c r="U478" s="1"/>
      <c r="V478" s="1"/>
      <c r="W478" s="1"/>
      <c r="X478" s="1"/>
      <c r="Y478" s="1"/>
      <c r="Z478" s="1"/>
    </row>
    <row r="479">
      <c r="A479" s="1"/>
      <c r="B479" s="1"/>
      <c r="C479" s="54" t="str">
        <f>IFERROR(__xludf.DUMMYFUNCTION("""COMPUTED_VALUE"""),"MEDICAO DE PRESSAO VACUOMETRO - PARA TESTE DE SUCÇÃO NA REDE DE ASPIRAÇÃO")</f>
        <v>MEDICAO DE PRESSAO VACUOMETRO - PARA TESTE DE SUCÇÃO NA REDE DE ASPIRAÇÃO</v>
      </c>
      <c r="D479" s="64" t="str">
        <f>IFERROR(__xludf.DUMMYFUNCTION("IMPORTRANGE(""https://docs.google.com/spreadsheets/d/1GMOWcUb26jVTosRt5EqlFYb5WfKNVSDMwfDXmDOMGao/edit?gid=410167636#gid=410167636"",""beam!f1"")"),"BEAM")</f>
        <v>BEAM</v>
      </c>
      <c r="E479" s="56">
        <v>0.0</v>
      </c>
      <c r="F479" s="58">
        <f>IFERROR(__xludf.DUMMYFUNCTION("""COMPUTED_VALUE"""),1720.0)</f>
        <v>1720</v>
      </c>
      <c r="G479" s="58">
        <f t="shared" si="12"/>
        <v>1720</v>
      </c>
      <c r="H479" s="58">
        <f t="shared" si="10"/>
        <v>2924</v>
      </c>
      <c r="I479" s="59">
        <f t="shared" si="13"/>
        <v>0.7</v>
      </c>
      <c r="J479" s="12"/>
      <c r="K479" s="1"/>
      <c r="L479" s="1"/>
      <c r="M479" s="1"/>
      <c r="N479" s="1"/>
      <c r="O479" s="1"/>
      <c r="P479" s="1"/>
      <c r="Q479" s="1"/>
      <c r="R479" s="1"/>
      <c r="S479" s="1"/>
      <c r="T479" s="1"/>
      <c r="U479" s="1"/>
      <c r="V479" s="1"/>
      <c r="W479" s="1"/>
      <c r="X479" s="1"/>
      <c r="Y479" s="1"/>
      <c r="Z479" s="1"/>
    </row>
    <row r="480">
      <c r="A480" s="1"/>
      <c r="B480" s="1"/>
      <c r="C480" s="48" t="str">
        <f>IFERROR(__xludf.DUMMYFUNCTION("""COMPUTED_VALUE"""),"CHICOTE DE FIO - PARA INTERRUPTOR ON/OFF CENTRAIS LINHA MUNDO E SERENITY")</f>
        <v>CHICOTE DE FIO - PARA INTERRUPTOR ON/OFF CENTRAIS LINHA MUNDO E SERENITY</v>
      </c>
      <c r="D480" s="61" t="str">
        <f>IFERROR(__xludf.DUMMYFUNCTION("IMPORTRANGE(""https://docs.google.com/spreadsheets/d/1GMOWcUb26jVTosRt5EqlFYb5WfKNVSDMwfDXmDOMGao/edit?gid=410167636#gid=410167636"",""beam!f1"")"),"BEAM")</f>
        <v>BEAM</v>
      </c>
      <c r="E480" s="50">
        <v>0.0</v>
      </c>
      <c r="F480" s="52">
        <f>IFERROR(__xludf.DUMMYFUNCTION("""COMPUTED_VALUE"""),145.0)</f>
        <v>145</v>
      </c>
      <c r="G480" s="52">
        <f t="shared" si="12"/>
        <v>145</v>
      </c>
      <c r="H480" s="52">
        <f t="shared" si="10"/>
        <v>246.5</v>
      </c>
      <c r="I480" s="53">
        <f t="shared" si="13"/>
        <v>0.7</v>
      </c>
      <c r="J480" s="12"/>
      <c r="K480" s="1"/>
      <c r="L480" s="1"/>
      <c r="M480" s="1"/>
      <c r="N480" s="1"/>
      <c r="O480" s="1"/>
      <c r="P480" s="1"/>
      <c r="Q480" s="1"/>
      <c r="R480" s="1"/>
      <c r="S480" s="1"/>
      <c r="T480" s="1"/>
      <c r="U480" s="1"/>
      <c r="V480" s="1"/>
      <c r="W480" s="1"/>
      <c r="X480" s="1"/>
      <c r="Y480" s="1"/>
      <c r="Z480" s="1"/>
    </row>
    <row r="481">
      <c r="A481" s="1"/>
      <c r="B481" s="1"/>
      <c r="C481" s="54" t="str">
        <f>IFERROR(__xludf.DUMMYFUNCTION("""COMPUTED_VALUE"""),"INTERRUPTOR ON/OFF CENTRAIS LINHA MUNDO E SERENITY")</f>
        <v>INTERRUPTOR ON/OFF CENTRAIS LINHA MUNDO E SERENITY</v>
      </c>
      <c r="D481" s="64" t="str">
        <f>IFERROR(__xludf.DUMMYFUNCTION("IMPORTRANGE(""https://docs.google.com/spreadsheets/d/1GMOWcUb26jVTosRt5EqlFYb5WfKNVSDMwfDXmDOMGao/edit?gid=410167636#gid=410167636"",""beam!f1"")"),"BEAM")</f>
        <v>BEAM</v>
      </c>
      <c r="E481" s="56">
        <v>0.0</v>
      </c>
      <c r="F481" s="58">
        <f>IFERROR(__xludf.DUMMYFUNCTION("""COMPUTED_VALUE"""),264.0)</f>
        <v>264</v>
      </c>
      <c r="G481" s="58">
        <f t="shared" si="12"/>
        <v>264</v>
      </c>
      <c r="H481" s="58">
        <f t="shared" si="10"/>
        <v>448.8</v>
      </c>
      <c r="I481" s="59">
        <f t="shared" si="13"/>
        <v>0.7</v>
      </c>
      <c r="J481" s="12"/>
      <c r="K481" s="1"/>
      <c r="L481" s="1"/>
      <c r="M481" s="1"/>
      <c r="N481" s="1"/>
      <c r="O481" s="1"/>
      <c r="P481" s="1"/>
      <c r="Q481" s="1"/>
      <c r="R481" s="1"/>
      <c r="S481" s="1"/>
      <c r="T481" s="1"/>
      <c r="U481" s="1"/>
      <c r="V481" s="1"/>
      <c r="W481" s="1"/>
      <c r="X481" s="1"/>
      <c r="Y481" s="1"/>
      <c r="Z481" s="1"/>
    </row>
    <row r="482">
      <c r="A482" s="1"/>
      <c r="B482" s="1"/>
      <c r="C482" s="48" t="str">
        <f>IFERROR(__xludf.DUMMYFUNCTION("""COMPUTED_VALUE"""),"ESPELHO PLACA INTERRUPTOR ON/OFF CENTRAIS LINHA MUNDO E SERENITY")</f>
        <v>ESPELHO PLACA INTERRUPTOR ON/OFF CENTRAIS LINHA MUNDO E SERENITY</v>
      </c>
      <c r="D482" s="61" t="str">
        <f>IFERROR(__xludf.DUMMYFUNCTION("IMPORTRANGE(""https://docs.google.com/spreadsheets/d/1GMOWcUb26jVTosRt5EqlFYb5WfKNVSDMwfDXmDOMGao/edit?gid=410167636#gid=410167636"",""beam!f1"")"),"BEAM")</f>
        <v>BEAM</v>
      </c>
      <c r="E482" s="50">
        <v>0.0</v>
      </c>
      <c r="F482" s="52">
        <f>IFERROR(__xludf.DUMMYFUNCTION("""COMPUTED_VALUE"""),99.0)</f>
        <v>99</v>
      </c>
      <c r="G482" s="52">
        <f t="shared" si="12"/>
        <v>99</v>
      </c>
      <c r="H482" s="52">
        <f t="shared" si="10"/>
        <v>168.3</v>
      </c>
      <c r="I482" s="53">
        <f t="shared" si="13"/>
        <v>0.7</v>
      </c>
      <c r="J482" s="12"/>
      <c r="K482" s="1"/>
      <c r="L482" s="1"/>
      <c r="M482" s="1"/>
      <c r="N482" s="1"/>
      <c r="O482" s="1"/>
      <c r="P482" s="1"/>
      <c r="Q482" s="1"/>
      <c r="R482" s="1"/>
      <c r="S482" s="1"/>
      <c r="T482" s="1"/>
      <c r="U482" s="1"/>
      <c r="V482" s="1"/>
      <c r="W482" s="1"/>
      <c r="X482" s="1"/>
      <c r="Y482" s="1"/>
      <c r="Z482" s="1"/>
    </row>
    <row r="483">
      <c r="A483" s="1"/>
      <c r="B483" s="1"/>
      <c r="C483" s="54" t="str">
        <f>IFERROR(__xludf.DUMMYFUNCTION("""COMPUTED_VALUE"""),"JUNCAO DE VEDAÇÃO DAS CENTRAIS LINHA MUNDO")</f>
        <v>JUNCAO DE VEDAÇÃO DAS CENTRAIS LINHA MUNDO</v>
      </c>
      <c r="D483" s="64" t="str">
        <f>IFERROR(__xludf.DUMMYFUNCTION("IMPORTRANGE(""https://docs.google.com/spreadsheets/d/1GMOWcUb26jVTosRt5EqlFYb5WfKNVSDMwfDXmDOMGao/edit?gid=410167636#gid=410167636"",""beam!f1"")"),"BEAM")</f>
        <v>BEAM</v>
      </c>
      <c r="E483" s="56">
        <v>0.0</v>
      </c>
      <c r="F483" s="58">
        <f>IFERROR(__xludf.DUMMYFUNCTION("""COMPUTED_VALUE"""),207.0)</f>
        <v>207</v>
      </c>
      <c r="G483" s="58">
        <f t="shared" si="12"/>
        <v>207</v>
      </c>
      <c r="H483" s="58">
        <f t="shared" si="10"/>
        <v>351.9</v>
      </c>
      <c r="I483" s="59">
        <f t="shared" si="13"/>
        <v>0.7</v>
      </c>
      <c r="J483" s="12"/>
      <c r="K483" s="1"/>
      <c r="L483" s="1"/>
      <c r="M483" s="1"/>
      <c r="N483" s="1"/>
      <c r="O483" s="1"/>
      <c r="P483" s="1"/>
      <c r="Q483" s="1"/>
      <c r="R483" s="1"/>
      <c r="S483" s="1"/>
      <c r="T483" s="1"/>
      <c r="U483" s="1"/>
      <c r="V483" s="1"/>
      <c r="W483" s="1"/>
      <c r="X483" s="1"/>
      <c r="Y483" s="1"/>
      <c r="Z483" s="1"/>
    </row>
    <row r="484">
      <c r="A484" s="1"/>
      <c r="B484" s="1"/>
      <c r="C484" s="48" t="str">
        <f>IFERROR(__xludf.DUMMYFUNCTION("""COMPUTED_VALUE"""),"ADAPTADOR ENTRADA DE AR CENTRAL LINHAS MUNDO E SERENITY")</f>
        <v>ADAPTADOR ENTRADA DE AR CENTRAL LINHAS MUNDO E SERENITY</v>
      </c>
      <c r="D484" s="61" t="str">
        <f>IFERROR(__xludf.DUMMYFUNCTION("IMPORTRANGE(""https://docs.google.com/spreadsheets/d/1GMOWcUb26jVTosRt5EqlFYb5WfKNVSDMwfDXmDOMGao/edit?gid=410167636#gid=410167636"",""beam!f1"")"),"BEAM")</f>
        <v>BEAM</v>
      </c>
      <c r="E484" s="50">
        <v>0.0</v>
      </c>
      <c r="F484" s="52">
        <f>IFERROR(__xludf.DUMMYFUNCTION("""COMPUTED_VALUE"""),228.0)</f>
        <v>228</v>
      </c>
      <c r="G484" s="52">
        <f t="shared" si="12"/>
        <v>228</v>
      </c>
      <c r="H484" s="52">
        <f t="shared" si="10"/>
        <v>387.6</v>
      </c>
      <c r="I484" s="53">
        <f t="shared" si="13"/>
        <v>0.7</v>
      </c>
      <c r="J484" s="12"/>
      <c r="K484" s="1"/>
      <c r="L484" s="1"/>
      <c r="M484" s="1"/>
      <c r="N484" s="1"/>
      <c r="O484" s="1"/>
      <c r="P484" s="1"/>
      <c r="Q484" s="1"/>
      <c r="R484" s="1"/>
      <c r="S484" s="1"/>
      <c r="T484" s="1"/>
      <c r="U484" s="1"/>
      <c r="V484" s="1"/>
      <c r="W484" s="1"/>
      <c r="X484" s="1"/>
      <c r="Y484" s="1"/>
      <c r="Z484" s="1"/>
    </row>
    <row r="485">
      <c r="A485" s="1"/>
      <c r="B485" s="1"/>
      <c r="C485" s="54" t="str">
        <f>IFERROR(__xludf.DUMMYFUNCTION("""COMPUTED_VALUE"""),"CESTO DE LIXO CENTRAL 2725,277")</f>
        <v>CESTO DE LIXO CENTRAL 2725,277</v>
      </c>
      <c r="D485" s="64" t="str">
        <f>IFERROR(__xludf.DUMMYFUNCTION("IMPORTRANGE(""https://docs.google.com/spreadsheets/d/1GMOWcUb26jVTosRt5EqlFYb5WfKNVSDMwfDXmDOMGao/edit?gid=410167636#gid=410167636"",""beam!f1"")"),"BEAM")</f>
        <v>BEAM</v>
      </c>
      <c r="E485" s="56">
        <v>0.0</v>
      </c>
      <c r="F485" s="58">
        <f>IFERROR(__xludf.DUMMYFUNCTION("""COMPUTED_VALUE"""),1143.0)</f>
        <v>1143</v>
      </c>
      <c r="G485" s="58">
        <f t="shared" si="12"/>
        <v>1143</v>
      </c>
      <c r="H485" s="58">
        <f t="shared" si="10"/>
        <v>1943.1</v>
      </c>
      <c r="I485" s="59">
        <f t="shared" si="13"/>
        <v>0.7</v>
      </c>
      <c r="J485" s="12"/>
      <c r="K485" s="1"/>
      <c r="L485" s="1"/>
      <c r="M485" s="1"/>
      <c r="N485" s="1"/>
      <c r="O485" s="1"/>
      <c r="P485" s="1"/>
      <c r="Q485" s="1"/>
      <c r="R485" s="1"/>
      <c r="S485" s="1"/>
      <c r="T485" s="1"/>
      <c r="U485" s="1"/>
      <c r="V485" s="1"/>
      <c r="W485" s="1"/>
      <c r="X485" s="1"/>
      <c r="Y485" s="1"/>
      <c r="Z485" s="1"/>
    </row>
    <row r="486">
      <c r="A486" s="1"/>
      <c r="B486" s="1"/>
      <c r="C486" s="48" t="str">
        <f>IFERROR(__xludf.DUMMYFUNCTION("""COMPUTED_VALUE"""),"CORPO CILINDRICO CENTRAL DE ASPIRAÇÃO (SOB CONSULTA)")</f>
        <v>CORPO CILINDRICO CENTRAL DE ASPIRAÇÃO (SOB CONSULTA)</v>
      </c>
      <c r="D486" s="61" t="str">
        <f>IFERROR(__xludf.DUMMYFUNCTION("IMPORTRANGE(""https://docs.google.com/spreadsheets/d/1GMOWcUb26jVTosRt5EqlFYb5WfKNVSDMwfDXmDOMGao/edit?gid=410167636#gid=410167636"",""beam!f1"")"),"BEAM")</f>
        <v>BEAM</v>
      </c>
      <c r="E486" s="50">
        <v>0.0</v>
      </c>
      <c r="F486" s="52">
        <f>IFERROR(__xludf.DUMMYFUNCTION("""COMPUTED_VALUE"""),3306.0)</f>
        <v>3306</v>
      </c>
      <c r="G486" s="52">
        <f t="shared" si="12"/>
        <v>3306</v>
      </c>
      <c r="H486" s="52">
        <f t="shared" si="10"/>
        <v>5620.2</v>
      </c>
      <c r="I486" s="53">
        <f t="shared" si="13"/>
        <v>0.7</v>
      </c>
      <c r="J486" s="12"/>
      <c r="K486" s="1"/>
      <c r="L486" s="1"/>
      <c r="M486" s="1"/>
      <c r="N486" s="1"/>
      <c r="O486" s="1"/>
      <c r="P486" s="1"/>
      <c r="Q486" s="1"/>
      <c r="R486" s="1"/>
      <c r="S486" s="1"/>
      <c r="T486" s="1"/>
      <c r="U486" s="1"/>
      <c r="V486" s="1"/>
      <c r="W486" s="1"/>
      <c r="X486" s="1"/>
      <c r="Y486" s="1"/>
      <c r="Z486" s="1"/>
    </row>
    <row r="487">
      <c r="A487" s="1"/>
      <c r="B487" s="1"/>
      <c r="C487" s="54" t="str">
        <f>IFERROR(__xludf.DUMMYFUNCTION("""COMPUTED_VALUE"""),"TELA DE PROTECAO PARA MOTOR 4 - 3/4''")</f>
        <v>TELA DE PROTECAO PARA MOTOR 4 - 3/4''</v>
      </c>
      <c r="D487" s="64" t="str">
        <f>IFERROR(__xludf.DUMMYFUNCTION("IMPORTRANGE(""https://docs.google.com/spreadsheets/d/1GMOWcUb26jVTosRt5EqlFYb5WfKNVSDMwfDXmDOMGao/edit?gid=410167636#gid=410167636"",""beam!f1"")"),"BEAM")</f>
        <v>BEAM</v>
      </c>
      <c r="E487" s="56">
        <v>0.0</v>
      </c>
      <c r="F487" s="58">
        <f>IFERROR(__xludf.DUMMYFUNCTION("""COMPUTED_VALUE"""),145.0)</f>
        <v>145</v>
      </c>
      <c r="G487" s="58">
        <f t="shared" si="12"/>
        <v>145</v>
      </c>
      <c r="H487" s="58">
        <f t="shared" si="10"/>
        <v>246.5</v>
      </c>
      <c r="I487" s="59">
        <f t="shared" si="13"/>
        <v>0.7</v>
      </c>
      <c r="J487" s="12"/>
      <c r="K487" s="1"/>
      <c r="L487" s="1"/>
      <c r="M487" s="1"/>
      <c r="N487" s="1"/>
      <c r="O487" s="1"/>
      <c r="P487" s="1"/>
      <c r="Q487" s="1"/>
      <c r="R487" s="1"/>
      <c r="S487" s="1"/>
      <c r="T487" s="1"/>
      <c r="U487" s="1"/>
      <c r="V487" s="1"/>
      <c r="W487" s="1"/>
      <c r="X487" s="1"/>
      <c r="Y487" s="1"/>
      <c r="Z487" s="1"/>
    </row>
    <row r="488">
      <c r="A488" s="1"/>
      <c r="B488" s="1"/>
      <c r="C488" s="48" t="str">
        <f>IFERROR(__xludf.DUMMYFUNCTION("""COMPUTED_VALUE"""),"TELA DE PROTECAOPARA MOTOR 5-13")</f>
        <v>TELA DE PROTECAOPARA MOTOR 5-13</v>
      </c>
      <c r="D488" s="61" t="str">
        <f>IFERROR(__xludf.DUMMYFUNCTION("IMPORTRANGE(""https://docs.google.com/spreadsheets/d/1GMOWcUb26jVTosRt5EqlFYb5WfKNVSDMwfDXmDOMGao/edit?gid=410167636#gid=410167636"",""beam!f1"")"),"BEAM")</f>
        <v>BEAM</v>
      </c>
      <c r="E488" s="50">
        <v>0.0</v>
      </c>
      <c r="F488" s="52">
        <f>IFERROR(__xludf.DUMMYFUNCTION("""COMPUTED_VALUE"""),145.0)</f>
        <v>145</v>
      </c>
      <c r="G488" s="52">
        <f t="shared" si="12"/>
        <v>145</v>
      </c>
      <c r="H488" s="52">
        <f t="shared" si="10"/>
        <v>246.5</v>
      </c>
      <c r="I488" s="53">
        <f t="shared" si="13"/>
        <v>0.7</v>
      </c>
      <c r="J488" s="12"/>
      <c r="K488" s="1"/>
      <c r="L488" s="1"/>
      <c r="M488" s="1"/>
      <c r="N488" s="1"/>
      <c r="O488" s="1"/>
      <c r="P488" s="1"/>
      <c r="Q488" s="1"/>
      <c r="R488" s="1"/>
      <c r="S488" s="1"/>
      <c r="T488" s="1"/>
      <c r="U488" s="1"/>
      <c r="V488" s="1"/>
      <c r="W488" s="1"/>
      <c r="X488" s="1"/>
      <c r="Y488" s="1"/>
      <c r="Z488" s="1"/>
    </row>
    <row r="489">
      <c r="A489" s="1"/>
      <c r="B489" s="1"/>
      <c r="C489" s="54" t="str">
        <f>IFERROR(__xludf.DUMMYFUNCTION("""COMPUTED_VALUE"""),"BORRACHA VEDACAO PARA MOTOR LINHA MUNDO")</f>
        <v>BORRACHA VEDACAO PARA MOTOR LINHA MUNDO</v>
      </c>
      <c r="D489" s="64" t="str">
        <f>IFERROR(__xludf.DUMMYFUNCTION("IMPORTRANGE(""https://docs.google.com/spreadsheets/d/1GMOWcUb26jVTosRt5EqlFYb5WfKNVSDMwfDXmDOMGao/edit?gid=410167636#gid=410167636"",""beam!f1"")"),"BEAM")</f>
        <v>BEAM</v>
      </c>
      <c r="E489" s="56">
        <v>0.0</v>
      </c>
      <c r="F489" s="58">
        <f>IFERROR(__xludf.DUMMYFUNCTION("""COMPUTED_VALUE"""),145.0)</f>
        <v>145</v>
      </c>
      <c r="G489" s="58">
        <f t="shared" si="12"/>
        <v>145</v>
      </c>
      <c r="H489" s="58">
        <f t="shared" si="10"/>
        <v>246.5</v>
      </c>
      <c r="I489" s="59">
        <f t="shared" si="13"/>
        <v>0.7</v>
      </c>
      <c r="J489" s="12"/>
      <c r="K489" s="1"/>
      <c r="L489" s="1"/>
      <c r="M489" s="1"/>
      <c r="N489" s="1"/>
      <c r="O489" s="1"/>
      <c r="P489" s="1"/>
      <c r="Q489" s="1"/>
      <c r="R489" s="1"/>
      <c r="S489" s="1"/>
      <c r="T489" s="1"/>
      <c r="U489" s="1"/>
      <c r="V489" s="1"/>
      <c r="W489" s="1"/>
      <c r="X489" s="1"/>
      <c r="Y489" s="1"/>
      <c r="Z489" s="1"/>
    </row>
    <row r="490">
      <c r="A490" s="1"/>
      <c r="B490" s="1"/>
      <c r="C490" s="48" t="str">
        <f>IFERROR(__xludf.DUMMYFUNCTION("""COMPUTED_VALUE"""),"PACOTE COM TRES MOLAS PARA FIXAÇÃO DE MOTOR")</f>
        <v>PACOTE COM TRES MOLAS PARA FIXAÇÃO DE MOTOR</v>
      </c>
      <c r="D490" s="61" t="str">
        <f>IFERROR(__xludf.DUMMYFUNCTION("IMPORTRANGE(""https://docs.google.com/spreadsheets/d/1GMOWcUb26jVTosRt5EqlFYb5WfKNVSDMwfDXmDOMGao/edit?gid=410167636#gid=410167636"",""beam!f1"")"),"BEAM")</f>
        <v>BEAM</v>
      </c>
      <c r="E490" s="50">
        <v>0.0</v>
      </c>
      <c r="F490" s="52">
        <f>IFERROR(__xludf.DUMMYFUNCTION("""COMPUTED_VALUE"""),150.0)</f>
        <v>150</v>
      </c>
      <c r="G490" s="52">
        <f t="shared" si="12"/>
        <v>150</v>
      </c>
      <c r="H490" s="52">
        <f t="shared" si="10"/>
        <v>255</v>
      </c>
      <c r="I490" s="53">
        <f t="shared" si="13"/>
        <v>0.7</v>
      </c>
      <c r="J490" s="12"/>
      <c r="K490" s="1"/>
      <c r="L490" s="1"/>
      <c r="M490" s="1"/>
      <c r="N490" s="1"/>
      <c r="O490" s="1"/>
      <c r="P490" s="1"/>
      <c r="Q490" s="1"/>
      <c r="R490" s="1"/>
      <c r="S490" s="1"/>
      <c r="T490" s="1"/>
      <c r="U490" s="1"/>
      <c r="V490" s="1"/>
      <c r="W490" s="1"/>
      <c r="X490" s="1"/>
      <c r="Y490" s="1"/>
      <c r="Z490" s="1"/>
    </row>
    <row r="491">
      <c r="A491" s="1"/>
      <c r="B491" s="1"/>
      <c r="C491" s="54" t="str">
        <f>IFERROR(__xludf.DUMMYFUNCTION("""COMPUTED_VALUE"""),"BORRACHA VEDAÇÃO PARA MOTOR LINHA SERENITY")</f>
        <v>BORRACHA VEDAÇÃO PARA MOTOR LINHA SERENITY</v>
      </c>
      <c r="D491" s="64" t="str">
        <f>IFERROR(__xludf.DUMMYFUNCTION("IMPORTRANGE(""https://docs.google.com/spreadsheets/d/1GMOWcUb26jVTosRt5EqlFYb5WfKNVSDMwfDXmDOMGao/edit?gid=410167636#gid=410167636"",""beam!f1"")"),"BEAM")</f>
        <v>BEAM</v>
      </c>
      <c r="E491" s="56">
        <v>0.0</v>
      </c>
      <c r="F491" s="58">
        <f>IFERROR(__xludf.DUMMYFUNCTION("""COMPUTED_VALUE"""),84.0)</f>
        <v>84</v>
      </c>
      <c r="G491" s="58">
        <f t="shared" si="12"/>
        <v>84</v>
      </c>
      <c r="H491" s="58">
        <f t="shared" si="10"/>
        <v>142.8</v>
      </c>
      <c r="I491" s="59">
        <f t="shared" si="13"/>
        <v>0.7</v>
      </c>
      <c r="J491" s="12"/>
      <c r="K491" s="1"/>
      <c r="L491" s="1"/>
      <c r="M491" s="1"/>
      <c r="N491" s="1"/>
      <c r="O491" s="1"/>
      <c r="P491" s="1"/>
      <c r="Q491" s="1"/>
      <c r="R491" s="1"/>
      <c r="S491" s="1"/>
      <c r="T491" s="1"/>
      <c r="U491" s="1"/>
      <c r="V491" s="1"/>
      <c r="W491" s="1"/>
      <c r="X491" s="1"/>
      <c r="Y491" s="1"/>
      <c r="Z491" s="1"/>
    </row>
    <row r="492">
      <c r="A492" s="1"/>
      <c r="B492" s="1"/>
      <c r="C492" s="48" t="str">
        <f>IFERROR(__xludf.DUMMYFUNCTION("""COMPUTED_VALUE"""),"SUPORTE PARA CENTRAL")</f>
        <v>SUPORTE PARA CENTRAL</v>
      </c>
      <c r="D492" s="61" t="str">
        <f>IFERROR(__xludf.DUMMYFUNCTION("IMPORTRANGE(""https://docs.google.com/spreadsheets/d/1GMOWcUb26jVTosRt5EqlFYb5WfKNVSDMwfDXmDOMGao/edit?gid=410167636#gid=410167636"",""beam!f1"")"),"BEAM")</f>
        <v>BEAM</v>
      </c>
      <c r="E492" s="50">
        <v>0.0</v>
      </c>
      <c r="F492" s="52">
        <f>IFERROR(__xludf.DUMMYFUNCTION("""COMPUTED_VALUE"""),193.0)</f>
        <v>193</v>
      </c>
      <c r="G492" s="52">
        <f t="shared" si="12"/>
        <v>193</v>
      </c>
      <c r="H492" s="52">
        <f t="shared" si="10"/>
        <v>328.1</v>
      </c>
      <c r="I492" s="53">
        <f t="shared" si="13"/>
        <v>0.7</v>
      </c>
      <c r="J492" s="12"/>
      <c r="K492" s="1"/>
      <c r="L492" s="1"/>
      <c r="M492" s="1"/>
      <c r="N492" s="1"/>
      <c r="O492" s="1"/>
      <c r="P492" s="1"/>
      <c r="Q492" s="1"/>
      <c r="R492" s="1"/>
      <c r="S492" s="1"/>
      <c r="T492" s="1"/>
      <c r="U492" s="1"/>
      <c r="V492" s="1"/>
      <c r="W492" s="1"/>
      <c r="X492" s="1"/>
      <c r="Y492" s="1"/>
      <c r="Z492" s="1"/>
    </row>
    <row r="493">
      <c r="A493" s="1"/>
      <c r="B493" s="1"/>
      <c r="C493" s="54" t="str">
        <f>IFERROR(__xludf.DUMMYFUNCTION("""COMPUTED_VALUE"""),"ANEL BORRACHA PARA VEDACAO CENTRAL")</f>
        <v>ANEL BORRACHA PARA VEDACAO CENTRAL</v>
      </c>
      <c r="D493" s="64" t="str">
        <f>IFERROR(__xludf.DUMMYFUNCTION("IMPORTRANGE(""https://docs.google.com/spreadsheets/d/1GMOWcUb26jVTosRt5EqlFYb5WfKNVSDMwfDXmDOMGao/edit?gid=410167636#gid=410167636"",""beam!f1"")"),"BEAM")</f>
        <v>BEAM</v>
      </c>
      <c r="E493" s="56">
        <v>0.0</v>
      </c>
      <c r="F493" s="58">
        <f>IFERROR(__xludf.DUMMYFUNCTION("""COMPUTED_VALUE"""),84.0)</f>
        <v>84</v>
      </c>
      <c r="G493" s="58">
        <f t="shared" si="12"/>
        <v>84</v>
      </c>
      <c r="H493" s="58">
        <f t="shared" si="10"/>
        <v>142.8</v>
      </c>
      <c r="I493" s="59">
        <f t="shared" si="13"/>
        <v>0.7</v>
      </c>
      <c r="J493" s="12"/>
      <c r="K493" s="1"/>
      <c r="L493" s="1"/>
      <c r="M493" s="1"/>
      <c r="N493" s="1"/>
      <c r="O493" s="1"/>
      <c r="P493" s="1"/>
      <c r="Q493" s="1"/>
      <c r="R493" s="1"/>
      <c r="S493" s="1"/>
      <c r="T493" s="1"/>
      <c r="U493" s="1"/>
      <c r="V493" s="1"/>
      <c r="W493" s="1"/>
      <c r="X493" s="1"/>
      <c r="Y493" s="1"/>
      <c r="Z493" s="1"/>
    </row>
    <row r="494">
      <c r="A494" s="1"/>
      <c r="B494" s="1"/>
      <c r="C494" s="48" t="str">
        <f>IFERROR(__xludf.DUMMYFUNCTION("""COMPUTED_VALUE"""),"VALVULA DE PRESSURIZACAO PARA CENTRAL MUNDO")</f>
        <v>VALVULA DE PRESSURIZACAO PARA CENTRAL MUNDO</v>
      </c>
      <c r="D494" s="61" t="str">
        <f>IFERROR(__xludf.DUMMYFUNCTION("IMPORTRANGE(""https://docs.google.com/spreadsheets/d/1GMOWcUb26jVTosRt5EqlFYb5WfKNVSDMwfDXmDOMGao/edit?gid=410167636#gid=410167636"",""beam!f1"")"),"BEAM")</f>
        <v>BEAM</v>
      </c>
      <c r="E494" s="50">
        <v>0.0</v>
      </c>
      <c r="F494" s="52">
        <f>IFERROR(__xludf.DUMMYFUNCTION("""COMPUTED_VALUE"""),293.0)</f>
        <v>293</v>
      </c>
      <c r="G494" s="52">
        <f t="shared" si="12"/>
        <v>293</v>
      </c>
      <c r="H494" s="52">
        <f t="shared" si="10"/>
        <v>498.1</v>
      </c>
      <c r="I494" s="53">
        <f t="shared" si="13"/>
        <v>0.7</v>
      </c>
      <c r="J494" s="12"/>
      <c r="K494" s="1"/>
      <c r="L494" s="1"/>
      <c r="M494" s="1"/>
      <c r="N494" s="1"/>
      <c r="O494" s="1"/>
      <c r="P494" s="1"/>
      <c r="Q494" s="1"/>
      <c r="R494" s="1"/>
      <c r="S494" s="1"/>
      <c r="T494" s="1"/>
      <c r="U494" s="1"/>
      <c r="V494" s="1"/>
      <c r="W494" s="1"/>
      <c r="X494" s="1"/>
      <c r="Y494" s="1"/>
      <c r="Z494" s="1"/>
    </row>
    <row r="495">
      <c r="A495" s="1"/>
      <c r="B495" s="1"/>
      <c r="C495" s="54" t="str">
        <f>IFERROR(__xludf.DUMMYFUNCTION("""COMPUTED_VALUE"""),"ANEL GIRADOR PARA MANGUEIRA")</f>
        <v>ANEL GIRADOR PARA MANGUEIRA</v>
      </c>
      <c r="D495" s="64" t="str">
        <f>IFERROR(__xludf.DUMMYFUNCTION("IMPORTRANGE(""https://docs.google.com/spreadsheets/d/1GMOWcUb26jVTosRt5EqlFYb5WfKNVSDMwfDXmDOMGao/edit?gid=410167636#gid=410167636"",""beam!f1"")"),"BEAM")</f>
        <v>BEAM</v>
      </c>
      <c r="E495" s="56">
        <v>0.0</v>
      </c>
      <c r="F495" s="58">
        <f>IFERROR(__xludf.DUMMYFUNCTION("""COMPUTED_VALUE"""),170.0)</f>
        <v>170</v>
      </c>
      <c r="G495" s="58">
        <f t="shared" si="12"/>
        <v>170</v>
      </c>
      <c r="H495" s="58">
        <f t="shared" si="10"/>
        <v>289</v>
      </c>
      <c r="I495" s="59">
        <f t="shared" si="13"/>
        <v>0.7</v>
      </c>
      <c r="J495" s="12"/>
      <c r="K495" s="1"/>
      <c r="L495" s="1"/>
      <c r="M495" s="1"/>
      <c r="N495" s="1"/>
      <c r="O495" s="1"/>
      <c r="P495" s="1"/>
      <c r="Q495" s="1"/>
      <c r="R495" s="1"/>
      <c r="S495" s="1"/>
      <c r="T495" s="1"/>
      <c r="U495" s="1"/>
      <c r="V495" s="1"/>
      <c r="W495" s="1"/>
      <c r="X495" s="1"/>
      <c r="Y495" s="1"/>
      <c r="Z495" s="1"/>
    </row>
    <row r="496">
      <c r="A496" s="1"/>
      <c r="B496" s="1"/>
      <c r="C496" s="48" t="str">
        <f>IFERROR(__xludf.DUMMYFUNCTION("""COMPUTED_VALUE"""),"ANEL DE BORRACHA PARA VEDAÇÃO DO CESTO LINHA SERENITY")</f>
        <v>ANEL DE BORRACHA PARA VEDAÇÃO DO CESTO LINHA SERENITY</v>
      </c>
      <c r="D496" s="61" t="str">
        <f>IFERROR(__xludf.DUMMYFUNCTION("IMPORTRANGE(""https://docs.google.com/spreadsheets/d/1GMOWcUb26jVTosRt5EqlFYb5WfKNVSDMwfDXmDOMGao/edit?gid=410167636#gid=410167636"",""beam!f1"")"),"BEAM")</f>
        <v>BEAM</v>
      </c>
      <c r="E496" s="50">
        <v>0.0</v>
      </c>
      <c r="F496" s="52">
        <f>IFERROR(__xludf.DUMMYFUNCTION("""COMPUTED_VALUE"""),184.0)</f>
        <v>184</v>
      </c>
      <c r="G496" s="52">
        <f t="shared" si="12"/>
        <v>184</v>
      </c>
      <c r="H496" s="52">
        <f t="shared" si="10"/>
        <v>312.8</v>
      </c>
      <c r="I496" s="53">
        <f t="shared" si="13"/>
        <v>0.7</v>
      </c>
      <c r="J496" s="12"/>
      <c r="K496" s="1"/>
      <c r="L496" s="1"/>
      <c r="M496" s="1"/>
      <c r="N496" s="1"/>
      <c r="O496" s="1"/>
      <c r="P496" s="1"/>
      <c r="Q496" s="1"/>
      <c r="R496" s="1"/>
      <c r="S496" s="1"/>
      <c r="T496" s="1"/>
      <c r="U496" s="1"/>
      <c r="V496" s="1"/>
      <c r="W496" s="1"/>
      <c r="X496" s="1"/>
      <c r="Y496" s="1"/>
      <c r="Z496" s="1"/>
    </row>
    <row r="497">
      <c r="A497" s="1"/>
      <c r="B497" s="1"/>
      <c r="C497" s="54" t="str">
        <f>IFERROR(__xludf.DUMMYFUNCTION("""COMPUTED_VALUE"""),"ANEL DE BORRACHA PARA VEDAÇÃO DO CESTO LINHA MUNDO")</f>
        <v>ANEL DE BORRACHA PARA VEDAÇÃO DO CESTO LINHA MUNDO</v>
      </c>
      <c r="D497" s="64" t="str">
        <f>IFERROR(__xludf.DUMMYFUNCTION("IMPORTRANGE(""https://docs.google.com/spreadsheets/d/1GMOWcUb26jVTosRt5EqlFYb5WfKNVSDMwfDXmDOMGao/edit?gid=410167636#gid=410167636"",""beam!f1"")"),"BEAM")</f>
        <v>BEAM</v>
      </c>
      <c r="E497" s="56">
        <v>0.0</v>
      </c>
      <c r="F497" s="58">
        <f>IFERROR(__xludf.DUMMYFUNCTION("""COMPUTED_VALUE"""),184.0)</f>
        <v>184</v>
      </c>
      <c r="G497" s="58">
        <f t="shared" si="12"/>
        <v>184</v>
      </c>
      <c r="H497" s="58">
        <f t="shared" si="10"/>
        <v>312.8</v>
      </c>
      <c r="I497" s="59">
        <f t="shared" si="13"/>
        <v>0.7</v>
      </c>
      <c r="J497" s="12"/>
      <c r="K497" s="1"/>
      <c r="L497" s="1"/>
      <c r="M497" s="1"/>
      <c r="N497" s="1"/>
      <c r="O497" s="1"/>
      <c r="P497" s="1"/>
      <c r="Q497" s="1"/>
      <c r="R497" s="1"/>
      <c r="S497" s="1"/>
      <c r="T497" s="1"/>
      <c r="U497" s="1"/>
      <c r="V497" s="1"/>
      <c r="W497" s="1"/>
      <c r="X497" s="1"/>
      <c r="Y497" s="1"/>
      <c r="Z497" s="1"/>
    </row>
    <row r="498">
      <c r="A498" s="1"/>
      <c r="B498" s="1"/>
      <c r="C498" s="48" t="str">
        <f>IFERROR(__xludf.DUMMYFUNCTION("""COMPUTED_VALUE"""),"FILTRO TIPO TELA DE PROTEÇÃO - DISCO PARA CENTRAL LINHA MUNDO")</f>
        <v>FILTRO TIPO TELA DE PROTEÇÃO - DISCO PARA CENTRAL LINHA MUNDO</v>
      </c>
      <c r="D498" s="61" t="str">
        <f>IFERROR(__xludf.DUMMYFUNCTION("IMPORTRANGE(""https://docs.google.com/spreadsheets/d/1GMOWcUb26jVTosRt5EqlFYb5WfKNVSDMwfDXmDOMGao/edit?gid=410167636#gid=410167636"",""beam!f1"")"),"BEAM")</f>
        <v>BEAM</v>
      </c>
      <c r="E498" s="50">
        <v>0.0</v>
      </c>
      <c r="F498" s="52">
        <f>IFERROR(__xludf.DUMMYFUNCTION("""COMPUTED_VALUE"""),510.0)</f>
        <v>510</v>
      </c>
      <c r="G498" s="52">
        <f t="shared" si="12"/>
        <v>510</v>
      </c>
      <c r="H498" s="52">
        <f t="shared" si="10"/>
        <v>867</v>
      </c>
      <c r="I498" s="53">
        <f t="shared" si="13"/>
        <v>0.7</v>
      </c>
      <c r="J498" s="12"/>
      <c r="K498" s="1"/>
      <c r="L498" s="1"/>
      <c r="M498" s="1"/>
      <c r="N498" s="1"/>
      <c r="O498" s="1"/>
      <c r="P498" s="1"/>
      <c r="Q498" s="1"/>
      <c r="R498" s="1"/>
      <c r="S498" s="1"/>
      <c r="T498" s="1"/>
      <c r="U498" s="1"/>
      <c r="V498" s="1"/>
      <c r="W498" s="1"/>
      <c r="X498" s="1"/>
      <c r="Y498" s="1"/>
      <c r="Z498" s="1"/>
    </row>
    <row r="499">
      <c r="A499" s="1"/>
      <c r="B499" s="1"/>
      <c r="C499" s="54" t="str">
        <f>IFERROR(__xludf.DUMMYFUNCTION("""COMPUTED_VALUE"""),"EXTENSOR DE EXAUSTAO PARA CENTRAIS MUNDO E SERENITY")</f>
        <v>EXTENSOR DE EXAUSTAO PARA CENTRAIS MUNDO E SERENITY</v>
      </c>
      <c r="D499" s="64" t="str">
        <f>IFERROR(__xludf.DUMMYFUNCTION("IMPORTRANGE(""https://docs.google.com/spreadsheets/d/1GMOWcUb26jVTosRt5EqlFYb5WfKNVSDMwfDXmDOMGao/edit?gid=410167636#gid=410167636"",""beam!f1"")"),"BEAM")</f>
        <v>BEAM</v>
      </c>
      <c r="E499" s="56">
        <v>0.0</v>
      </c>
      <c r="F499" s="58">
        <f>IFERROR(__xludf.DUMMYFUNCTION("""COMPUTED_VALUE"""),145.0)</f>
        <v>145</v>
      </c>
      <c r="G499" s="58">
        <f t="shared" si="12"/>
        <v>145</v>
      </c>
      <c r="H499" s="58">
        <f t="shared" si="10"/>
        <v>246.5</v>
      </c>
      <c r="I499" s="59">
        <f t="shared" si="13"/>
        <v>0.7</v>
      </c>
      <c r="J499" s="12"/>
      <c r="K499" s="1"/>
      <c r="L499" s="1"/>
      <c r="M499" s="1"/>
      <c r="N499" s="1"/>
      <c r="O499" s="1"/>
      <c r="P499" s="1"/>
      <c r="Q499" s="1"/>
      <c r="R499" s="1"/>
      <c r="S499" s="1"/>
      <c r="T499" s="1"/>
      <c r="U499" s="1"/>
      <c r="V499" s="1"/>
      <c r="W499" s="1"/>
      <c r="X499" s="1"/>
      <c r="Y499" s="1"/>
      <c r="Z499" s="1"/>
    </row>
    <row r="500">
      <c r="A500" s="1"/>
      <c r="B500" s="1"/>
      <c r="C500" s="48" t="str">
        <f>IFERROR(__xludf.DUMMYFUNCTION("""COMPUTED_VALUE"""),"EXTENSOR DE EXAUSTAO PARA CENTRAIS MUNDO E SERENITY")</f>
        <v>EXTENSOR DE EXAUSTAO PARA CENTRAIS MUNDO E SERENITY</v>
      </c>
      <c r="D500" s="61" t="str">
        <f>IFERROR(__xludf.DUMMYFUNCTION("IMPORTRANGE(""https://docs.google.com/spreadsheets/d/1GMOWcUb26jVTosRt5EqlFYb5WfKNVSDMwfDXmDOMGao/edit?gid=410167636#gid=410167636"",""beam!f1"")"),"BEAM")</f>
        <v>BEAM</v>
      </c>
      <c r="E500" s="50">
        <v>0.0</v>
      </c>
      <c r="F500" s="52">
        <f>IFERROR(__xludf.DUMMYFUNCTION("""COMPUTED_VALUE"""),145.0)</f>
        <v>145</v>
      </c>
      <c r="G500" s="52">
        <f t="shared" si="12"/>
        <v>145</v>
      </c>
      <c r="H500" s="52">
        <f t="shared" si="10"/>
        <v>246.5</v>
      </c>
      <c r="I500" s="53">
        <f t="shared" si="13"/>
        <v>0.7</v>
      </c>
      <c r="J500" s="12"/>
      <c r="K500" s="1"/>
      <c r="L500" s="1"/>
      <c r="M500" s="1"/>
      <c r="N500" s="1"/>
      <c r="O500" s="1"/>
      <c r="P500" s="1"/>
      <c r="Q500" s="1"/>
      <c r="R500" s="1"/>
      <c r="S500" s="1"/>
      <c r="T500" s="1"/>
      <c r="U500" s="1"/>
      <c r="V500" s="1"/>
      <c r="W500" s="1"/>
      <c r="X500" s="1"/>
      <c r="Y500" s="1"/>
      <c r="Z500" s="1"/>
    </row>
    <row r="501">
      <c r="A501" s="1"/>
      <c r="B501" s="1"/>
      <c r="C501" s="54" t="str">
        <f>IFERROR(__xludf.DUMMYFUNCTION("""COMPUTED_VALUE"""),"RELE PLACA ELETRONICA")</f>
        <v>RELE PLACA ELETRONICA</v>
      </c>
      <c r="D501" s="64" t="str">
        <f>IFERROR(__xludf.DUMMYFUNCTION("IMPORTRANGE(""https://docs.google.com/spreadsheets/d/1GMOWcUb26jVTosRt5EqlFYb5WfKNVSDMwfDXmDOMGao/edit?gid=410167636#gid=410167636"",""beam!f1"")"),"BEAM")</f>
        <v>BEAM</v>
      </c>
      <c r="E501" s="56">
        <v>0.0</v>
      </c>
      <c r="F501" s="58">
        <f>IFERROR(__xludf.DUMMYFUNCTION("""COMPUTED_VALUE"""),717.0)</f>
        <v>717</v>
      </c>
      <c r="G501" s="58">
        <f t="shared" si="12"/>
        <v>717</v>
      </c>
      <c r="H501" s="58">
        <f t="shared" si="10"/>
        <v>1218.9</v>
      </c>
      <c r="I501" s="59">
        <f t="shared" si="13"/>
        <v>0.7</v>
      </c>
      <c r="J501" s="12"/>
      <c r="K501" s="1"/>
      <c r="L501" s="1"/>
      <c r="M501" s="1"/>
      <c r="N501" s="1"/>
      <c r="O501" s="1"/>
      <c r="P501" s="1"/>
      <c r="Q501" s="1"/>
      <c r="R501" s="1"/>
      <c r="S501" s="1"/>
      <c r="T501" s="1"/>
      <c r="U501" s="1"/>
      <c r="V501" s="1"/>
      <c r="W501" s="1"/>
      <c r="X501" s="1"/>
      <c r="Y501" s="1"/>
      <c r="Z501" s="1"/>
    </row>
    <row r="502">
      <c r="A502" s="1"/>
      <c r="B502" s="1"/>
      <c r="C502" s="48" t="str">
        <f>IFERROR(__xludf.DUMMYFUNCTION("""COMPUTED_VALUE"""),"INTERRUPTOR MANGUEIRA ON/OFF ( REPARO MARNGUEIRA)")</f>
        <v>INTERRUPTOR MANGUEIRA ON/OFF ( REPARO MARNGUEIRA)</v>
      </c>
      <c r="D502" s="61" t="str">
        <f>IFERROR(__xludf.DUMMYFUNCTION("IMPORTRANGE(""https://docs.google.com/spreadsheets/d/1GMOWcUb26jVTosRt5EqlFYb5WfKNVSDMwfDXmDOMGao/edit?gid=410167636#gid=410167636"",""beam!f1"")"),"BEAM")</f>
        <v>BEAM</v>
      </c>
      <c r="E502" s="50">
        <v>0.0</v>
      </c>
      <c r="F502" s="52">
        <f>IFERROR(__xludf.DUMMYFUNCTION("""COMPUTED_VALUE"""),1547.0)</f>
        <v>1547</v>
      </c>
      <c r="G502" s="52">
        <f t="shared" si="12"/>
        <v>1547</v>
      </c>
      <c r="H502" s="52">
        <f t="shared" si="10"/>
        <v>2629.9</v>
      </c>
      <c r="I502" s="53">
        <f t="shared" si="13"/>
        <v>0.7</v>
      </c>
      <c r="J502" s="12"/>
      <c r="K502" s="1"/>
      <c r="L502" s="1"/>
      <c r="M502" s="1"/>
      <c r="N502" s="1"/>
      <c r="O502" s="1"/>
      <c r="P502" s="1"/>
      <c r="Q502" s="1"/>
      <c r="R502" s="1"/>
      <c r="S502" s="1"/>
      <c r="T502" s="1"/>
      <c r="U502" s="1"/>
      <c r="V502" s="1"/>
      <c r="W502" s="1"/>
      <c r="X502" s="1"/>
      <c r="Y502" s="1"/>
      <c r="Z502" s="1"/>
    </row>
    <row r="503">
      <c r="A503" s="1"/>
      <c r="B503" s="1"/>
      <c r="C503" s="54" t="str">
        <f>IFERROR(__xludf.DUMMYFUNCTION("""COMPUTED_VALUE"""),"INTERRUPTOR MANGUEIRA VEL.VARIÁVEL ( REPARO MARNGUEIRA)")</f>
        <v>INTERRUPTOR MANGUEIRA VEL.VARIÁVEL ( REPARO MARNGUEIRA)</v>
      </c>
      <c r="D503" s="64" t="str">
        <f>IFERROR(__xludf.DUMMYFUNCTION("IMPORTRANGE(""https://docs.google.com/spreadsheets/d/1GMOWcUb26jVTosRt5EqlFYb5WfKNVSDMwfDXmDOMGao/edit?gid=410167636#gid=410167636"",""beam!f1"")"),"BEAM")</f>
        <v>BEAM</v>
      </c>
      <c r="E503" s="56">
        <v>0.0</v>
      </c>
      <c r="F503" s="58">
        <f>IFERROR(__xludf.DUMMYFUNCTION("""COMPUTED_VALUE"""),801.0)</f>
        <v>801</v>
      </c>
      <c r="G503" s="58">
        <f t="shared" si="12"/>
        <v>801</v>
      </c>
      <c r="H503" s="58">
        <f t="shared" si="10"/>
        <v>1361.7</v>
      </c>
      <c r="I503" s="59">
        <f t="shared" si="13"/>
        <v>0.7</v>
      </c>
      <c r="J503" s="12"/>
      <c r="K503" s="1"/>
      <c r="L503" s="1"/>
      <c r="M503" s="1"/>
      <c r="N503" s="1"/>
      <c r="O503" s="1"/>
      <c r="P503" s="1"/>
      <c r="Q503" s="1"/>
      <c r="R503" s="1"/>
      <c r="S503" s="1"/>
      <c r="T503" s="1"/>
      <c r="U503" s="1"/>
      <c r="V503" s="1"/>
      <c r="W503" s="1"/>
      <c r="X503" s="1"/>
      <c r="Y503" s="1"/>
      <c r="Z503" s="1"/>
    </row>
    <row r="504">
      <c r="A504" s="1"/>
      <c r="B504" s="1"/>
      <c r="C504" s="48" t="str">
        <f>IFERROR(__xludf.DUMMYFUNCTION("""COMPUTED_VALUE"""),"CARVAO PARA MOTOR CENTRAIS - 167, 2087")</f>
        <v>CARVAO PARA MOTOR CENTRAIS - 167, 2087</v>
      </c>
      <c r="D504" s="61" t="str">
        <f>IFERROR(__xludf.DUMMYFUNCTION("IMPORTRANGE(""https://docs.google.com/spreadsheets/d/1GMOWcUb26jVTosRt5EqlFYb5WfKNVSDMwfDXmDOMGao/edit?gid=410167636#gid=410167636"",""beam!f1"")"),"BEAM")</f>
        <v>BEAM</v>
      </c>
      <c r="E504" s="50">
        <v>0.0</v>
      </c>
      <c r="F504" s="52">
        <f>IFERROR(__xludf.DUMMYFUNCTION("""COMPUTED_VALUE"""),462.0)</f>
        <v>462</v>
      </c>
      <c r="G504" s="52">
        <f t="shared" si="12"/>
        <v>462</v>
      </c>
      <c r="H504" s="52">
        <f t="shared" si="10"/>
        <v>785.4</v>
      </c>
      <c r="I504" s="53">
        <f t="shared" si="13"/>
        <v>0.7</v>
      </c>
      <c r="J504" s="12"/>
      <c r="K504" s="1"/>
      <c r="L504" s="1"/>
      <c r="M504" s="1"/>
      <c r="N504" s="1"/>
      <c r="O504" s="1"/>
      <c r="P504" s="1"/>
      <c r="Q504" s="1"/>
      <c r="R504" s="1"/>
      <c r="S504" s="1"/>
      <c r="T504" s="1"/>
      <c r="U504" s="1"/>
      <c r="V504" s="1"/>
      <c r="W504" s="1"/>
      <c r="X504" s="1"/>
      <c r="Y504" s="1"/>
      <c r="Z504" s="1"/>
    </row>
    <row r="505">
      <c r="A505" s="1"/>
      <c r="B505" s="1"/>
      <c r="C505" s="54" t="str">
        <f>IFERROR(__xludf.DUMMYFUNCTION("""COMPUTED_VALUE"""),"CARVAO PARA MOTOR CENTRAIS -  2250, 2875")</f>
        <v>CARVAO PARA MOTOR CENTRAIS -  2250, 2875</v>
      </c>
      <c r="D505" s="64" t="str">
        <f>IFERROR(__xludf.DUMMYFUNCTION("IMPORTRANGE(""https://docs.google.com/spreadsheets/d/1GMOWcUb26jVTosRt5EqlFYb5WfKNVSDMwfDXmDOMGao/edit?gid=410167636#gid=410167636"",""beam!f1"")"),"BEAM")</f>
        <v>BEAM</v>
      </c>
      <c r="E505" s="56">
        <v>0.0</v>
      </c>
      <c r="F505" s="58">
        <f>IFERROR(__xludf.DUMMYFUNCTION("""COMPUTED_VALUE"""),949.0)</f>
        <v>949</v>
      </c>
      <c r="G505" s="58">
        <f t="shared" si="12"/>
        <v>949</v>
      </c>
      <c r="H505" s="58">
        <f t="shared" si="10"/>
        <v>1613.3</v>
      </c>
      <c r="I505" s="59">
        <f t="shared" si="13"/>
        <v>0.7</v>
      </c>
      <c r="J505" s="12"/>
      <c r="K505" s="1"/>
      <c r="L505" s="1"/>
      <c r="M505" s="1"/>
      <c r="N505" s="1"/>
      <c r="O505" s="1"/>
      <c r="P505" s="1"/>
      <c r="Q505" s="1"/>
      <c r="R505" s="1"/>
      <c r="S505" s="1"/>
      <c r="T505" s="1"/>
      <c r="U505" s="1"/>
      <c r="V505" s="1"/>
      <c r="W505" s="1"/>
      <c r="X505" s="1"/>
      <c r="Y505" s="1"/>
      <c r="Z505" s="1"/>
    </row>
    <row r="506">
      <c r="A506" s="1"/>
      <c r="B506" s="1"/>
      <c r="C506" s="48" t="str">
        <f>IFERROR(__xludf.DUMMYFUNCTION("""COMPUTED_VALUE"""),"CARVAO PARA MOTOR CENTRAIS - BU 180")</f>
        <v>CARVAO PARA MOTOR CENTRAIS - BU 180</v>
      </c>
      <c r="D506" s="61" t="str">
        <f>IFERROR(__xludf.DUMMYFUNCTION("IMPORTRANGE(""https://docs.google.com/spreadsheets/d/1GMOWcUb26jVTosRt5EqlFYb5WfKNVSDMwfDXmDOMGao/edit?gid=410167636#gid=410167636"",""beam!f1"")"),"BEAM")</f>
        <v>BEAM</v>
      </c>
      <c r="E506" s="50">
        <v>0.0</v>
      </c>
      <c r="F506" s="52">
        <f>IFERROR(__xludf.DUMMYFUNCTION("""COMPUTED_VALUE"""),887.0)</f>
        <v>887</v>
      </c>
      <c r="G506" s="52">
        <f t="shared" si="12"/>
        <v>887</v>
      </c>
      <c r="H506" s="52">
        <f t="shared" si="10"/>
        <v>1507.9</v>
      </c>
      <c r="I506" s="53">
        <f t="shared" si="13"/>
        <v>0.7</v>
      </c>
      <c r="J506" s="12"/>
      <c r="K506" s="1"/>
      <c r="L506" s="1"/>
      <c r="M506" s="1"/>
      <c r="N506" s="1"/>
      <c r="O506" s="1"/>
      <c r="P506" s="1"/>
      <c r="Q506" s="1"/>
      <c r="R506" s="1"/>
      <c r="S506" s="1"/>
      <c r="T506" s="1"/>
      <c r="U506" s="1"/>
      <c r="V506" s="1"/>
      <c r="W506" s="1"/>
      <c r="X506" s="1"/>
      <c r="Y506" s="1"/>
      <c r="Z506" s="1"/>
    </row>
    <row r="507">
      <c r="A507" s="1"/>
      <c r="B507" s="1"/>
      <c r="C507" s="54" t="str">
        <f>IFERROR(__xludf.DUMMYFUNCTION("""COMPUTED_VALUE"""),"CARVAO PARA MOTOR CENTRAIS -  199,2100,2500")</f>
        <v>CARVAO PARA MOTOR CENTRAIS -  199,2100,2500</v>
      </c>
      <c r="D507" s="64" t="str">
        <f>IFERROR(__xludf.DUMMYFUNCTION("IMPORTRANGE(""https://docs.google.com/spreadsheets/d/1GMOWcUb26jVTosRt5EqlFYb5WfKNVSDMwfDXmDOMGao/edit?gid=410167636#gid=410167636"",""beam!f1"")"),"BEAM")</f>
        <v>BEAM</v>
      </c>
      <c r="E507" s="56">
        <v>0.0</v>
      </c>
      <c r="F507" s="58">
        <f>IFERROR(__xludf.DUMMYFUNCTION("""COMPUTED_VALUE"""),632.0)</f>
        <v>632</v>
      </c>
      <c r="G507" s="58">
        <f t="shared" si="12"/>
        <v>632</v>
      </c>
      <c r="H507" s="58">
        <f t="shared" si="10"/>
        <v>1074.4</v>
      </c>
      <c r="I507" s="59">
        <f t="shared" si="13"/>
        <v>0.7</v>
      </c>
      <c r="J507" s="12"/>
      <c r="K507" s="1"/>
      <c r="L507" s="1"/>
      <c r="M507" s="1"/>
      <c r="N507" s="1"/>
      <c r="O507" s="1"/>
      <c r="P507" s="1"/>
      <c r="Q507" s="1"/>
      <c r="R507" s="1"/>
      <c r="S507" s="1"/>
      <c r="T507" s="1"/>
      <c r="U507" s="1"/>
      <c r="V507" s="1"/>
      <c r="W507" s="1"/>
      <c r="X507" s="1"/>
      <c r="Y507" s="1"/>
      <c r="Z507" s="1"/>
    </row>
    <row r="508">
      <c r="A508" s="1"/>
      <c r="B508" s="1"/>
      <c r="C508" s="48" t="str">
        <f>IFERROR(__xludf.DUMMYFUNCTION("""COMPUTED_VALUE"""),"CARVAO PARA MOTOR CENTRAIS - 2725,2775")</f>
        <v>CARVAO PARA MOTOR CENTRAIS - 2725,2775</v>
      </c>
      <c r="D508" s="61" t="str">
        <f>IFERROR(__xludf.DUMMYFUNCTION("IMPORTRANGE(""https://docs.google.com/spreadsheets/d/1GMOWcUb26jVTosRt5EqlFYb5WfKNVSDMwfDXmDOMGao/edit?gid=410167636#gid=410167636"",""beam!f1"")"),"BEAM")</f>
        <v>BEAM</v>
      </c>
      <c r="E508" s="50">
        <v>0.0</v>
      </c>
      <c r="F508" s="52">
        <f>IFERROR(__xludf.DUMMYFUNCTION("""COMPUTED_VALUE"""),669.0)</f>
        <v>669</v>
      </c>
      <c r="G508" s="52">
        <f t="shared" si="12"/>
        <v>669</v>
      </c>
      <c r="H508" s="52">
        <f t="shared" si="10"/>
        <v>1137.3</v>
      </c>
      <c r="I508" s="53">
        <f t="shared" si="13"/>
        <v>0.7</v>
      </c>
      <c r="J508" s="12"/>
      <c r="K508" s="1"/>
      <c r="L508" s="1"/>
      <c r="M508" s="1"/>
      <c r="N508" s="1"/>
      <c r="O508" s="1"/>
      <c r="P508" s="1"/>
      <c r="Q508" s="1"/>
      <c r="R508" s="1"/>
      <c r="S508" s="1"/>
      <c r="T508" s="1"/>
      <c r="U508" s="1"/>
      <c r="V508" s="1"/>
      <c r="W508" s="1"/>
      <c r="X508" s="1"/>
      <c r="Y508" s="1"/>
      <c r="Z508" s="1"/>
    </row>
    <row r="509">
      <c r="A509" s="1"/>
      <c r="B509" s="1"/>
      <c r="C509" s="54" t="str">
        <f>IFERROR(__xludf.DUMMYFUNCTION("""COMPUTED_VALUE"""),"CARVAO PARA MOTOR CENTRAIS - BU 195")</f>
        <v>CARVAO PARA MOTOR CENTRAIS - BU 195</v>
      </c>
      <c r="D509" s="64" t="str">
        <f>IFERROR(__xludf.DUMMYFUNCTION("IMPORTRANGE(""https://docs.google.com/spreadsheets/d/1GMOWcUb26jVTosRt5EqlFYb5WfKNVSDMwfDXmDOMGao/edit?gid=410167636#gid=410167636"",""beam!f1"")"),"BEAM")</f>
        <v>BEAM</v>
      </c>
      <c r="E509" s="56">
        <v>0.0</v>
      </c>
      <c r="F509" s="58">
        <f>IFERROR(__xludf.DUMMYFUNCTION("""COMPUTED_VALUE"""),887.0)</f>
        <v>887</v>
      </c>
      <c r="G509" s="58">
        <f t="shared" si="12"/>
        <v>887</v>
      </c>
      <c r="H509" s="58">
        <f t="shared" si="10"/>
        <v>1507.9</v>
      </c>
      <c r="I509" s="59">
        <f t="shared" si="13"/>
        <v>0.7</v>
      </c>
      <c r="J509" s="12"/>
      <c r="K509" s="1"/>
      <c r="L509" s="1"/>
      <c r="M509" s="1"/>
      <c r="N509" s="1"/>
      <c r="O509" s="1"/>
      <c r="P509" s="1"/>
      <c r="Q509" s="1"/>
      <c r="R509" s="1"/>
      <c r="S509" s="1"/>
      <c r="T509" s="1"/>
      <c r="U509" s="1"/>
      <c r="V509" s="1"/>
      <c r="W509" s="1"/>
      <c r="X509" s="1"/>
      <c r="Y509" s="1"/>
      <c r="Z509" s="1"/>
    </row>
    <row r="510">
      <c r="A510" s="1"/>
      <c r="B510" s="1"/>
      <c r="C510" s="60" t="s">
        <v>16</v>
      </c>
      <c r="D510" s="61" t="s">
        <v>17</v>
      </c>
      <c r="E510" s="50">
        <v>0.0975</v>
      </c>
      <c r="F510" s="51">
        <v>38.4</v>
      </c>
      <c r="G510" s="52">
        <f t="shared" si="12"/>
        <v>42.144</v>
      </c>
      <c r="H510" s="51">
        <v>76.8</v>
      </c>
      <c r="I510" s="53">
        <f t="shared" ref="I510:I774" si="14">IF(G510&gt;0,(H510-G510)/G510,IF(H510&gt;0,0,0))</f>
        <v>0.8223234624</v>
      </c>
      <c r="J510" s="12"/>
      <c r="K510" s="1"/>
      <c r="L510" s="1"/>
      <c r="M510" s="1"/>
      <c r="N510" s="1"/>
      <c r="O510" s="1"/>
      <c r="P510" s="1"/>
      <c r="Q510" s="1"/>
      <c r="R510" s="1"/>
      <c r="S510" s="1"/>
      <c r="T510" s="1"/>
      <c r="U510" s="1"/>
      <c r="V510" s="1"/>
      <c r="W510" s="1"/>
      <c r="X510" s="1"/>
      <c r="Y510" s="1"/>
      <c r="Z510" s="1"/>
    </row>
    <row r="511">
      <c r="A511" s="1"/>
      <c r="B511" s="1"/>
      <c r="C511" s="63" t="s">
        <v>18</v>
      </c>
      <c r="D511" s="64" t="s">
        <v>17</v>
      </c>
      <c r="E511" s="56">
        <v>0.0975</v>
      </c>
      <c r="F511" s="57">
        <v>20.4</v>
      </c>
      <c r="G511" s="58">
        <f t="shared" si="12"/>
        <v>22.389</v>
      </c>
      <c r="H511" s="57">
        <v>40.8</v>
      </c>
      <c r="I511" s="59">
        <f t="shared" si="14"/>
        <v>0.8223234624</v>
      </c>
      <c r="J511" s="12"/>
      <c r="K511" s="1"/>
      <c r="L511" s="1"/>
      <c r="M511" s="1"/>
      <c r="N511" s="1"/>
      <c r="O511" s="1"/>
      <c r="P511" s="1"/>
      <c r="Q511" s="1"/>
      <c r="R511" s="1"/>
      <c r="S511" s="1"/>
      <c r="T511" s="1"/>
      <c r="U511" s="1"/>
      <c r="V511" s="1"/>
      <c r="W511" s="1"/>
      <c r="X511" s="1"/>
      <c r="Y511" s="1"/>
      <c r="Z511" s="1"/>
    </row>
    <row r="512">
      <c r="A512" s="1"/>
      <c r="B512" s="1"/>
      <c r="C512" s="60" t="s">
        <v>19</v>
      </c>
      <c r="D512" s="61" t="s">
        <v>17</v>
      </c>
      <c r="E512" s="50">
        <v>0.0975</v>
      </c>
      <c r="F512" s="51">
        <v>628.76</v>
      </c>
      <c r="G512" s="52">
        <f t="shared" si="12"/>
        <v>690.0641</v>
      </c>
      <c r="H512" s="51">
        <v>1257.52</v>
      </c>
      <c r="I512" s="53">
        <f t="shared" si="14"/>
        <v>0.8223234624</v>
      </c>
      <c r="J512" s="12"/>
      <c r="K512" s="1"/>
      <c r="L512" s="1"/>
      <c r="M512" s="1"/>
      <c r="N512" s="1"/>
      <c r="O512" s="1"/>
      <c r="P512" s="1"/>
      <c r="Q512" s="1"/>
      <c r="R512" s="1"/>
      <c r="S512" s="1"/>
      <c r="T512" s="1"/>
      <c r="U512" s="1"/>
      <c r="V512" s="1"/>
      <c r="W512" s="1"/>
      <c r="X512" s="1"/>
      <c r="Y512" s="1"/>
      <c r="Z512" s="1"/>
    </row>
    <row r="513">
      <c r="A513" s="1"/>
      <c r="B513" s="1"/>
      <c r="C513" s="63" t="s">
        <v>20</v>
      </c>
      <c r="D513" s="64" t="s">
        <v>17</v>
      </c>
      <c r="E513" s="56">
        <v>0.0975</v>
      </c>
      <c r="F513" s="57">
        <v>45.2</v>
      </c>
      <c r="G513" s="58">
        <f t="shared" si="12"/>
        <v>49.607</v>
      </c>
      <c r="H513" s="57">
        <v>90.4</v>
      </c>
      <c r="I513" s="59">
        <f t="shared" si="14"/>
        <v>0.8223234624</v>
      </c>
      <c r="J513" s="12"/>
      <c r="K513" s="1"/>
      <c r="L513" s="1"/>
      <c r="M513" s="1"/>
      <c r="N513" s="1"/>
      <c r="O513" s="1"/>
      <c r="P513" s="1"/>
      <c r="Q513" s="1"/>
      <c r="R513" s="1"/>
      <c r="S513" s="1"/>
      <c r="T513" s="1"/>
      <c r="U513" s="1"/>
      <c r="V513" s="1"/>
      <c r="W513" s="1"/>
      <c r="X513" s="1"/>
      <c r="Y513" s="1"/>
      <c r="Z513" s="1"/>
    </row>
    <row r="514">
      <c r="A514" s="1"/>
      <c r="B514" s="1"/>
      <c r="C514" s="60" t="s">
        <v>21</v>
      </c>
      <c r="D514" s="61" t="s">
        <v>17</v>
      </c>
      <c r="E514" s="50">
        <v>0.0975</v>
      </c>
      <c r="F514" s="51">
        <v>27.2</v>
      </c>
      <c r="G514" s="52">
        <f t="shared" si="12"/>
        <v>29.852</v>
      </c>
      <c r="H514" s="51">
        <v>54.4</v>
      </c>
      <c r="I514" s="53">
        <f t="shared" si="14"/>
        <v>0.8223234624</v>
      </c>
      <c r="J514" s="12"/>
      <c r="K514" s="1"/>
      <c r="L514" s="1"/>
      <c r="M514" s="1"/>
      <c r="N514" s="1"/>
      <c r="O514" s="1"/>
      <c r="P514" s="1"/>
      <c r="Q514" s="1"/>
      <c r="R514" s="1"/>
      <c r="S514" s="1"/>
      <c r="T514" s="1"/>
      <c r="U514" s="1"/>
      <c r="V514" s="1"/>
      <c r="W514" s="1"/>
      <c r="X514" s="1"/>
      <c r="Y514" s="1"/>
      <c r="Z514" s="1"/>
    </row>
    <row r="515">
      <c r="A515" s="1"/>
      <c r="B515" s="1"/>
      <c r="C515" s="63" t="s">
        <v>22</v>
      </c>
      <c r="D515" s="64" t="s">
        <v>17</v>
      </c>
      <c r="E515" s="56">
        <v>0.0975</v>
      </c>
      <c r="F515" s="57">
        <v>50.4</v>
      </c>
      <c r="G515" s="58">
        <f t="shared" si="12"/>
        <v>55.314</v>
      </c>
      <c r="H515" s="57">
        <v>100.8</v>
      </c>
      <c r="I515" s="59">
        <f t="shared" si="14"/>
        <v>0.8223234624</v>
      </c>
      <c r="J515" s="12"/>
      <c r="K515" s="1"/>
      <c r="L515" s="1"/>
      <c r="M515" s="1"/>
      <c r="N515" s="1"/>
      <c r="O515" s="1"/>
      <c r="P515" s="1"/>
      <c r="Q515" s="1"/>
      <c r="R515" s="1"/>
      <c r="S515" s="1"/>
      <c r="T515" s="1"/>
      <c r="U515" s="1"/>
      <c r="V515" s="1"/>
      <c r="W515" s="1"/>
      <c r="X515" s="1"/>
      <c r="Y515" s="1"/>
      <c r="Z515" s="1"/>
    </row>
    <row r="516">
      <c r="A516" s="1"/>
      <c r="B516" s="1"/>
      <c r="C516" s="60" t="s">
        <v>23</v>
      </c>
      <c r="D516" s="61" t="s">
        <v>17</v>
      </c>
      <c r="E516" s="50">
        <v>0.0975</v>
      </c>
      <c r="F516" s="51">
        <v>32.4</v>
      </c>
      <c r="G516" s="52">
        <f t="shared" si="12"/>
        <v>35.559</v>
      </c>
      <c r="H516" s="51">
        <v>64.8</v>
      </c>
      <c r="I516" s="53">
        <f t="shared" si="14"/>
        <v>0.8223234624</v>
      </c>
      <c r="J516" s="12"/>
      <c r="K516" s="1"/>
      <c r="L516" s="1"/>
      <c r="M516" s="1"/>
      <c r="N516" s="1"/>
      <c r="O516" s="1"/>
      <c r="P516" s="1"/>
      <c r="Q516" s="1"/>
      <c r="R516" s="1"/>
      <c r="S516" s="1"/>
      <c r="T516" s="1"/>
      <c r="U516" s="1"/>
      <c r="V516" s="1"/>
      <c r="W516" s="1"/>
      <c r="X516" s="1"/>
      <c r="Y516" s="1"/>
      <c r="Z516" s="1"/>
    </row>
    <row r="517">
      <c r="A517" s="1"/>
      <c r="B517" s="1"/>
      <c r="C517" s="63" t="s">
        <v>24</v>
      </c>
      <c r="D517" s="64" t="s">
        <v>17</v>
      </c>
      <c r="E517" s="56">
        <v>0.0975</v>
      </c>
      <c r="F517" s="57">
        <v>879.19</v>
      </c>
      <c r="G517" s="58">
        <f t="shared" si="12"/>
        <v>964.911025</v>
      </c>
      <c r="H517" s="57">
        <v>1758.39</v>
      </c>
      <c r="I517" s="59">
        <f t="shared" si="14"/>
        <v>0.8223338261</v>
      </c>
      <c r="J517" s="12"/>
      <c r="K517" s="1"/>
      <c r="L517" s="1"/>
      <c r="M517" s="1"/>
      <c r="N517" s="1"/>
      <c r="O517" s="1"/>
      <c r="P517" s="1"/>
      <c r="Q517" s="1"/>
      <c r="R517" s="1"/>
      <c r="S517" s="1"/>
      <c r="T517" s="1"/>
      <c r="U517" s="1"/>
      <c r="V517" s="1"/>
      <c r="W517" s="1"/>
      <c r="X517" s="1"/>
      <c r="Y517" s="1"/>
      <c r="Z517" s="1"/>
    </row>
    <row r="518">
      <c r="A518" s="1"/>
      <c r="B518" s="1"/>
      <c r="C518" s="60" t="s">
        <v>25</v>
      </c>
      <c r="D518" s="61" t="s">
        <v>17</v>
      </c>
      <c r="E518" s="50">
        <v>0.0975</v>
      </c>
      <c r="F518" s="51">
        <v>921.06</v>
      </c>
      <c r="G518" s="52">
        <f t="shared" si="12"/>
        <v>1010.86335</v>
      </c>
      <c r="H518" s="51">
        <v>1842.12</v>
      </c>
      <c r="I518" s="53">
        <f t="shared" si="14"/>
        <v>0.8223234624</v>
      </c>
      <c r="J518" s="12"/>
      <c r="K518" s="1"/>
      <c r="L518" s="1"/>
      <c r="M518" s="1"/>
      <c r="N518" s="1"/>
      <c r="O518" s="1"/>
      <c r="P518" s="1"/>
      <c r="Q518" s="1"/>
      <c r="R518" s="1"/>
      <c r="S518" s="1"/>
      <c r="T518" s="1"/>
      <c r="U518" s="1"/>
      <c r="V518" s="1"/>
      <c r="W518" s="1"/>
      <c r="X518" s="1"/>
      <c r="Y518" s="1"/>
      <c r="Z518" s="1"/>
    </row>
    <row r="519">
      <c r="A519" s="1"/>
      <c r="B519" s="1"/>
      <c r="C519" s="63" t="s">
        <v>26</v>
      </c>
      <c r="D519" s="64" t="s">
        <v>17</v>
      </c>
      <c r="E519" s="56">
        <v>0.13</v>
      </c>
      <c r="F519" s="57">
        <v>26.63</v>
      </c>
      <c r="G519" s="58">
        <f t="shared" si="12"/>
        <v>30.0919</v>
      </c>
      <c r="H519" s="57">
        <v>53.26</v>
      </c>
      <c r="I519" s="59">
        <f t="shared" si="14"/>
        <v>0.7699115044</v>
      </c>
      <c r="J519" s="12"/>
      <c r="K519" s="1"/>
      <c r="L519" s="1"/>
      <c r="M519" s="1"/>
      <c r="N519" s="1"/>
      <c r="O519" s="1"/>
      <c r="P519" s="1"/>
      <c r="Q519" s="1"/>
      <c r="R519" s="1"/>
      <c r="S519" s="1"/>
      <c r="T519" s="1"/>
      <c r="U519" s="1"/>
      <c r="V519" s="1"/>
      <c r="W519" s="1"/>
      <c r="X519" s="1"/>
      <c r="Y519" s="1"/>
      <c r="Z519" s="1"/>
    </row>
    <row r="520">
      <c r="A520" s="1"/>
      <c r="B520" s="1"/>
      <c r="C520" s="60" t="s">
        <v>27</v>
      </c>
      <c r="D520" s="61" t="s">
        <v>17</v>
      </c>
      <c r="E520" s="50">
        <v>0.13</v>
      </c>
      <c r="F520" s="51">
        <v>19.75</v>
      </c>
      <c r="G520" s="52">
        <f t="shared" si="12"/>
        <v>22.3175</v>
      </c>
      <c r="H520" s="51">
        <v>39.5</v>
      </c>
      <c r="I520" s="53">
        <f t="shared" si="14"/>
        <v>0.7699115044</v>
      </c>
      <c r="J520" s="12"/>
      <c r="K520" s="1"/>
      <c r="L520" s="1"/>
      <c r="M520" s="1"/>
      <c r="N520" s="1"/>
      <c r="O520" s="1"/>
      <c r="P520" s="1"/>
      <c r="Q520" s="1"/>
      <c r="R520" s="1"/>
      <c r="S520" s="1"/>
      <c r="T520" s="1"/>
      <c r="U520" s="1"/>
      <c r="V520" s="1"/>
      <c r="W520" s="1"/>
      <c r="X520" s="1"/>
      <c r="Y520" s="1"/>
      <c r="Z520" s="1"/>
    </row>
    <row r="521">
      <c r="A521" s="1"/>
      <c r="B521" s="1"/>
      <c r="C521" s="63" t="s">
        <v>28</v>
      </c>
      <c r="D521" s="64" t="s">
        <v>17</v>
      </c>
      <c r="E521" s="56">
        <v>0.0</v>
      </c>
      <c r="F521" s="57">
        <v>297.6</v>
      </c>
      <c r="G521" s="58">
        <f t="shared" si="12"/>
        <v>297.6</v>
      </c>
      <c r="H521" s="57">
        <v>595.2</v>
      </c>
      <c r="I521" s="59">
        <f t="shared" si="14"/>
        <v>1</v>
      </c>
      <c r="J521" s="12"/>
      <c r="K521" s="1"/>
      <c r="L521" s="1"/>
      <c r="M521" s="1"/>
      <c r="N521" s="1"/>
      <c r="O521" s="1"/>
      <c r="P521" s="1"/>
      <c r="Q521" s="1"/>
      <c r="R521" s="1"/>
      <c r="S521" s="1"/>
      <c r="T521" s="1"/>
      <c r="U521" s="1"/>
      <c r="V521" s="1"/>
      <c r="W521" s="1"/>
      <c r="X521" s="1"/>
      <c r="Y521" s="1"/>
      <c r="Z521" s="1"/>
    </row>
    <row r="522">
      <c r="A522" s="1"/>
      <c r="B522" s="1"/>
      <c r="C522" s="60" t="s">
        <v>29</v>
      </c>
      <c r="D522" s="61" t="s">
        <v>17</v>
      </c>
      <c r="E522" s="50">
        <v>0.13</v>
      </c>
      <c r="F522" s="51">
        <v>403.49</v>
      </c>
      <c r="G522" s="52">
        <f t="shared" si="12"/>
        <v>455.9437</v>
      </c>
      <c r="H522" s="51">
        <v>806.99</v>
      </c>
      <c r="I522" s="53">
        <f t="shared" si="14"/>
        <v>0.769933437</v>
      </c>
      <c r="J522" s="12"/>
      <c r="K522" s="1"/>
      <c r="L522" s="1"/>
      <c r="M522" s="1"/>
      <c r="N522" s="1"/>
      <c r="O522" s="1"/>
      <c r="P522" s="1"/>
      <c r="Q522" s="1"/>
      <c r="R522" s="1"/>
      <c r="S522" s="1"/>
      <c r="T522" s="1"/>
      <c r="U522" s="1"/>
      <c r="V522" s="1"/>
      <c r="W522" s="1"/>
      <c r="X522" s="1"/>
      <c r="Y522" s="1"/>
      <c r="Z522" s="1"/>
    </row>
    <row r="523">
      <c r="A523" s="1"/>
      <c r="B523" s="1"/>
      <c r="C523" s="63" t="s">
        <v>30</v>
      </c>
      <c r="D523" s="64" t="s">
        <v>17</v>
      </c>
      <c r="E523" s="56">
        <v>0.13</v>
      </c>
      <c r="F523" s="57">
        <v>225.98</v>
      </c>
      <c r="G523" s="58">
        <f t="shared" si="12"/>
        <v>255.3574</v>
      </c>
      <c r="H523" s="57">
        <v>451.95</v>
      </c>
      <c r="I523" s="59">
        <f t="shared" si="14"/>
        <v>0.7698723436</v>
      </c>
      <c r="J523" s="12"/>
      <c r="K523" s="1"/>
      <c r="L523" s="1"/>
      <c r="M523" s="1"/>
      <c r="N523" s="1"/>
      <c r="O523" s="1"/>
      <c r="P523" s="1"/>
      <c r="Q523" s="1"/>
      <c r="R523" s="1"/>
      <c r="S523" s="1"/>
      <c r="T523" s="1"/>
      <c r="U523" s="1"/>
      <c r="V523" s="1"/>
      <c r="W523" s="1"/>
      <c r="X523" s="1"/>
      <c r="Y523" s="1"/>
      <c r="Z523" s="1"/>
    </row>
    <row r="524">
      <c r="A524" s="1"/>
      <c r="B524" s="1"/>
      <c r="C524" s="60" t="s">
        <v>31</v>
      </c>
      <c r="D524" s="61" t="s">
        <v>17</v>
      </c>
      <c r="E524" s="50">
        <v>0.13</v>
      </c>
      <c r="F524" s="51">
        <v>278.37</v>
      </c>
      <c r="G524" s="52">
        <f t="shared" si="12"/>
        <v>314.5581</v>
      </c>
      <c r="H524" s="51">
        <v>556.74</v>
      </c>
      <c r="I524" s="53">
        <f t="shared" si="14"/>
        <v>0.7699115044</v>
      </c>
      <c r="J524" s="12"/>
      <c r="K524" s="1"/>
      <c r="L524" s="1"/>
      <c r="M524" s="1"/>
      <c r="N524" s="1"/>
      <c r="O524" s="1"/>
      <c r="P524" s="1"/>
      <c r="Q524" s="1"/>
      <c r="R524" s="1"/>
      <c r="S524" s="1"/>
      <c r="T524" s="1"/>
      <c r="U524" s="1"/>
      <c r="V524" s="1"/>
      <c r="W524" s="1"/>
      <c r="X524" s="1"/>
      <c r="Y524" s="1"/>
      <c r="Z524" s="1"/>
    </row>
    <row r="525">
      <c r="A525" s="1"/>
      <c r="B525" s="1"/>
      <c r="C525" s="63" t="s">
        <v>32</v>
      </c>
      <c r="D525" s="64" t="s">
        <v>17</v>
      </c>
      <c r="E525" s="56">
        <v>0.0325</v>
      </c>
      <c r="F525" s="57">
        <v>549.34</v>
      </c>
      <c r="G525" s="58">
        <f t="shared" si="12"/>
        <v>567.19355</v>
      </c>
      <c r="H525" s="57">
        <v>1098.68</v>
      </c>
      <c r="I525" s="59">
        <f t="shared" si="14"/>
        <v>0.9370460048</v>
      </c>
      <c r="J525" s="12"/>
      <c r="K525" s="1"/>
      <c r="L525" s="1"/>
      <c r="M525" s="1"/>
      <c r="N525" s="1"/>
      <c r="O525" s="1"/>
      <c r="P525" s="1"/>
      <c r="Q525" s="1"/>
      <c r="R525" s="1"/>
      <c r="S525" s="1"/>
      <c r="T525" s="1"/>
      <c r="U525" s="1"/>
      <c r="V525" s="1"/>
      <c r="W525" s="1"/>
      <c r="X525" s="1"/>
      <c r="Y525" s="1"/>
      <c r="Z525" s="1"/>
    </row>
    <row r="526">
      <c r="A526" s="1"/>
      <c r="B526" s="1"/>
      <c r="C526" s="60" t="s">
        <v>33</v>
      </c>
      <c r="D526" s="61" t="s">
        <v>17</v>
      </c>
      <c r="E526" s="50">
        <v>0.0325</v>
      </c>
      <c r="F526" s="51">
        <v>531.34</v>
      </c>
      <c r="G526" s="52">
        <f t="shared" si="12"/>
        <v>548.60855</v>
      </c>
      <c r="H526" s="51">
        <v>1062.68</v>
      </c>
      <c r="I526" s="53">
        <f t="shared" si="14"/>
        <v>0.9370460048</v>
      </c>
      <c r="J526" s="12"/>
      <c r="K526" s="1"/>
      <c r="L526" s="1"/>
      <c r="M526" s="1"/>
      <c r="N526" s="1"/>
      <c r="O526" s="1"/>
      <c r="P526" s="1"/>
      <c r="Q526" s="1"/>
      <c r="R526" s="1"/>
      <c r="S526" s="1"/>
      <c r="T526" s="1"/>
      <c r="U526" s="1"/>
      <c r="V526" s="1"/>
      <c r="W526" s="1"/>
      <c r="X526" s="1"/>
      <c r="Y526" s="1"/>
      <c r="Z526" s="1"/>
    </row>
    <row r="527">
      <c r="A527" s="1"/>
      <c r="B527" s="1"/>
      <c r="C527" s="63" t="s">
        <v>34</v>
      </c>
      <c r="D527" s="64" t="s">
        <v>17</v>
      </c>
      <c r="E527" s="56">
        <v>0.0325</v>
      </c>
      <c r="F527" s="57">
        <v>516.34</v>
      </c>
      <c r="G527" s="58">
        <f t="shared" si="12"/>
        <v>533.12105</v>
      </c>
      <c r="H527" s="57">
        <v>1032.68</v>
      </c>
      <c r="I527" s="59">
        <f t="shared" si="14"/>
        <v>0.9370460048</v>
      </c>
      <c r="J527" s="12"/>
      <c r="K527" s="1"/>
      <c r="L527" s="1"/>
      <c r="M527" s="1"/>
      <c r="N527" s="1"/>
      <c r="O527" s="1"/>
      <c r="P527" s="1"/>
      <c r="Q527" s="1"/>
      <c r="R527" s="1"/>
      <c r="S527" s="1"/>
      <c r="T527" s="1"/>
      <c r="U527" s="1"/>
      <c r="V527" s="1"/>
      <c r="W527" s="1"/>
      <c r="X527" s="1"/>
      <c r="Y527" s="1"/>
      <c r="Z527" s="1"/>
    </row>
    <row r="528">
      <c r="A528" s="1"/>
      <c r="B528" s="1"/>
      <c r="C528" s="60" t="s">
        <v>35</v>
      </c>
      <c r="D528" s="61" t="s">
        <v>17</v>
      </c>
      <c r="E528" s="50">
        <v>0.0325</v>
      </c>
      <c r="F528" s="51">
        <v>498.34</v>
      </c>
      <c r="G528" s="52">
        <f t="shared" si="12"/>
        <v>514.53605</v>
      </c>
      <c r="H528" s="51">
        <v>996.28</v>
      </c>
      <c r="I528" s="53">
        <f t="shared" si="14"/>
        <v>0.9362686055</v>
      </c>
      <c r="J528" s="12"/>
      <c r="K528" s="1"/>
      <c r="L528" s="1"/>
      <c r="M528" s="1"/>
      <c r="N528" s="1"/>
      <c r="O528" s="1"/>
      <c r="P528" s="1"/>
      <c r="Q528" s="1"/>
      <c r="R528" s="1"/>
      <c r="S528" s="1"/>
      <c r="T528" s="1"/>
      <c r="U528" s="1"/>
      <c r="V528" s="1"/>
      <c r="W528" s="1"/>
      <c r="X528" s="1"/>
      <c r="Y528" s="1"/>
      <c r="Z528" s="1"/>
    </row>
    <row r="529">
      <c r="A529" s="1"/>
      <c r="B529" s="1"/>
      <c r="C529" s="63" t="s">
        <v>36</v>
      </c>
      <c r="D529" s="64" t="s">
        <v>17</v>
      </c>
      <c r="E529" s="56">
        <v>0.0325</v>
      </c>
      <c r="F529" s="57">
        <v>529.42</v>
      </c>
      <c r="G529" s="58">
        <f t="shared" si="12"/>
        <v>546.62615</v>
      </c>
      <c r="H529" s="57">
        <v>1058.84</v>
      </c>
      <c r="I529" s="59">
        <f t="shared" si="14"/>
        <v>0.9370460048</v>
      </c>
      <c r="J529" s="12"/>
      <c r="K529" s="1"/>
      <c r="L529" s="1"/>
      <c r="M529" s="1"/>
      <c r="N529" s="1"/>
      <c r="O529" s="1"/>
      <c r="P529" s="1"/>
      <c r="Q529" s="1"/>
      <c r="R529" s="1"/>
      <c r="S529" s="1"/>
      <c r="T529" s="1"/>
      <c r="U529" s="1"/>
      <c r="V529" s="1"/>
      <c r="W529" s="1"/>
      <c r="X529" s="1"/>
      <c r="Y529" s="1"/>
      <c r="Z529" s="1"/>
    </row>
    <row r="530">
      <c r="A530" s="1"/>
      <c r="B530" s="1"/>
      <c r="C530" s="60" t="s">
        <v>37</v>
      </c>
      <c r="D530" s="61" t="s">
        <v>17</v>
      </c>
      <c r="E530" s="50">
        <v>0.0325</v>
      </c>
      <c r="F530" s="51">
        <v>511.42</v>
      </c>
      <c r="G530" s="52">
        <f t="shared" si="12"/>
        <v>528.04115</v>
      </c>
      <c r="H530" s="51">
        <v>1022.84</v>
      </c>
      <c r="I530" s="53">
        <f t="shared" si="14"/>
        <v>0.9370460048</v>
      </c>
      <c r="J530" s="12"/>
      <c r="K530" s="1"/>
      <c r="L530" s="1"/>
      <c r="M530" s="1"/>
      <c r="N530" s="1"/>
      <c r="O530" s="1"/>
      <c r="P530" s="1"/>
      <c r="Q530" s="1"/>
      <c r="R530" s="1"/>
      <c r="S530" s="1"/>
      <c r="T530" s="1"/>
      <c r="U530" s="1"/>
      <c r="V530" s="1"/>
      <c r="W530" s="1"/>
      <c r="X530" s="1"/>
      <c r="Y530" s="1"/>
      <c r="Z530" s="1"/>
    </row>
    <row r="531">
      <c r="A531" s="1"/>
      <c r="B531" s="1"/>
      <c r="C531" s="63" t="s">
        <v>38</v>
      </c>
      <c r="D531" s="64" t="s">
        <v>17</v>
      </c>
      <c r="E531" s="56">
        <v>0.0325</v>
      </c>
      <c r="F531" s="57">
        <v>126.6</v>
      </c>
      <c r="G531" s="58">
        <f t="shared" si="12"/>
        <v>130.7145</v>
      </c>
      <c r="H531" s="57">
        <v>253.2</v>
      </c>
      <c r="I531" s="59">
        <f t="shared" si="14"/>
        <v>0.9370460048</v>
      </c>
      <c r="J531" s="12"/>
      <c r="K531" s="1"/>
      <c r="L531" s="1"/>
      <c r="M531" s="1"/>
      <c r="N531" s="1"/>
      <c r="O531" s="1"/>
      <c r="P531" s="1"/>
      <c r="Q531" s="1"/>
      <c r="R531" s="1"/>
      <c r="S531" s="1"/>
      <c r="T531" s="1"/>
      <c r="U531" s="1"/>
      <c r="V531" s="1"/>
      <c r="W531" s="1"/>
      <c r="X531" s="1"/>
      <c r="Y531" s="1"/>
      <c r="Z531" s="1"/>
    </row>
    <row r="532">
      <c r="A532" s="1"/>
      <c r="B532" s="1"/>
      <c r="C532" s="60" t="s">
        <v>39</v>
      </c>
      <c r="D532" s="61" t="s">
        <v>17</v>
      </c>
      <c r="E532" s="50">
        <v>0.0325</v>
      </c>
      <c r="F532" s="51">
        <v>159.24</v>
      </c>
      <c r="G532" s="52">
        <f t="shared" si="12"/>
        <v>164.4153</v>
      </c>
      <c r="H532" s="51">
        <v>318.48</v>
      </c>
      <c r="I532" s="53">
        <f t="shared" si="14"/>
        <v>0.9370460048</v>
      </c>
      <c r="J532" s="12"/>
      <c r="K532" s="1"/>
      <c r="L532" s="1"/>
      <c r="M532" s="1"/>
      <c r="N532" s="1"/>
      <c r="O532" s="1"/>
      <c r="P532" s="1"/>
      <c r="Q532" s="1"/>
      <c r="R532" s="1"/>
      <c r="S532" s="1"/>
      <c r="T532" s="1"/>
      <c r="U532" s="1"/>
      <c r="V532" s="1"/>
      <c r="W532" s="1"/>
      <c r="X532" s="1"/>
      <c r="Y532" s="1"/>
      <c r="Z532" s="1"/>
    </row>
    <row r="533">
      <c r="A533" s="1"/>
      <c r="B533" s="1"/>
      <c r="C533" s="63" t="s">
        <v>40</v>
      </c>
      <c r="D533" s="64" t="s">
        <v>17</v>
      </c>
      <c r="E533" s="56">
        <v>0.0325</v>
      </c>
      <c r="F533" s="57">
        <v>144.6</v>
      </c>
      <c r="G533" s="58">
        <f t="shared" si="12"/>
        <v>149.2995</v>
      </c>
      <c r="H533" s="57">
        <v>289.2</v>
      </c>
      <c r="I533" s="59">
        <f t="shared" si="14"/>
        <v>0.9370460048</v>
      </c>
      <c r="J533" s="12"/>
      <c r="K533" s="1"/>
      <c r="L533" s="1"/>
      <c r="M533" s="1"/>
      <c r="N533" s="1"/>
      <c r="O533" s="1"/>
      <c r="P533" s="1"/>
      <c r="Q533" s="1"/>
      <c r="R533" s="1"/>
      <c r="S533" s="1"/>
      <c r="T533" s="1"/>
      <c r="U533" s="1"/>
      <c r="V533" s="1"/>
      <c r="W533" s="1"/>
      <c r="X533" s="1"/>
      <c r="Y533" s="1"/>
      <c r="Z533" s="1"/>
    </row>
    <row r="534">
      <c r="A534" s="1"/>
      <c r="B534" s="1"/>
      <c r="C534" s="60" t="s">
        <v>41</v>
      </c>
      <c r="D534" s="61" t="s">
        <v>17</v>
      </c>
      <c r="E534" s="50">
        <v>0.0325</v>
      </c>
      <c r="F534" s="51">
        <v>151.6</v>
      </c>
      <c r="G534" s="52">
        <f t="shared" si="12"/>
        <v>156.527</v>
      </c>
      <c r="H534" s="51">
        <v>303.2</v>
      </c>
      <c r="I534" s="53">
        <f t="shared" si="14"/>
        <v>0.9370460048</v>
      </c>
      <c r="J534" s="12"/>
      <c r="K534" s="1"/>
      <c r="L534" s="1"/>
      <c r="M534" s="1"/>
      <c r="N534" s="1"/>
      <c r="O534" s="1"/>
      <c r="P534" s="1"/>
      <c r="Q534" s="1"/>
      <c r="R534" s="1"/>
      <c r="S534" s="1"/>
      <c r="T534" s="1"/>
      <c r="U534" s="1"/>
      <c r="V534" s="1"/>
      <c r="W534" s="1"/>
      <c r="X534" s="1"/>
      <c r="Y534" s="1"/>
      <c r="Z534" s="1"/>
    </row>
    <row r="535">
      <c r="A535" s="1"/>
      <c r="B535" s="1"/>
      <c r="C535" s="63" t="s">
        <v>42</v>
      </c>
      <c r="D535" s="64" t="s">
        <v>17</v>
      </c>
      <c r="E535" s="56">
        <v>0.0325</v>
      </c>
      <c r="F535" s="57">
        <v>133.6</v>
      </c>
      <c r="G535" s="58">
        <f t="shared" si="12"/>
        <v>137.942</v>
      </c>
      <c r="H535" s="57">
        <v>267.2</v>
      </c>
      <c r="I535" s="59">
        <f t="shared" si="14"/>
        <v>0.9370460048</v>
      </c>
      <c r="J535" s="12"/>
      <c r="K535" s="1"/>
      <c r="L535" s="1"/>
      <c r="M535" s="1"/>
      <c r="N535" s="1"/>
      <c r="O535" s="1"/>
      <c r="P535" s="1"/>
      <c r="Q535" s="1"/>
      <c r="R535" s="1"/>
      <c r="S535" s="1"/>
      <c r="T535" s="1"/>
      <c r="U535" s="1"/>
      <c r="V535" s="1"/>
      <c r="W535" s="1"/>
      <c r="X535" s="1"/>
      <c r="Y535" s="1"/>
      <c r="Z535" s="1"/>
    </row>
    <row r="536">
      <c r="A536" s="1"/>
      <c r="B536" s="1"/>
      <c r="C536" s="60" t="s">
        <v>43</v>
      </c>
      <c r="D536" s="61" t="s">
        <v>17</v>
      </c>
      <c r="E536" s="50">
        <v>0.0325</v>
      </c>
      <c r="F536" s="51">
        <v>165.6</v>
      </c>
      <c r="G536" s="52">
        <f t="shared" si="12"/>
        <v>170.982</v>
      </c>
      <c r="H536" s="51">
        <v>331.2</v>
      </c>
      <c r="I536" s="53">
        <f t="shared" si="14"/>
        <v>0.9370460048</v>
      </c>
      <c r="J536" s="12"/>
      <c r="K536" s="1"/>
      <c r="L536" s="1"/>
      <c r="M536" s="1"/>
      <c r="N536" s="1"/>
      <c r="O536" s="1"/>
      <c r="P536" s="1"/>
      <c r="Q536" s="1"/>
      <c r="R536" s="1"/>
      <c r="S536" s="1"/>
      <c r="T536" s="1"/>
      <c r="U536" s="1"/>
      <c r="V536" s="1"/>
      <c r="W536" s="1"/>
      <c r="X536" s="1"/>
      <c r="Y536" s="1"/>
      <c r="Z536" s="1"/>
    </row>
    <row r="537">
      <c r="A537" s="1"/>
      <c r="B537" s="1"/>
      <c r="C537" s="63" t="s">
        <v>44</v>
      </c>
      <c r="D537" s="64" t="s">
        <v>17</v>
      </c>
      <c r="E537" s="56">
        <v>0.0325</v>
      </c>
      <c r="F537" s="57">
        <v>147.6</v>
      </c>
      <c r="G537" s="58">
        <f t="shared" si="12"/>
        <v>152.397</v>
      </c>
      <c r="H537" s="57">
        <v>295.2</v>
      </c>
      <c r="I537" s="59">
        <f t="shared" si="14"/>
        <v>0.9370460048</v>
      </c>
      <c r="J537" s="12"/>
      <c r="K537" s="1"/>
      <c r="L537" s="1"/>
      <c r="M537" s="1"/>
      <c r="N537" s="1"/>
      <c r="O537" s="1"/>
      <c r="P537" s="1"/>
      <c r="Q537" s="1"/>
      <c r="R537" s="1"/>
      <c r="S537" s="1"/>
      <c r="T537" s="1"/>
      <c r="U537" s="1"/>
      <c r="V537" s="1"/>
      <c r="W537" s="1"/>
      <c r="X537" s="1"/>
      <c r="Y537" s="1"/>
      <c r="Z537" s="1"/>
    </row>
    <row r="538">
      <c r="A538" s="1"/>
      <c r="B538" s="1"/>
      <c r="C538" s="60" t="s">
        <v>45</v>
      </c>
      <c r="D538" s="61" t="s">
        <v>17</v>
      </c>
      <c r="E538" s="50">
        <v>0.0325</v>
      </c>
      <c r="F538" s="51">
        <v>177.24</v>
      </c>
      <c r="G538" s="52">
        <f t="shared" si="12"/>
        <v>183.0003</v>
      </c>
      <c r="H538" s="51">
        <v>354.48</v>
      </c>
      <c r="I538" s="53">
        <f t="shared" si="14"/>
        <v>0.9370460048</v>
      </c>
      <c r="J538" s="12"/>
      <c r="K538" s="1"/>
      <c r="L538" s="1"/>
      <c r="M538" s="1"/>
      <c r="N538" s="1"/>
      <c r="O538" s="1"/>
      <c r="P538" s="1"/>
      <c r="Q538" s="1"/>
      <c r="R538" s="1"/>
      <c r="S538" s="1"/>
      <c r="T538" s="1"/>
      <c r="U538" s="1"/>
      <c r="V538" s="1"/>
      <c r="W538" s="1"/>
      <c r="X538" s="1"/>
      <c r="Y538" s="1"/>
      <c r="Z538" s="1"/>
    </row>
    <row r="539">
      <c r="A539" s="1"/>
      <c r="B539" s="1"/>
      <c r="C539" s="63" t="s">
        <v>46</v>
      </c>
      <c r="D539" s="64" t="s">
        <v>17</v>
      </c>
      <c r="E539" s="56">
        <v>0.0325</v>
      </c>
      <c r="F539" s="57">
        <v>190.32</v>
      </c>
      <c r="G539" s="58">
        <f t="shared" si="12"/>
        <v>196.5054</v>
      </c>
      <c r="H539" s="57">
        <v>380.64</v>
      </c>
      <c r="I539" s="59">
        <f t="shared" si="14"/>
        <v>0.9370460048</v>
      </c>
      <c r="J539" s="12"/>
      <c r="K539" s="1"/>
      <c r="L539" s="1"/>
      <c r="M539" s="1"/>
      <c r="N539" s="1"/>
      <c r="O539" s="1"/>
      <c r="P539" s="1"/>
      <c r="Q539" s="1"/>
      <c r="R539" s="1"/>
      <c r="S539" s="1"/>
      <c r="T539" s="1"/>
      <c r="U539" s="1"/>
      <c r="V539" s="1"/>
      <c r="W539" s="1"/>
      <c r="X539" s="1"/>
      <c r="Y539" s="1"/>
      <c r="Z539" s="1"/>
    </row>
    <row r="540">
      <c r="A540" s="1"/>
      <c r="B540" s="1"/>
      <c r="C540" s="60" t="s">
        <v>47</v>
      </c>
      <c r="D540" s="61" t="s">
        <v>17</v>
      </c>
      <c r="E540" s="50">
        <v>0.0325</v>
      </c>
      <c r="F540" s="51">
        <v>172.32</v>
      </c>
      <c r="G540" s="52">
        <f t="shared" si="12"/>
        <v>177.9204</v>
      </c>
      <c r="H540" s="51">
        <v>344.64</v>
      </c>
      <c r="I540" s="53">
        <f t="shared" si="14"/>
        <v>0.9370460048</v>
      </c>
      <c r="J540" s="12"/>
      <c r="K540" s="1"/>
      <c r="L540" s="1"/>
      <c r="M540" s="1"/>
      <c r="N540" s="1"/>
      <c r="O540" s="1"/>
      <c r="P540" s="1"/>
      <c r="Q540" s="1"/>
      <c r="R540" s="1"/>
      <c r="S540" s="1"/>
      <c r="T540" s="1"/>
      <c r="U540" s="1"/>
      <c r="V540" s="1"/>
      <c r="W540" s="1"/>
      <c r="X540" s="1"/>
      <c r="Y540" s="1"/>
      <c r="Z540" s="1"/>
    </row>
    <row r="541">
      <c r="A541" s="1"/>
      <c r="B541" s="1"/>
      <c r="C541" s="63" t="s">
        <v>48</v>
      </c>
      <c r="D541" s="64" t="s">
        <v>17</v>
      </c>
      <c r="E541" s="56">
        <v>0.0325</v>
      </c>
      <c r="F541" s="57">
        <v>210.24</v>
      </c>
      <c r="G541" s="58">
        <f t="shared" si="12"/>
        <v>217.0728</v>
      </c>
      <c r="H541" s="57">
        <v>420.48</v>
      </c>
      <c r="I541" s="59">
        <f t="shared" si="14"/>
        <v>0.9370460048</v>
      </c>
      <c r="J541" s="12"/>
      <c r="K541" s="1"/>
      <c r="L541" s="1"/>
      <c r="M541" s="1"/>
      <c r="N541" s="1"/>
      <c r="O541" s="1"/>
      <c r="P541" s="1"/>
      <c r="Q541" s="1"/>
      <c r="R541" s="1"/>
      <c r="S541" s="1"/>
      <c r="T541" s="1"/>
      <c r="U541" s="1"/>
      <c r="V541" s="1"/>
      <c r="W541" s="1"/>
      <c r="X541" s="1"/>
      <c r="Y541" s="1"/>
      <c r="Z541" s="1"/>
    </row>
    <row r="542">
      <c r="A542" s="1"/>
      <c r="B542" s="1"/>
      <c r="C542" s="60" t="s">
        <v>49</v>
      </c>
      <c r="D542" s="61" t="s">
        <v>17</v>
      </c>
      <c r="E542" s="50">
        <v>0.0325</v>
      </c>
      <c r="F542" s="51">
        <v>192.24</v>
      </c>
      <c r="G542" s="52">
        <f t="shared" si="12"/>
        <v>198.4878</v>
      </c>
      <c r="H542" s="51">
        <v>384.48</v>
      </c>
      <c r="I542" s="53">
        <f t="shared" si="14"/>
        <v>0.9370460048</v>
      </c>
      <c r="J542" s="12"/>
      <c r="K542" s="1"/>
      <c r="L542" s="1"/>
      <c r="M542" s="1"/>
      <c r="N542" s="1"/>
      <c r="O542" s="1"/>
      <c r="P542" s="1"/>
      <c r="Q542" s="1"/>
      <c r="R542" s="1"/>
      <c r="S542" s="1"/>
      <c r="T542" s="1"/>
      <c r="U542" s="1"/>
      <c r="V542" s="1"/>
      <c r="W542" s="1"/>
      <c r="X542" s="1"/>
      <c r="Y542" s="1"/>
      <c r="Z542" s="1"/>
    </row>
    <row r="543">
      <c r="A543" s="1"/>
      <c r="B543" s="1"/>
      <c r="C543" s="63" t="s">
        <v>50</v>
      </c>
      <c r="D543" s="64" t="s">
        <v>17</v>
      </c>
      <c r="E543" s="56">
        <v>0.0325</v>
      </c>
      <c r="F543" s="57">
        <v>1344.0</v>
      </c>
      <c r="G543" s="58">
        <f t="shared" si="12"/>
        <v>1387.68</v>
      </c>
      <c r="H543" s="57">
        <v>2688.0</v>
      </c>
      <c r="I543" s="59">
        <f t="shared" si="14"/>
        <v>0.9370460048</v>
      </c>
      <c r="J543" s="12"/>
      <c r="K543" s="1"/>
      <c r="L543" s="1"/>
      <c r="M543" s="1"/>
      <c r="N543" s="1"/>
      <c r="O543" s="1"/>
      <c r="P543" s="1"/>
      <c r="Q543" s="1"/>
      <c r="R543" s="1"/>
      <c r="S543" s="1"/>
      <c r="T543" s="1"/>
      <c r="U543" s="1"/>
      <c r="V543" s="1"/>
      <c r="W543" s="1"/>
      <c r="X543" s="1"/>
      <c r="Y543" s="1"/>
      <c r="Z543" s="1"/>
    </row>
    <row r="544">
      <c r="A544" s="1"/>
      <c r="B544" s="1"/>
      <c r="C544" s="60" t="s">
        <v>51</v>
      </c>
      <c r="D544" s="61" t="s">
        <v>17</v>
      </c>
      <c r="E544" s="50">
        <v>0.0325</v>
      </c>
      <c r="F544" s="51">
        <v>356.95</v>
      </c>
      <c r="G544" s="52">
        <f t="shared" si="12"/>
        <v>368.550875</v>
      </c>
      <c r="H544" s="51">
        <v>713.91</v>
      </c>
      <c r="I544" s="53">
        <f t="shared" si="14"/>
        <v>0.9370731381</v>
      </c>
      <c r="J544" s="12"/>
      <c r="K544" s="1"/>
      <c r="L544" s="1"/>
      <c r="M544" s="1"/>
      <c r="N544" s="1"/>
      <c r="O544" s="1"/>
      <c r="P544" s="1"/>
      <c r="Q544" s="1"/>
      <c r="R544" s="1"/>
      <c r="S544" s="1"/>
      <c r="T544" s="1"/>
      <c r="U544" s="1"/>
      <c r="V544" s="1"/>
      <c r="W544" s="1"/>
      <c r="X544" s="1"/>
      <c r="Y544" s="1"/>
      <c r="Z544" s="1"/>
    </row>
    <row r="545">
      <c r="A545" s="1"/>
      <c r="B545" s="1"/>
      <c r="C545" s="63" t="s">
        <v>52</v>
      </c>
      <c r="D545" s="64" t="s">
        <v>17</v>
      </c>
      <c r="E545" s="56">
        <v>0.0325</v>
      </c>
      <c r="F545" s="57">
        <v>339.1</v>
      </c>
      <c r="G545" s="58">
        <f t="shared" si="12"/>
        <v>350.12075</v>
      </c>
      <c r="H545" s="57">
        <v>678.2</v>
      </c>
      <c r="I545" s="59">
        <f t="shared" si="14"/>
        <v>0.9370460048</v>
      </c>
      <c r="J545" s="12"/>
      <c r="K545" s="1"/>
      <c r="L545" s="1"/>
      <c r="M545" s="1"/>
      <c r="N545" s="1"/>
      <c r="O545" s="1"/>
      <c r="P545" s="1"/>
      <c r="Q545" s="1"/>
      <c r="R545" s="1"/>
      <c r="S545" s="1"/>
      <c r="T545" s="1"/>
      <c r="U545" s="1"/>
      <c r="V545" s="1"/>
      <c r="W545" s="1"/>
      <c r="X545" s="1"/>
      <c r="Y545" s="1"/>
      <c r="Z545" s="1"/>
    </row>
    <row r="546">
      <c r="A546" s="1"/>
      <c r="B546" s="1"/>
      <c r="C546" s="60" t="s">
        <v>53</v>
      </c>
      <c r="D546" s="61" t="s">
        <v>17</v>
      </c>
      <c r="E546" s="50">
        <v>0.0325</v>
      </c>
      <c r="F546" s="51">
        <v>1019.5</v>
      </c>
      <c r="G546" s="52">
        <f t="shared" si="12"/>
        <v>1052.63375</v>
      </c>
      <c r="H546" s="51">
        <v>2039.0</v>
      </c>
      <c r="I546" s="53">
        <f t="shared" si="14"/>
        <v>0.9370460048</v>
      </c>
      <c r="J546" s="12"/>
      <c r="K546" s="1"/>
      <c r="L546" s="1"/>
      <c r="M546" s="1"/>
      <c r="N546" s="1"/>
      <c r="O546" s="1"/>
      <c r="P546" s="1"/>
      <c r="Q546" s="1"/>
      <c r="R546" s="1"/>
      <c r="S546" s="1"/>
      <c r="T546" s="1"/>
      <c r="U546" s="1"/>
      <c r="V546" s="1"/>
      <c r="W546" s="1"/>
      <c r="X546" s="1"/>
      <c r="Y546" s="1"/>
      <c r="Z546" s="1"/>
    </row>
    <row r="547">
      <c r="A547" s="1"/>
      <c r="B547" s="1"/>
      <c r="C547" s="63" t="s">
        <v>54</v>
      </c>
      <c r="D547" s="64" t="s">
        <v>17</v>
      </c>
      <c r="E547" s="56">
        <v>0.0325</v>
      </c>
      <c r="F547" s="57">
        <v>422.68</v>
      </c>
      <c r="G547" s="58">
        <f t="shared" si="12"/>
        <v>436.4171</v>
      </c>
      <c r="H547" s="57">
        <v>845.36</v>
      </c>
      <c r="I547" s="59">
        <f t="shared" si="14"/>
        <v>0.9370460048</v>
      </c>
      <c r="J547" s="12"/>
      <c r="K547" s="1"/>
      <c r="L547" s="1"/>
      <c r="M547" s="1"/>
      <c r="N547" s="1"/>
      <c r="O547" s="1"/>
      <c r="P547" s="1"/>
      <c r="Q547" s="1"/>
      <c r="R547" s="1"/>
      <c r="S547" s="1"/>
      <c r="T547" s="1"/>
      <c r="U547" s="1"/>
      <c r="V547" s="1"/>
      <c r="W547" s="1"/>
      <c r="X547" s="1"/>
      <c r="Y547" s="1"/>
      <c r="Z547" s="1"/>
    </row>
    <row r="548">
      <c r="A548" s="1"/>
      <c r="B548" s="1"/>
      <c r="C548" s="60" t="s">
        <v>55</v>
      </c>
      <c r="D548" s="61" t="s">
        <v>17</v>
      </c>
      <c r="E548" s="50">
        <v>0.0325</v>
      </c>
      <c r="F548" s="51">
        <v>355.89</v>
      </c>
      <c r="G548" s="52">
        <f t="shared" si="12"/>
        <v>367.456425</v>
      </c>
      <c r="H548" s="51">
        <v>711.79</v>
      </c>
      <c r="I548" s="53">
        <f t="shared" si="14"/>
        <v>0.937073219</v>
      </c>
      <c r="J548" s="12"/>
      <c r="K548" s="1"/>
      <c r="L548" s="1"/>
      <c r="M548" s="1"/>
      <c r="N548" s="1"/>
      <c r="O548" s="1"/>
      <c r="P548" s="1"/>
      <c r="Q548" s="1"/>
      <c r="R548" s="1"/>
      <c r="S548" s="1"/>
      <c r="T548" s="1"/>
      <c r="U548" s="1"/>
      <c r="V548" s="1"/>
      <c r="W548" s="1"/>
      <c r="X548" s="1"/>
      <c r="Y548" s="1"/>
      <c r="Z548" s="1"/>
    </row>
    <row r="549">
      <c r="A549" s="1"/>
      <c r="B549" s="1"/>
      <c r="C549" s="63" t="s">
        <v>56</v>
      </c>
      <c r="D549" s="64" t="s">
        <v>17</v>
      </c>
      <c r="E549" s="56">
        <v>0.13</v>
      </c>
      <c r="F549" s="57">
        <v>360.39</v>
      </c>
      <c r="G549" s="58">
        <f t="shared" si="12"/>
        <v>407.2407</v>
      </c>
      <c r="H549" s="57">
        <v>720.77</v>
      </c>
      <c r="I549" s="59">
        <f t="shared" si="14"/>
        <v>0.7698869489</v>
      </c>
      <c r="J549" s="12"/>
      <c r="K549" s="1"/>
      <c r="L549" s="1"/>
      <c r="M549" s="1"/>
      <c r="N549" s="1"/>
      <c r="O549" s="1"/>
      <c r="P549" s="1"/>
      <c r="Q549" s="1"/>
      <c r="R549" s="1"/>
      <c r="S549" s="1"/>
      <c r="T549" s="1"/>
      <c r="U549" s="1"/>
      <c r="V549" s="1"/>
      <c r="W549" s="1"/>
      <c r="X549" s="1"/>
      <c r="Y549" s="1"/>
      <c r="Z549" s="1"/>
    </row>
    <row r="550">
      <c r="A550" s="1"/>
      <c r="B550" s="1"/>
      <c r="C550" s="60" t="s">
        <v>57</v>
      </c>
      <c r="D550" s="61" t="s">
        <v>17</v>
      </c>
      <c r="E550" s="50">
        <v>0.13</v>
      </c>
      <c r="F550" s="51">
        <v>468.31</v>
      </c>
      <c r="G550" s="52">
        <f t="shared" si="12"/>
        <v>529.1903</v>
      </c>
      <c r="H550" s="51">
        <v>936.62</v>
      </c>
      <c r="I550" s="53">
        <f t="shared" si="14"/>
        <v>0.7699115044</v>
      </c>
      <c r="J550" s="12"/>
      <c r="K550" s="1"/>
      <c r="L550" s="1"/>
      <c r="M550" s="1"/>
      <c r="N550" s="1"/>
      <c r="O550" s="1"/>
      <c r="P550" s="1"/>
      <c r="Q550" s="1"/>
      <c r="R550" s="1"/>
      <c r="S550" s="1"/>
      <c r="T550" s="1"/>
      <c r="U550" s="1"/>
      <c r="V550" s="1"/>
      <c r="W550" s="1"/>
      <c r="X550" s="1"/>
      <c r="Y550" s="1"/>
      <c r="Z550" s="1"/>
    </row>
    <row r="551">
      <c r="A551" s="1"/>
      <c r="B551" s="1"/>
      <c r="C551" s="63" t="s">
        <v>58</v>
      </c>
      <c r="D551" s="64" t="s">
        <v>17</v>
      </c>
      <c r="E551" s="56">
        <v>0.13</v>
      </c>
      <c r="F551" s="57">
        <v>520.71</v>
      </c>
      <c r="G551" s="58">
        <f t="shared" si="12"/>
        <v>588.4023</v>
      </c>
      <c r="H551" s="57">
        <v>1041.41</v>
      </c>
      <c r="I551" s="59">
        <f t="shared" si="14"/>
        <v>0.7698945092</v>
      </c>
      <c r="J551" s="12"/>
      <c r="K551" s="1"/>
      <c r="L551" s="1"/>
      <c r="M551" s="1"/>
      <c r="N551" s="1"/>
      <c r="O551" s="1"/>
      <c r="P551" s="1"/>
      <c r="Q551" s="1"/>
      <c r="R551" s="1"/>
      <c r="S551" s="1"/>
      <c r="T551" s="1"/>
      <c r="U551" s="1"/>
      <c r="V551" s="1"/>
      <c r="W551" s="1"/>
      <c r="X551" s="1"/>
      <c r="Y551" s="1"/>
      <c r="Z551" s="1"/>
    </row>
    <row r="552">
      <c r="A552" s="1"/>
      <c r="B552" s="1"/>
      <c r="C552" s="60" t="s">
        <v>59</v>
      </c>
      <c r="D552" s="61" t="s">
        <v>17</v>
      </c>
      <c r="E552" s="50">
        <v>0.13</v>
      </c>
      <c r="F552" s="51">
        <v>107.93</v>
      </c>
      <c r="G552" s="52">
        <f t="shared" si="12"/>
        <v>121.9609</v>
      </c>
      <c r="H552" s="51">
        <v>215.85</v>
      </c>
      <c r="I552" s="53">
        <f t="shared" si="14"/>
        <v>0.7698295109</v>
      </c>
      <c r="J552" s="12"/>
      <c r="K552" s="1"/>
      <c r="L552" s="1"/>
      <c r="M552" s="1"/>
      <c r="N552" s="1"/>
      <c r="O552" s="1"/>
      <c r="P552" s="1"/>
      <c r="Q552" s="1"/>
      <c r="R552" s="1"/>
      <c r="S552" s="1"/>
      <c r="T552" s="1"/>
      <c r="U552" s="1"/>
      <c r="V552" s="1"/>
      <c r="W552" s="1"/>
      <c r="X552" s="1"/>
      <c r="Y552" s="1"/>
      <c r="Z552" s="1"/>
    </row>
    <row r="553">
      <c r="A553" s="1"/>
      <c r="B553" s="1"/>
      <c r="C553" s="63" t="s">
        <v>60</v>
      </c>
      <c r="D553" s="64" t="s">
        <v>17</v>
      </c>
      <c r="E553" s="56">
        <v>0.13</v>
      </c>
      <c r="F553" s="57">
        <v>160.32</v>
      </c>
      <c r="G553" s="58">
        <f t="shared" si="12"/>
        <v>181.1616</v>
      </c>
      <c r="H553" s="57">
        <v>320.64</v>
      </c>
      <c r="I553" s="59">
        <f t="shared" si="14"/>
        <v>0.7699115044</v>
      </c>
      <c r="J553" s="12"/>
      <c r="K553" s="1"/>
      <c r="L553" s="1"/>
      <c r="M553" s="1"/>
      <c r="N553" s="1"/>
      <c r="O553" s="1"/>
      <c r="P553" s="1"/>
      <c r="Q553" s="1"/>
      <c r="R553" s="1"/>
      <c r="S553" s="1"/>
      <c r="T553" s="1"/>
      <c r="U553" s="1"/>
      <c r="V553" s="1"/>
      <c r="W553" s="1"/>
      <c r="X553" s="1"/>
      <c r="Y553" s="1"/>
      <c r="Z553" s="1"/>
    </row>
    <row r="554">
      <c r="A554" s="1"/>
      <c r="B554" s="1"/>
      <c r="C554" s="60" t="s">
        <v>61</v>
      </c>
      <c r="D554" s="61" t="s">
        <v>17</v>
      </c>
      <c r="E554" s="50">
        <v>0.0975</v>
      </c>
      <c r="F554" s="51">
        <v>1497.37</v>
      </c>
      <c r="G554" s="52">
        <f t="shared" si="12"/>
        <v>1643.363575</v>
      </c>
      <c r="H554" s="51">
        <v>2994.74</v>
      </c>
      <c r="I554" s="53">
        <f t="shared" si="14"/>
        <v>0.8223234624</v>
      </c>
      <c r="J554" s="12"/>
      <c r="K554" s="1"/>
      <c r="L554" s="1"/>
      <c r="M554" s="1"/>
      <c r="N554" s="1"/>
      <c r="O554" s="1"/>
      <c r="P554" s="1"/>
      <c r="Q554" s="1"/>
      <c r="R554" s="1"/>
      <c r="S554" s="1"/>
      <c r="T554" s="1"/>
      <c r="U554" s="1"/>
      <c r="V554" s="1"/>
      <c r="W554" s="1"/>
      <c r="X554" s="1"/>
      <c r="Y554" s="1"/>
      <c r="Z554" s="1"/>
    </row>
    <row r="555">
      <c r="A555" s="1"/>
      <c r="B555" s="1"/>
      <c r="C555" s="63" t="str">
        <f>IFERROR(__xludf.DUMMYFUNCTION("IMPORTRANGE(""https://docs.google.com/spreadsheets/d/18erHWAtQlDhZdPtiht7R8dPfUf_VnToKCYfgC0_TtUU/edit?gid=0#gid=0"",""DYNAUDIO!a2:a43"")"),"COFIDENCE 60")</f>
        <v>COFIDENCE 60</v>
      </c>
      <c r="D555" s="64" t="str">
        <f>IFERROR(__xludf.DUMMYFUNCTION("IMPORTRANGE(""https://docs.google.com/spreadsheets/d/18erHWAtQlDhZdPtiht7R8dPfUf_VnToKCYfgC0_TtUU/edit?gid=0#gid=0"",""DYNAUDIO!C2:C43"")"),"DYNAUDIO")</f>
        <v>DYNAUDIO</v>
      </c>
      <c r="E555" s="56">
        <v>0.0</v>
      </c>
      <c r="F555" s="57">
        <v>0.0</v>
      </c>
      <c r="G555" s="58">
        <f t="shared" ref="G555:G596" si="15">F555</f>
        <v>0</v>
      </c>
      <c r="H555" s="65">
        <f>IFERROR(__xludf.DUMMYFUNCTION("IMPORTRANGE(""https://docs.google.com/spreadsheets/d/18erHWAtQlDhZdPtiht7R8dPfUf_VnToKCYfgC0_TtUU/edit?gid=0#gid=0"",""DYNAUDIO!B2:B43"")"),332000.0)</f>
        <v>332000</v>
      </c>
      <c r="I555" s="59">
        <f t="shared" si="14"/>
        <v>0</v>
      </c>
      <c r="J555" s="12"/>
      <c r="K555" s="1"/>
      <c r="L555" s="1"/>
      <c r="M555" s="1"/>
      <c r="N555" s="1"/>
      <c r="O555" s="1"/>
      <c r="P555" s="1"/>
      <c r="Q555" s="1"/>
      <c r="R555" s="1"/>
      <c r="S555" s="1"/>
      <c r="T555" s="1"/>
      <c r="U555" s="1"/>
      <c r="V555" s="1"/>
      <c r="W555" s="1"/>
      <c r="X555" s="1"/>
      <c r="Y555" s="1"/>
      <c r="Z555" s="1"/>
    </row>
    <row r="556">
      <c r="A556" s="1"/>
      <c r="B556" s="1"/>
      <c r="C556" s="48" t="str">
        <f>IFERROR(__xludf.DUMMYFUNCTION("""COMPUTED_VALUE"""),"COFIDENCE 50")</f>
        <v>COFIDENCE 50</v>
      </c>
      <c r="D556" s="49" t="str">
        <f>IFERROR(__xludf.DUMMYFUNCTION("""COMPUTED_VALUE"""),"DYNAUDIO")</f>
        <v>DYNAUDIO</v>
      </c>
      <c r="E556" s="50">
        <v>0.0</v>
      </c>
      <c r="F556" s="51">
        <v>0.0</v>
      </c>
      <c r="G556" s="52">
        <f t="shared" si="15"/>
        <v>0</v>
      </c>
      <c r="H556" s="51">
        <f>IFERROR(__xludf.DUMMYFUNCTION("""COMPUTED_VALUE"""),221280.0)</f>
        <v>221280</v>
      </c>
      <c r="I556" s="53">
        <f t="shared" si="14"/>
        <v>0</v>
      </c>
      <c r="J556" s="12"/>
      <c r="K556" s="1"/>
      <c r="L556" s="1"/>
      <c r="M556" s="1"/>
      <c r="N556" s="1"/>
      <c r="O556" s="1"/>
      <c r="P556" s="1"/>
      <c r="Q556" s="1"/>
      <c r="R556" s="1"/>
      <c r="S556" s="1"/>
      <c r="T556" s="1"/>
      <c r="U556" s="1"/>
      <c r="V556" s="1"/>
      <c r="W556" s="1"/>
      <c r="X556" s="1"/>
      <c r="Y556" s="1"/>
      <c r="Z556" s="1"/>
    </row>
    <row r="557">
      <c r="A557" s="1"/>
      <c r="B557" s="1"/>
      <c r="C557" s="54" t="str">
        <f>IFERROR(__xludf.DUMMYFUNCTION("""COMPUTED_VALUE"""),"COFIDENCE 30")</f>
        <v>COFIDENCE 30</v>
      </c>
      <c r="D557" s="55" t="str">
        <f>IFERROR(__xludf.DUMMYFUNCTION("""COMPUTED_VALUE"""),"DYNAUDIO")</f>
        <v>DYNAUDIO</v>
      </c>
      <c r="E557" s="56">
        <v>0.0</v>
      </c>
      <c r="F557" s="57">
        <v>0.0</v>
      </c>
      <c r="G557" s="58">
        <f t="shared" si="15"/>
        <v>0</v>
      </c>
      <c r="H557" s="57">
        <f>IFERROR(__xludf.DUMMYFUNCTION("""COMPUTED_VALUE"""),158080.0)</f>
        <v>158080</v>
      </c>
      <c r="I557" s="59">
        <f t="shared" si="14"/>
        <v>0</v>
      </c>
      <c r="J557" s="12"/>
      <c r="K557" s="1"/>
      <c r="L557" s="1"/>
      <c r="M557" s="1"/>
      <c r="N557" s="1"/>
      <c r="O557" s="1"/>
      <c r="P557" s="1"/>
      <c r="Q557" s="1"/>
      <c r="R557" s="1"/>
      <c r="S557" s="1"/>
      <c r="T557" s="1"/>
      <c r="U557" s="1"/>
      <c r="V557" s="1"/>
      <c r="W557" s="1"/>
      <c r="X557" s="1"/>
      <c r="Y557" s="1"/>
      <c r="Z557" s="1"/>
    </row>
    <row r="558">
      <c r="A558" s="1"/>
      <c r="B558" s="1"/>
      <c r="C558" s="48" t="str">
        <f>IFERROR(__xludf.DUMMYFUNCTION("""COMPUTED_VALUE"""),"COFIDENCE 20 PAR")</f>
        <v>COFIDENCE 20 PAR</v>
      </c>
      <c r="D558" s="49" t="str">
        <f>IFERROR(__xludf.DUMMYFUNCTION("""COMPUTED_VALUE"""),"DYNAUDIO")</f>
        <v>DYNAUDIO</v>
      </c>
      <c r="E558" s="50">
        <v>0.0</v>
      </c>
      <c r="F558" s="51">
        <v>0.0</v>
      </c>
      <c r="G558" s="52">
        <f t="shared" si="15"/>
        <v>0</v>
      </c>
      <c r="H558" s="51">
        <f>IFERROR(__xludf.DUMMYFUNCTION("""COMPUTED_VALUE"""),172800.0)</f>
        <v>172800</v>
      </c>
      <c r="I558" s="53">
        <f t="shared" si="14"/>
        <v>0</v>
      </c>
      <c r="J558" s="12"/>
      <c r="K558" s="1"/>
      <c r="L558" s="1"/>
      <c r="M558" s="1"/>
      <c r="N558" s="1"/>
      <c r="O558" s="1"/>
      <c r="P558" s="1"/>
      <c r="Q558" s="1"/>
      <c r="R558" s="1"/>
      <c r="S558" s="1"/>
      <c r="T558" s="1"/>
      <c r="U558" s="1"/>
      <c r="V558" s="1"/>
      <c r="W558" s="1"/>
      <c r="X558" s="1"/>
      <c r="Y558" s="1"/>
      <c r="Z558" s="1"/>
    </row>
    <row r="559">
      <c r="A559" s="1"/>
      <c r="B559" s="1"/>
      <c r="C559" s="54" t="str">
        <f>IFERROR(__xludf.DUMMYFUNCTION("""COMPUTED_VALUE"""),"CONTOUR 60I")</f>
        <v>CONTOUR 60I</v>
      </c>
      <c r="D559" s="55" t="str">
        <f>IFERROR(__xludf.DUMMYFUNCTION("""COMPUTED_VALUE"""),"DYNAUDIO")</f>
        <v>DYNAUDIO</v>
      </c>
      <c r="E559" s="56">
        <v>0.0</v>
      </c>
      <c r="F559" s="57">
        <v>0.0</v>
      </c>
      <c r="G559" s="58">
        <f t="shared" si="15"/>
        <v>0</v>
      </c>
      <c r="H559" s="57">
        <f>IFERROR(__xludf.DUMMYFUNCTION("""COMPUTED_VALUE"""),75088.0)</f>
        <v>75088</v>
      </c>
      <c r="I559" s="59">
        <f t="shared" si="14"/>
        <v>0</v>
      </c>
      <c r="J559" s="12"/>
      <c r="K559" s="1"/>
      <c r="L559" s="1"/>
      <c r="M559" s="1"/>
      <c r="N559" s="1"/>
      <c r="O559" s="1"/>
      <c r="P559" s="1"/>
      <c r="Q559" s="1"/>
      <c r="R559" s="1"/>
      <c r="S559" s="1"/>
      <c r="T559" s="1"/>
      <c r="U559" s="1"/>
      <c r="V559" s="1"/>
      <c r="W559" s="1"/>
      <c r="X559" s="1"/>
      <c r="Y559" s="1"/>
      <c r="Z559" s="1"/>
    </row>
    <row r="560">
      <c r="A560" s="1"/>
      <c r="B560" s="1"/>
      <c r="C560" s="48" t="str">
        <f>IFERROR(__xludf.DUMMYFUNCTION("""COMPUTED_VALUE"""),"CONTOUR 30I")</f>
        <v>CONTOUR 30I</v>
      </c>
      <c r="D560" s="49" t="str">
        <f>IFERROR(__xludf.DUMMYFUNCTION("""COMPUTED_VALUE"""),"DYNAUDIO")</f>
        <v>DYNAUDIO</v>
      </c>
      <c r="E560" s="50">
        <v>0.0</v>
      </c>
      <c r="F560" s="51">
        <v>0.0</v>
      </c>
      <c r="G560" s="52">
        <f t="shared" si="15"/>
        <v>0</v>
      </c>
      <c r="H560" s="51">
        <f>IFERROR(__xludf.DUMMYFUNCTION("""COMPUTED_VALUE"""),60040.0)</f>
        <v>60040</v>
      </c>
      <c r="I560" s="53">
        <f t="shared" si="14"/>
        <v>0</v>
      </c>
      <c r="J560" s="12"/>
      <c r="K560" s="1"/>
      <c r="L560" s="1"/>
      <c r="M560" s="1"/>
      <c r="N560" s="1"/>
      <c r="O560" s="1"/>
      <c r="P560" s="1"/>
      <c r="Q560" s="1"/>
      <c r="R560" s="1"/>
      <c r="S560" s="1"/>
      <c r="T560" s="1"/>
      <c r="U560" s="1"/>
      <c r="V560" s="1"/>
      <c r="W560" s="1"/>
      <c r="X560" s="1"/>
      <c r="Y560" s="1"/>
      <c r="Z560" s="1"/>
    </row>
    <row r="561">
      <c r="A561" s="1"/>
      <c r="B561" s="1"/>
      <c r="C561" s="54" t="str">
        <f>IFERROR(__xludf.DUMMYFUNCTION("""COMPUTED_VALUE"""),"CONTOUR 20I PAR")</f>
        <v>CONTOUR 20I PAR</v>
      </c>
      <c r="D561" s="55" t="str">
        <f>IFERROR(__xludf.DUMMYFUNCTION("""COMPUTED_VALUE"""),"DYNAUDIO")</f>
        <v>DYNAUDIO</v>
      </c>
      <c r="E561" s="56">
        <v>0.0</v>
      </c>
      <c r="F561" s="57">
        <v>0.0</v>
      </c>
      <c r="G561" s="58">
        <f t="shared" si="15"/>
        <v>0</v>
      </c>
      <c r="H561" s="57">
        <f>IFERROR(__xludf.DUMMYFUNCTION("""COMPUTED_VALUE"""),75088.0)</f>
        <v>75088</v>
      </c>
      <c r="I561" s="59">
        <f t="shared" si="14"/>
        <v>0</v>
      </c>
      <c r="J561" s="12"/>
      <c r="K561" s="1"/>
      <c r="L561" s="1"/>
      <c r="M561" s="1"/>
      <c r="N561" s="1"/>
      <c r="O561" s="1"/>
      <c r="P561" s="1"/>
      <c r="Q561" s="1"/>
      <c r="R561" s="1"/>
      <c r="S561" s="1"/>
      <c r="T561" s="1"/>
      <c r="U561" s="1"/>
      <c r="V561" s="1"/>
      <c r="W561" s="1"/>
      <c r="X561" s="1"/>
      <c r="Y561" s="1"/>
      <c r="Z561" s="1"/>
    </row>
    <row r="562">
      <c r="A562" s="1"/>
      <c r="B562" s="1"/>
      <c r="C562" s="48" t="str">
        <f>IFERROR(__xludf.DUMMYFUNCTION("""COMPUTED_VALUE"""),"CONTOUR 25CI")</f>
        <v>CONTOUR 25CI</v>
      </c>
      <c r="D562" s="49" t="str">
        <f>IFERROR(__xludf.DUMMYFUNCTION("""COMPUTED_VALUE"""),"DYNAUDIO")</f>
        <v>DYNAUDIO</v>
      </c>
      <c r="E562" s="50">
        <v>0.0</v>
      </c>
      <c r="F562" s="51">
        <v>0.0</v>
      </c>
      <c r="G562" s="52">
        <f t="shared" si="15"/>
        <v>0</v>
      </c>
      <c r="H562" s="51">
        <f>IFERROR(__xludf.DUMMYFUNCTION("""COMPUTED_VALUE"""),52592.0)</f>
        <v>52592</v>
      </c>
      <c r="I562" s="53">
        <f t="shared" si="14"/>
        <v>0</v>
      </c>
      <c r="J562" s="12"/>
      <c r="K562" s="1"/>
      <c r="L562" s="1"/>
      <c r="M562" s="1"/>
      <c r="N562" s="1"/>
      <c r="O562" s="1"/>
      <c r="P562" s="1"/>
      <c r="Q562" s="1"/>
      <c r="R562" s="1"/>
      <c r="S562" s="1"/>
      <c r="T562" s="1"/>
      <c r="U562" s="1"/>
      <c r="V562" s="1"/>
      <c r="W562" s="1"/>
      <c r="X562" s="1"/>
      <c r="Y562" s="1"/>
      <c r="Z562" s="1"/>
    </row>
    <row r="563">
      <c r="A563" s="1"/>
      <c r="B563" s="1"/>
      <c r="C563" s="54" t="str">
        <f>IFERROR(__xludf.DUMMYFUNCTION("""COMPUTED_VALUE"""),"FOCUS 50")</f>
        <v>FOCUS 50</v>
      </c>
      <c r="D563" s="55" t="str">
        <f>IFERROR(__xludf.DUMMYFUNCTION("""COMPUTED_VALUE"""),"DYNAUDIO")</f>
        <v>DYNAUDIO</v>
      </c>
      <c r="E563" s="56">
        <v>0.0</v>
      </c>
      <c r="F563" s="57">
        <v>0.0</v>
      </c>
      <c r="G563" s="58">
        <f t="shared" si="15"/>
        <v>0</v>
      </c>
      <c r="H563" s="57">
        <f>IFERROR(__xludf.DUMMYFUNCTION("""COMPUTED_VALUE"""),76800.0)</f>
        <v>76800</v>
      </c>
      <c r="I563" s="59">
        <f t="shared" si="14"/>
        <v>0</v>
      </c>
      <c r="J563" s="12"/>
      <c r="K563" s="1"/>
      <c r="L563" s="1"/>
      <c r="M563" s="1"/>
      <c r="N563" s="1"/>
      <c r="O563" s="1"/>
      <c r="P563" s="1"/>
      <c r="Q563" s="1"/>
      <c r="R563" s="1"/>
      <c r="S563" s="1"/>
      <c r="T563" s="1"/>
      <c r="U563" s="1"/>
      <c r="V563" s="1"/>
      <c r="W563" s="1"/>
      <c r="X563" s="1"/>
      <c r="Y563" s="1"/>
      <c r="Z563" s="1"/>
    </row>
    <row r="564">
      <c r="A564" s="1"/>
      <c r="B564" s="1"/>
      <c r="C564" s="48" t="str">
        <f>IFERROR(__xludf.DUMMYFUNCTION("""COMPUTED_VALUE"""),"FOCUS 30")</f>
        <v>FOCUS 30</v>
      </c>
      <c r="D564" s="49" t="str">
        <f>IFERROR(__xludf.DUMMYFUNCTION("""COMPUTED_VALUE"""),"DYNAUDIO")</f>
        <v>DYNAUDIO</v>
      </c>
      <c r="E564" s="50">
        <v>0.0</v>
      </c>
      <c r="F564" s="51">
        <v>0.0</v>
      </c>
      <c r="G564" s="52">
        <f t="shared" si="15"/>
        <v>0</v>
      </c>
      <c r="H564" s="51">
        <f>IFERROR(__xludf.DUMMYFUNCTION("""COMPUTED_VALUE"""),57600.0)</f>
        <v>57600</v>
      </c>
      <c r="I564" s="53">
        <f t="shared" si="14"/>
        <v>0</v>
      </c>
      <c r="J564" s="12"/>
      <c r="K564" s="1"/>
      <c r="L564" s="1"/>
      <c r="M564" s="1"/>
      <c r="N564" s="1"/>
      <c r="O564" s="1"/>
      <c r="P564" s="1"/>
      <c r="Q564" s="1"/>
      <c r="R564" s="1"/>
      <c r="S564" s="1"/>
      <c r="T564" s="1"/>
      <c r="U564" s="1"/>
      <c r="V564" s="1"/>
      <c r="W564" s="1"/>
      <c r="X564" s="1"/>
      <c r="Y564" s="1"/>
      <c r="Z564" s="1"/>
    </row>
    <row r="565">
      <c r="A565" s="1"/>
      <c r="B565" s="1"/>
      <c r="C565" s="54" t="str">
        <f>IFERROR(__xludf.DUMMYFUNCTION("""COMPUTED_VALUE"""),"FOCUS 30")</f>
        <v>FOCUS 30</v>
      </c>
      <c r="D565" s="55" t="str">
        <f>IFERROR(__xludf.DUMMYFUNCTION("""COMPUTED_VALUE"""),"DYNAUDIO")</f>
        <v>DYNAUDIO</v>
      </c>
      <c r="E565" s="56">
        <v>0.0</v>
      </c>
      <c r="F565" s="57">
        <v>0.0</v>
      </c>
      <c r="G565" s="58">
        <f t="shared" si="15"/>
        <v>0</v>
      </c>
      <c r="H565" s="57">
        <f>IFERROR(__xludf.DUMMYFUNCTION("""COMPUTED_VALUE"""),57600.0)</f>
        <v>57600</v>
      </c>
      <c r="I565" s="59">
        <f t="shared" si="14"/>
        <v>0</v>
      </c>
      <c r="J565" s="12"/>
      <c r="K565" s="1"/>
      <c r="L565" s="1"/>
      <c r="M565" s="1"/>
      <c r="N565" s="1"/>
      <c r="O565" s="1"/>
      <c r="P565" s="1"/>
      <c r="Q565" s="1"/>
      <c r="R565" s="1"/>
      <c r="S565" s="1"/>
      <c r="T565" s="1"/>
      <c r="U565" s="1"/>
      <c r="V565" s="1"/>
      <c r="W565" s="1"/>
      <c r="X565" s="1"/>
      <c r="Y565" s="1"/>
      <c r="Z565" s="1"/>
    </row>
    <row r="566">
      <c r="A566" s="1"/>
      <c r="B566" s="1"/>
      <c r="C566" s="48" t="str">
        <f>IFERROR(__xludf.DUMMYFUNCTION("""COMPUTED_VALUE"""),"FOCUS 10 PAR")</f>
        <v>FOCUS 10 PAR</v>
      </c>
      <c r="D566" s="49" t="str">
        <f>IFERROR(__xludf.DUMMYFUNCTION("""COMPUTED_VALUE"""),"DYNAUDIO")</f>
        <v>DYNAUDIO</v>
      </c>
      <c r="E566" s="50">
        <v>0.0</v>
      </c>
      <c r="F566" s="51">
        <v>0.0</v>
      </c>
      <c r="G566" s="52">
        <f t="shared" si="15"/>
        <v>0</v>
      </c>
      <c r="H566" s="51">
        <f>IFERROR(__xludf.DUMMYFUNCTION("""COMPUTED_VALUE"""),76800.0)</f>
        <v>76800</v>
      </c>
      <c r="I566" s="53">
        <f t="shared" si="14"/>
        <v>0</v>
      </c>
      <c r="J566" s="12"/>
      <c r="K566" s="1"/>
      <c r="L566" s="1"/>
      <c r="M566" s="1"/>
      <c r="N566" s="1"/>
      <c r="O566" s="1"/>
      <c r="P566" s="1"/>
      <c r="Q566" s="1"/>
      <c r="R566" s="1"/>
      <c r="S566" s="1"/>
      <c r="T566" s="1"/>
      <c r="U566" s="1"/>
      <c r="V566" s="1"/>
      <c r="W566" s="1"/>
      <c r="X566" s="1"/>
      <c r="Y566" s="1"/>
      <c r="Z566" s="1"/>
    </row>
    <row r="567">
      <c r="A567" s="1"/>
      <c r="B567" s="1"/>
      <c r="C567" s="54" t="str">
        <f>IFERROR(__xludf.DUMMYFUNCTION("""COMPUTED_VALUE"""),"EVOKE 50")</f>
        <v>EVOKE 50</v>
      </c>
      <c r="D567" s="55" t="str">
        <f>IFERROR(__xludf.DUMMYFUNCTION("""COMPUTED_VALUE"""),"DYNAUDIO")</f>
        <v>DYNAUDIO</v>
      </c>
      <c r="E567" s="56">
        <v>0.0</v>
      </c>
      <c r="F567" s="57">
        <v>0.0</v>
      </c>
      <c r="G567" s="58">
        <f t="shared" si="15"/>
        <v>0</v>
      </c>
      <c r="H567" s="57">
        <f>IFERROR(__xludf.DUMMYFUNCTION("""COMPUTED_VALUE"""),36054.0)</f>
        <v>36054</v>
      </c>
      <c r="I567" s="59">
        <f t="shared" si="14"/>
        <v>0</v>
      </c>
      <c r="J567" s="12"/>
      <c r="K567" s="1"/>
      <c r="L567" s="1"/>
      <c r="M567" s="1"/>
      <c r="N567" s="1"/>
      <c r="O567" s="1"/>
      <c r="P567" s="1"/>
      <c r="Q567" s="1"/>
      <c r="R567" s="1"/>
      <c r="S567" s="1"/>
      <c r="T567" s="1"/>
      <c r="U567" s="1"/>
      <c r="V567" s="1"/>
      <c r="W567" s="1"/>
      <c r="X567" s="1"/>
      <c r="Y567" s="1"/>
      <c r="Z567" s="1"/>
    </row>
    <row r="568">
      <c r="A568" s="1"/>
      <c r="B568" s="1"/>
      <c r="C568" s="48" t="str">
        <f>IFERROR(__xludf.DUMMYFUNCTION("""COMPUTED_VALUE"""),"EVOKE 30")</f>
        <v>EVOKE 30</v>
      </c>
      <c r="D568" s="49" t="str">
        <f>IFERROR(__xludf.DUMMYFUNCTION("""COMPUTED_VALUE"""),"DYNAUDIO")</f>
        <v>DYNAUDIO</v>
      </c>
      <c r="E568" s="50">
        <v>0.0</v>
      </c>
      <c r="F568" s="51">
        <v>0.0</v>
      </c>
      <c r="G568" s="52">
        <f t="shared" si="15"/>
        <v>0</v>
      </c>
      <c r="H568" s="51">
        <f>IFERROR(__xludf.DUMMYFUNCTION("""COMPUTED_VALUE"""),26285.0)</f>
        <v>26285</v>
      </c>
      <c r="I568" s="53">
        <f t="shared" si="14"/>
        <v>0</v>
      </c>
      <c r="J568" s="12"/>
      <c r="K568" s="1"/>
      <c r="L568" s="1"/>
      <c r="M568" s="1"/>
      <c r="N568" s="1"/>
      <c r="O568" s="1"/>
      <c r="P568" s="1"/>
      <c r="Q568" s="1"/>
      <c r="R568" s="1"/>
      <c r="S568" s="1"/>
      <c r="T568" s="1"/>
      <c r="U568" s="1"/>
      <c r="V568" s="1"/>
      <c r="W568" s="1"/>
      <c r="X568" s="1"/>
      <c r="Y568" s="1"/>
      <c r="Z568" s="1"/>
    </row>
    <row r="569">
      <c r="A569" s="1"/>
      <c r="B569" s="1"/>
      <c r="C569" s="54" t="str">
        <f>IFERROR(__xludf.DUMMYFUNCTION("""COMPUTED_VALUE"""),"EVOKE 20 PAR")</f>
        <v>EVOKE 20 PAR</v>
      </c>
      <c r="D569" s="55" t="str">
        <f>IFERROR(__xludf.DUMMYFUNCTION("""COMPUTED_VALUE"""),"DYNAUDIO")</f>
        <v>DYNAUDIO</v>
      </c>
      <c r="E569" s="56">
        <v>0.0</v>
      </c>
      <c r="F569" s="57">
        <v>0.0</v>
      </c>
      <c r="G569" s="58">
        <f t="shared" si="15"/>
        <v>0</v>
      </c>
      <c r="H569" s="57">
        <f>IFERROR(__xludf.DUMMYFUNCTION("""COMPUTED_VALUE"""),32284.0)</f>
        <v>32284</v>
      </c>
      <c r="I569" s="59">
        <f t="shared" si="14"/>
        <v>0</v>
      </c>
      <c r="J569" s="12"/>
      <c r="K569" s="1"/>
      <c r="L569" s="1"/>
      <c r="M569" s="1"/>
      <c r="N569" s="1"/>
      <c r="O569" s="1"/>
      <c r="P569" s="1"/>
      <c r="Q569" s="1"/>
      <c r="R569" s="1"/>
      <c r="S569" s="1"/>
      <c r="T569" s="1"/>
      <c r="U569" s="1"/>
      <c r="V569" s="1"/>
      <c r="W569" s="1"/>
      <c r="X569" s="1"/>
      <c r="Y569" s="1"/>
      <c r="Z569" s="1"/>
    </row>
    <row r="570">
      <c r="A570" s="1"/>
      <c r="B570" s="1"/>
      <c r="C570" s="48" t="str">
        <f>IFERROR(__xludf.DUMMYFUNCTION("""COMPUTED_VALUE"""),"EVOKE 10 PAR")</f>
        <v>EVOKE 10 PAR</v>
      </c>
      <c r="D570" s="49" t="str">
        <f>IFERROR(__xludf.DUMMYFUNCTION("""COMPUTED_VALUE"""),"DYNAUDIO")</f>
        <v>DYNAUDIO</v>
      </c>
      <c r="E570" s="50">
        <v>0.0</v>
      </c>
      <c r="F570" s="51">
        <v>0.0</v>
      </c>
      <c r="G570" s="52">
        <f t="shared" si="15"/>
        <v>0</v>
      </c>
      <c r="H570" s="51">
        <f>IFERROR(__xludf.DUMMYFUNCTION("""COMPUTED_VALUE"""),22496.0)</f>
        <v>22496</v>
      </c>
      <c r="I570" s="53">
        <f t="shared" si="14"/>
        <v>0</v>
      </c>
      <c r="J570" s="12"/>
      <c r="K570" s="1"/>
      <c r="L570" s="1"/>
      <c r="M570" s="1"/>
      <c r="N570" s="1"/>
      <c r="O570" s="1"/>
      <c r="P570" s="1"/>
      <c r="Q570" s="1"/>
      <c r="R570" s="1"/>
      <c r="S570" s="1"/>
      <c r="T570" s="1"/>
      <c r="U570" s="1"/>
      <c r="V570" s="1"/>
      <c r="W570" s="1"/>
      <c r="X570" s="1"/>
      <c r="Y570" s="1"/>
      <c r="Z570" s="1"/>
    </row>
    <row r="571">
      <c r="A571" s="1"/>
      <c r="B571" s="1"/>
      <c r="C571" s="54" t="str">
        <f>IFERROR(__xludf.DUMMYFUNCTION("""COMPUTED_VALUE"""),"EVOKE 25C")</f>
        <v>EVOKE 25C</v>
      </c>
      <c r="D571" s="55" t="str">
        <f>IFERROR(__xludf.DUMMYFUNCTION("""COMPUTED_VALUE"""),"DYNAUDIO")</f>
        <v>DYNAUDIO</v>
      </c>
      <c r="E571" s="56">
        <v>0.0</v>
      </c>
      <c r="F571" s="57">
        <v>0.0</v>
      </c>
      <c r="G571" s="58">
        <f t="shared" si="15"/>
        <v>0</v>
      </c>
      <c r="H571" s="57">
        <f>IFERROR(__xludf.DUMMYFUNCTION("""COMPUTED_VALUE"""),20544.0)</f>
        <v>20544</v>
      </c>
      <c r="I571" s="59">
        <f t="shared" si="14"/>
        <v>0</v>
      </c>
      <c r="J571" s="12"/>
      <c r="K571" s="1"/>
      <c r="L571" s="1"/>
      <c r="M571" s="1"/>
      <c r="N571" s="1"/>
      <c r="O571" s="1"/>
      <c r="P571" s="1"/>
      <c r="Q571" s="1"/>
      <c r="R571" s="1"/>
      <c r="S571" s="1"/>
      <c r="T571" s="1"/>
      <c r="U571" s="1"/>
      <c r="V571" s="1"/>
      <c r="W571" s="1"/>
      <c r="X571" s="1"/>
      <c r="Y571" s="1"/>
      <c r="Z571" s="1"/>
    </row>
    <row r="572">
      <c r="A572" s="1"/>
      <c r="B572" s="1"/>
      <c r="C572" s="48" t="str">
        <f>IFERROR(__xludf.DUMMYFUNCTION("""COMPUTED_VALUE"""),"EMIT 50")</f>
        <v>EMIT 50</v>
      </c>
      <c r="D572" s="49" t="str">
        <f>IFERROR(__xludf.DUMMYFUNCTION("""COMPUTED_VALUE"""),"DYNAUDIO")</f>
        <v>DYNAUDIO</v>
      </c>
      <c r="E572" s="50">
        <v>0.0</v>
      </c>
      <c r="F572" s="51">
        <v>0.0</v>
      </c>
      <c r="G572" s="52">
        <f t="shared" si="15"/>
        <v>0</v>
      </c>
      <c r="H572" s="51">
        <f>IFERROR(__xludf.DUMMYFUNCTION("""COMPUTED_VALUE"""),15292.0)</f>
        <v>15292</v>
      </c>
      <c r="I572" s="53">
        <f t="shared" si="14"/>
        <v>0</v>
      </c>
      <c r="J572" s="12"/>
      <c r="K572" s="1"/>
      <c r="L572" s="1"/>
      <c r="M572" s="1"/>
      <c r="N572" s="1"/>
      <c r="O572" s="1"/>
      <c r="P572" s="1"/>
      <c r="Q572" s="1"/>
      <c r="R572" s="1"/>
      <c r="S572" s="1"/>
      <c r="T572" s="1"/>
      <c r="U572" s="1"/>
      <c r="V572" s="1"/>
      <c r="W572" s="1"/>
      <c r="X572" s="1"/>
      <c r="Y572" s="1"/>
      <c r="Z572" s="1"/>
    </row>
    <row r="573">
      <c r="A573" s="1"/>
      <c r="B573" s="1"/>
      <c r="C573" s="54" t="str">
        <f>IFERROR(__xludf.DUMMYFUNCTION("""COMPUTED_VALUE"""),"EMIT 30")</f>
        <v>EMIT 30</v>
      </c>
      <c r="D573" s="55" t="str">
        <f>IFERROR(__xludf.DUMMYFUNCTION("""COMPUTED_VALUE"""),"DYNAUDIO")</f>
        <v>DYNAUDIO</v>
      </c>
      <c r="E573" s="56">
        <v>0.0</v>
      </c>
      <c r="F573" s="57">
        <v>0.0</v>
      </c>
      <c r="G573" s="58">
        <f t="shared" si="15"/>
        <v>0</v>
      </c>
      <c r="H573" s="57">
        <f>IFERROR(__xludf.DUMMYFUNCTION("""COMPUTED_VALUE"""),11674.0)</f>
        <v>11674</v>
      </c>
      <c r="I573" s="59">
        <f t="shared" si="14"/>
        <v>0</v>
      </c>
      <c r="J573" s="12"/>
      <c r="K573" s="1"/>
      <c r="L573" s="1"/>
      <c r="M573" s="1"/>
      <c r="N573" s="1"/>
      <c r="O573" s="1"/>
      <c r="P573" s="1"/>
      <c r="Q573" s="1"/>
      <c r="R573" s="1"/>
      <c r="S573" s="1"/>
      <c r="T573" s="1"/>
      <c r="U573" s="1"/>
      <c r="V573" s="1"/>
      <c r="W573" s="1"/>
      <c r="X573" s="1"/>
      <c r="Y573" s="1"/>
      <c r="Z573" s="1"/>
    </row>
    <row r="574">
      <c r="A574" s="1"/>
      <c r="B574" s="1"/>
      <c r="C574" s="48" t="str">
        <f>IFERROR(__xludf.DUMMYFUNCTION("""COMPUTED_VALUE"""),"EMIT 20 PAR")</f>
        <v>EMIT 20 PAR</v>
      </c>
      <c r="D574" s="49" t="str">
        <f>IFERROR(__xludf.DUMMYFUNCTION("""COMPUTED_VALUE"""),"DYNAUDIO")</f>
        <v>DYNAUDIO</v>
      </c>
      <c r="E574" s="50">
        <v>0.0</v>
      </c>
      <c r="F574" s="51">
        <v>0.0</v>
      </c>
      <c r="G574" s="52">
        <f t="shared" si="15"/>
        <v>0</v>
      </c>
      <c r="H574" s="51">
        <f>IFERROR(__xludf.DUMMYFUNCTION("""COMPUTED_VALUE"""),14714.0)</f>
        <v>14714</v>
      </c>
      <c r="I574" s="53">
        <f t="shared" si="14"/>
        <v>0</v>
      </c>
      <c r="J574" s="12"/>
      <c r="K574" s="1"/>
      <c r="L574" s="1"/>
      <c r="M574" s="1"/>
      <c r="N574" s="1"/>
      <c r="O574" s="1"/>
      <c r="P574" s="1"/>
      <c r="Q574" s="1"/>
      <c r="R574" s="1"/>
      <c r="S574" s="1"/>
      <c r="T574" s="1"/>
      <c r="U574" s="1"/>
      <c r="V574" s="1"/>
      <c r="W574" s="1"/>
      <c r="X574" s="1"/>
      <c r="Y574" s="1"/>
      <c r="Z574" s="1"/>
    </row>
    <row r="575">
      <c r="A575" s="1"/>
      <c r="B575" s="1"/>
      <c r="C575" s="54" t="str">
        <f>IFERROR(__xludf.DUMMYFUNCTION("""COMPUTED_VALUE"""),"EMIT 10 PAR")</f>
        <v>EMIT 10 PAR</v>
      </c>
      <c r="D575" s="55" t="str">
        <f>IFERROR(__xludf.DUMMYFUNCTION("""COMPUTED_VALUE"""),"DYNAUDIO")</f>
        <v>DYNAUDIO</v>
      </c>
      <c r="E575" s="56">
        <v>0.0</v>
      </c>
      <c r="F575" s="57">
        <v>0.0</v>
      </c>
      <c r="G575" s="58">
        <f t="shared" si="15"/>
        <v>0</v>
      </c>
      <c r="H575" s="57">
        <f>IFERROR(__xludf.DUMMYFUNCTION("""COMPUTED_VALUE"""),11309.0)</f>
        <v>11309</v>
      </c>
      <c r="I575" s="59">
        <f t="shared" si="14"/>
        <v>0</v>
      </c>
      <c r="J575" s="12"/>
      <c r="K575" s="1"/>
      <c r="L575" s="1"/>
      <c r="M575" s="1"/>
      <c r="N575" s="1"/>
      <c r="O575" s="1"/>
      <c r="P575" s="1"/>
      <c r="Q575" s="1"/>
      <c r="R575" s="1"/>
      <c r="S575" s="1"/>
      <c r="T575" s="1"/>
      <c r="U575" s="1"/>
      <c r="V575" s="1"/>
      <c r="W575" s="1"/>
      <c r="X575" s="1"/>
      <c r="Y575" s="1"/>
      <c r="Z575" s="1"/>
    </row>
    <row r="576">
      <c r="A576" s="1"/>
      <c r="B576" s="1"/>
      <c r="C576" s="48" t="str">
        <f>IFERROR(__xludf.DUMMYFUNCTION("""COMPUTED_VALUE"""),"EMIT 25C")</f>
        <v>EMIT 25C</v>
      </c>
      <c r="D576" s="49" t="str">
        <f>IFERROR(__xludf.DUMMYFUNCTION("""COMPUTED_VALUE"""),"DYNAUDIO")</f>
        <v>DYNAUDIO</v>
      </c>
      <c r="E576" s="50">
        <v>0.0</v>
      </c>
      <c r="F576" s="51">
        <v>0.0</v>
      </c>
      <c r="G576" s="52">
        <f t="shared" si="15"/>
        <v>0</v>
      </c>
      <c r="H576" s="51">
        <f>IFERROR(__xludf.DUMMYFUNCTION("""COMPUTED_VALUE"""),10944.0)</f>
        <v>10944</v>
      </c>
      <c r="I576" s="53">
        <f t="shared" si="14"/>
        <v>0</v>
      </c>
      <c r="J576" s="12"/>
      <c r="K576" s="1"/>
      <c r="L576" s="1"/>
      <c r="M576" s="1"/>
      <c r="N576" s="1"/>
      <c r="O576" s="1"/>
      <c r="P576" s="1"/>
      <c r="Q576" s="1"/>
      <c r="R576" s="1"/>
      <c r="S576" s="1"/>
      <c r="T576" s="1"/>
      <c r="U576" s="1"/>
      <c r="V576" s="1"/>
      <c r="W576" s="1"/>
      <c r="X576" s="1"/>
      <c r="Y576" s="1"/>
      <c r="Z576" s="1"/>
    </row>
    <row r="577">
      <c r="A577" s="1"/>
      <c r="B577" s="1"/>
      <c r="C577" s="54" t="str">
        <f>IFERROR(__xludf.DUMMYFUNCTION("""COMPUTED_VALUE"""),"SUB 3")</f>
        <v>SUB 3</v>
      </c>
      <c r="D577" s="55" t="str">
        <f>IFERROR(__xludf.DUMMYFUNCTION("""COMPUTED_VALUE"""),"DYNAUDIO")</f>
        <v>DYNAUDIO</v>
      </c>
      <c r="E577" s="56">
        <v>0.0</v>
      </c>
      <c r="F577" s="57">
        <v>0.0</v>
      </c>
      <c r="G577" s="58">
        <f t="shared" si="15"/>
        <v>0</v>
      </c>
      <c r="H577" s="57">
        <f>IFERROR(__xludf.DUMMYFUNCTION("""COMPUTED_VALUE"""),17280.0)</f>
        <v>17280</v>
      </c>
      <c r="I577" s="59">
        <f t="shared" si="14"/>
        <v>0</v>
      </c>
      <c r="J577" s="12"/>
      <c r="K577" s="1"/>
      <c r="L577" s="1"/>
      <c r="M577" s="1"/>
      <c r="N577" s="1"/>
      <c r="O577" s="1"/>
      <c r="P577" s="1"/>
      <c r="Q577" s="1"/>
      <c r="R577" s="1"/>
      <c r="S577" s="1"/>
      <c r="T577" s="1"/>
      <c r="U577" s="1"/>
      <c r="V577" s="1"/>
      <c r="W577" s="1"/>
      <c r="X577" s="1"/>
      <c r="Y577" s="1"/>
      <c r="Z577" s="1"/>
    </row>
    <row r="578">
      <c r="A578" s="1"/>
      <c r="B578" s="1"/>
      <c r="C578" s="48" t="str">
        <f>IFERROR(__xludf.DUMMYFUNCTION("""COMPUTED_VALUE"""),"SUB 6")</f>
        <v>SUB 6</v>
      </c>
      <c r="D578" s="49" t="str">
        <f>IFERROR(__xludf.DUMMYFUNCTION("""COMPUTED_VALUE"""),"DYNAUDIO")</f>
        <v>DYNAUDIO</v>
      </c>
      <c r="E578" s="50">
        <v>0.0</v>
      </c>
      <c r="F578" s="51">
        <v>0.0</v>
      </c>
      <c r="G578" s="52">
        <f t="shared" si="15"/>
        <v>0</v>
      </c>
      <c r="H578" s="51">
        <f>IFERROR(__xludf.DUMMYFUNCTION("""COMPUTED_VALUE"""),30080.0)</f>
        <v>30080</v>
      </c>
      <c r="I578" s="53">
        <f t="shared" si="14"/>
        <v>0</v>
      </c>
      <c r="J578" s="12"/>
      <c r="K578" s="1"/>
      <c r="L578" s="1"/>
      <c r="M578" s="1"/>
      <c r="N578" s="1"/>
      <c r="O578" s="1"/>
      <c r="P578" s="1"/>
      <c r="Q578" s="1"/>
      <c r="R578" s="1"/>
      <c r="S578" s="1"/>
      <c r="T578" s="1"/>
      <c r="U578" s="1"/>
      <c r="V578" s="1"/>
      <c r="W578" s="1"/>
      <c r="X578" s="1"/>
      <c r="Y578" s="1"/>
      <c r="Z578" s="1"/>
    </row>
    <row r="579">
      <c r="A579" s="1"/>
      <c r="B579" s="1"/>
      <c r="C579" s="54" t="str">
        <f>IFERROR(__xludf.DUMMYFUNCTION("""COMPUTED_VALUE"""),"SUPORTE STAND 10 PAR")</f>
        <v>SUPORTE STAND 10 PAR</v>
      </c>
      <c r="D579" s="55" t="str">
        <f>IFERROR(__xludf.DUMMYFUNCTION("""COMPUTED_VALUE"""),"DYNAUDIO")</f>
        <v>DYNAUDIO</v>
      </c>
      <c r="E579" s="56">
        <v>0.0</v>
      </c>
      <c r="F579" s="57">
        <v>0.0</v>
      </c>
      <c r="G579" s="58">
        <f t="shared" si="15"/>
        <v>0</v>
      </c>
      <c r="H579" s="57">
        <f>IFERROR(__xludf.DUMMYFUNCTION("""COMPUTED_VALUE"""),5712.0)</f>
        <v>5712</v>
      </c>
      <c r="I579" s="59">
        <f t="shared" si="14"/>
        <v>0</v>
      </c>
      <c r="J579" s="12"/>
      <c r="K579" s="1"/>
      <c r="L579" s="1"/>
      <c r="M579" s="1"/>
      <c r="N579" s="1"/>
      <c r="O579" s="1"/>
      <c r="P579" s="1"/>
      <c r="Q579" s="1"/>
      <c r="R579" s="1"/>
      <c r="S579" s="1"/>
      <c r="T579" s="1"/>
      <c r="U579" s="1"/>
      <c r="V579" s="1"/>
      <c r="W579" s="1"/>
      <c r="X579" s="1"/>
      <c r="Y579" s="1"/>
      <c r="Z579" s="1"/>
    </row>
    <row r="580">
      <c r="A580" s="1"/>
      <c r="B580" s="1"/>
      <c r="C580" s="48" t="str">
        <f>IFERROR(__xludf.DUMMYFUNCTION("""COMPUTED_VALUE"""),"SUPORTE STAND 20 PAR")</f>
        <v>SUPORTE STAND 20 PAR</v>
      </c>
      <c r="D580" s="49" t="str">
        <f>IFERROR(__xludf.DUMMYFUNCTION("""COMPUTED_VALUE"""),"DYNAUDIO")</f>
        <v>DYNAUDIO</v>
      </c>
      <c r="E580" s="50">
        <v>0.0</v>
      </c>
      <c r="F580" s="51">
        <v>0.0</v>
      </c>
      <c r="G580" s="52">
        <f t="shared" si="15"/>
        <v>0</v>
      </c>
      <c r="H580" s="51">
        <f>IFERROR(__xludf.DUMMYFUNCTION("""COMPUTED_VALUE"""),8160.0)</f>
        <v>8160</v>
      </c>
      <c r="I580" s="53">
        <f t="shared" si="14"/>
        <v>0</v>
      </c>
      <c r="J580" s="12"/>
      <c r="K580" s="1"/>
      <c r="L580" s="1"/>
      <c r="M580" s="1"/>
      <c r="N580" s="1"/>
      <c r="O580" s="1"/>
      <c r="P580" s="1"/>
      <c r="Q580" s="1"/>
      <c r="R580" s="1"/>
      <c r="S580" s="1"/>
      <c r="T580" s="1"/>
      <c r="U580" s="1"/>
      <c r="V580" s="1"/>
      <c r="W580" s="1"/>
      <c r="X580" s="1"/>
      <c r="Y580" s="1"/>
      <c r="Z580" s="1"/>
    </row>
    <row r="581">
      <c r="A581" s="1"/>
      <c r="B581" s="1"/>
      <c r="C581" s="54" t="str">
        <f>IFERROR(__xludf.DUMMYFUNCTION("""COMPUTED_VALUE"""),"PLACA CONTOUR 20I PAR")</f>
        <v>PLACA CONTOUR 20I PAR</v>
      </c>
      <c r="D581" s="55" t="str">
        <f>IFERROR(__xludf.DUMMYFUNCTION("""COMPUTED_VALUE"""),"DYNAUDIO")</f>
        <v>DYNAUDIO</v>
      </c>
      <c r="E581" s="56">
        <v>0.0</v>
      </c>
      <c r="F581" s="57">
        <v>0.0</v>
      </c>
      <c r="G581" s="58">
        <f t="shared" si="15"/>
        <v>0</v>
      </c>
      <c r="H581" s="57">
        <f>IFERROR(__xludf.DUMMYFUNCTION("""COMPUTED_VALUE"""),1632.0)</f>
        <v>1632</v>
      </c>
      <c r="I581" s="59">
        <f t="shared" si="14"/>
        <v>0</v>
      </c>
      <c r="J581" s="12"/>
      <c r="K581" s="1"/>
      <c r="L581" s="1"/>
      <c r="M581" s="1"/>
      <c r="N581" s="1"/>
      <c r="O581" s="1"/>
      <c r="P581" s="1"/>
      <c r="Q581" s="1"/>
      <c r="R581" s="1"/>
      <c r="S581" s="1"/>
      <c r="T581" s="1"/>
      <c r="U581" s="1"/>
      <c r="V581" s="1"/>
      <c r="W581" s="1"/>
      <c r="X581" s="1"/>
      <c r="Y581" s="1"/>
      <c r="Z581" s="1"/>
    </row>
    <row r="582">
      <c r="A582" s="1"/>
      <c r="B582" s="1"/>
      <c r="C582" s="48" t="str">
        <f>IFERROR(__xludf.DUMMYFUNCTION("""COMPUTED_VALUE"""),"BASE CS1 ")</f>
        <v>BASE CS1 </v>
      </c>
      <c r="D582" s="49" t="str">
        <f>IFERROR(__xludf.DUMMYFUNCTION("""COMPUTED_VALUE"""),"DYNAUDIO")</f>
        <v>DYNAUDIO</v>
      </c>
      <c r="E582" s="50">
        <v>0.0</v>
      </c>
      <c r="F582" s="51">
        <v>0.0</v>
      </c>
      <c r="G582" s="52">
        <f t="shared" si="15"/>
        <v>0</v>
      </c>
      <c r="H582" s="51">
        <f>IFERROR(__xludf.DUMMYFUNCTION("""COMPUTED_VALUE"""),1632.0)</f>
        <v>1632</v>
      </c>
      <c r="I582" s="53">
        <f t="shared" si="14"/>
        <v>0</v>
      </c>
      <c r="J582" s="12"/>
      <c r="K582" s="1"/>
      <c r="L582" s="1"/>
      <c r="M582" s="1"/>
      <c r="N582" s="1"/>
      <c r="O582" s="1"/>
      <c r="P582" s="1"/>
      <c r="Q582" s="1"/>
      <c r="R582" s="1"/>
      <c r="S582" s="1"/>
      <c r="T582" s="1"/>
      <c r="U582" s="1"/>
      <c r="V582" s="1"/>
      <c r="W582" s="1"/>
      <c r="X582" s="1"/>
      <c r="Y582" s="1"/>
      <c r="Z582" s="1"/>
    </row>
    <row r="583">
      <c r="A583" s="1"/>
      <c r="B583" s="1"/>
      <c r="C583" s="54" t="str">
        <f>IFERROR(__xludf.DUMMYFUNCTION("""COMPUTED_VALUE"""),"S4-C65 CAIXA DE SOM DE EMBUTIR")</f>
        <v>S4-C65 CAIXA DE SOM DE EMBUTIR</v>
      </c>
      <c r="D583" s="55" t="str">
        <f>IFERROR(__xludf.DUMMYFUNCTION("""COMPUTED_VALUE"""),"DYNAUDIO")</f>
        <v>DYNAUDIO</v>
      </c>
      <c r="E583" s="56">
        <v>0.0</v>
      </c>
      <c r="F583" s="57">
        <v>0.0</v>
      </c>
      <c r="G583" s="58">
        <f t="shared" si="15"/>
        <v>0</v>
      </c>
      <c r="H583" s="57">
        <f>IFERROR(__xludf.DUMMYFUNCTION("""COMPUTED_VALUE"""),8320.0)</f>
        <v>8320</v>
      </c>
      <c r="I583" s="59">
        <f t="shared" si="14"/>
        <v>0</v>
      </c>
      <c r="J583" s="12"/>
      <c r="K583" s="1"/>
      <c r="L583" s="1"/>
      <c r="M583" s="1"/>
      <c r="N583" s="1"/>
      <c r="O583" s="1"/>
      <c r="P583" s="1"/>
      <c r="Q583" s="1"/>
      <c r="R583" s="1"/>
      <c r="S583" s="1"/>
      <c r="T583" s="1"/>
      <c r="U583" s="1"/>
      <c r="V583" s="1"/>
      <c r="W583" s="1"/>
      <c r="X583" s="1"/>
      <c r="Y583" s="1"/>
      <c r="Z583" s="1"/>
    </row>
    <row r="584">
      <c r="A584" s="1"/>
      <c r="B584" s="1"/>
      <c r="C584" s="48" t="str">
        <f>IFERROR(__xludf.DUMMYFUNCTION("""COMPUTED_VALUE"""),"S4-DVC65 CAIXA DE SOM DE EMBUTIR")</f>
        <v>S4-DVC65 CAIXA DE SOM DE EMBUTIR</v>
      </c>
      <c r="D584" s="49" t="str">
        <f>IFERROR(__xludf.DUMMYFUNCTION("""COMPUTED_VALUE"""),"DYNAUDIO")</f>
        <v>DYNAUDIO</v>
      </c>
      <c r="E584" s="50">
        <v>0.0</v>
      </c>
      <c r="F584" s="51">
        <v>0.0</v>
      </c>
      <c r="G584" s="52">
        <f t="shared" si="15"/>
        <v>0</v>
      </c>
      <c r="H584" s="51">
        <f>IFERROR(__xludf.DUMMYFUNCTION("""COMPUTED_VALUE"""),8960.0)</f>
        <v>8960</v>
      </c>
      <c r="I584" s="53">
        <f t="shared" si="14"/>
        <v>0</v>
      </c>
      <c r="J584" s="12"/>
      <c r="K584" s="1"/>
      <c r="L584" s="1"/>
      <c r="M584" s="1"/>
      <c r="N584" s="1"/>
      <c r="O584" s="1"/>
      <c r="P584" s="1"/>
      <c r="Q584" s="1"/>
      <c r="R584" s="1"/>
      <c r="S584" s="1"/>
      <c r="T584" s="1"/>
      <c r="U584" s="1"/>
      <c r="V584" s="1"/>
      <c r="W584" s="1"/>
      <c r="X584" s="1"/>
      <c r="Y584" s="1"/>
      <c r="Z584" s="1"/>
    </row>
    <row r="585">
      <c r="A585" s="1"/>
      <c r="B585" s="1"/>
      <c r="C585" s="54" t="str">
        <f>IFERROR(__xludf.DUMMYFUNCTION("""COMPUTED_VALUE"""),"S4-C80 CAIXA DE SOM DE EMBUTIR")</f>
        <v>S4-C80 CAIXA DE SOM DE EMBUTIR</v>
      </c>
      <c r="D585" s="55" t="str">
        <f>IFERROR(__xludf.DUMMYFUNCTION("""COMPUTED_VALUE"""),"DYNAUDIO")</f>
        <v>DYNAUDIO</v>
      </c>
      <c r="E585" s="56">
        <v>0.0</v>
      </c>
      <c r="F585" s="57">
        <v>0.0</v>
      </c>
      <c r="G585" s="58">
        <f t="shared" si="15"/>
        <v>0</v>
      </c>
      <c r="H585" s="57">
        <f>IFERROR(__xludf.DUMMYFUNCTION("""COMPUTED_VALUE"""),11520.0)</f>
        <v>11520</v>
      </c>
      <c r="I585" s="59">
        <f t="shared" si="14"/>
        <v>0</v>
      </c>
      <c r="J585" s="12"/>
      <c r="K585" s="1"/>
      <c r="L585" s="1"/>
      <c r="M585" s="1"/>
      <c r="N585" s="1"/>
      <c r="O585" s="1"/>
      <c r="P585" s="1"/>
      <c r="Q585" s="1"/>
      <c r="R585" s="1"/>
      <c r="S585" s="1"/>
      <c r="T585" s="1"/>
      <c r="U585" s="1"/>
      <c r="V585" s="1"/>
      <c r="W585" s="1"/>
      <c r="X585" s="1"/>
      <c r="Y585" s="1"/>
      <c r="Z585" s="1"/>
    </row>
    <row r="586">
      <c r="A586" s="1"/>
      <c r="B586" s="1"/>
      <c r="C586" s="48" t="str">
        <f>IFERROR(__xludf.DUMMYFUNCTION("""COMPUTED_VALUE"""),"S4W65 CAIXA DE SOM DE EMBUTIR")</f>
        <v>S4W65 CAIXA DE SOM DE EMBUTIR</v>
      </c>
      <c r="D586" s="49" t="str">
        <f>IFERROR(__xludf.DUMMYFUNCTION("""COMPUTED_VALUE"""),"DYNAUDIO")</f>
        <v>DYNAUDIO</v>
      </c>
      <c r="E586" s="50">
        <v>0.0</v>
      </c>
      <c r="F586" s="51">
        <v>0.0</v>
      </c>
      <c r="G586" s="52">
        <f t="shared" si="15"/>
        <v>0</v>
      </c>
      <c r="H586" s="51">
        <f>IFERROR(__xludf.DUMMYFUNCTION("""COMPUTED_VALUE"""),9600.0)</f>
        <v>9600</v>
      </c>
      <c r="I586" s="53">
        <f t="shared" si="14"/>
        <v>0</v>
      </c>
      <c r="J586" s="12"/>
      <c r="K586" s="1"/>
      <c r="L586" s="1"/>
      <c r="M586" s="1"/>
      <c r="N586" s="1"/>
      <c r="O586" s="1"/>
      <c r="P586" s="1"/>
      <c r="Q586" s="1"/>
      <c r="R586" s="1"/>
      <c r="S586" s="1"/>
      <c r="T586" s="1"/>
      <c r="U586" s="1"/>
      <c r="V586" s="1"/>
      <c r="W586" s="1"/>
      <c r="X586" s="1"/>
      <c r="Y586" s="1"/>
      <c r="Z586" s="1"/>
    </row>
    <row r="587">
      <c r="A587" s="1"/>
      <c r="B587" s="1"/>
      <c r="C587" s="54" t="str">
        <f>IFERROR(__xludf.DUMMYFUNCTION("""COMPUTED_VALUE"""),"S4-W80 CAIXA DE SOM DE EMBUTIR")</f>
        <v>S4-W80 CAIXA DE SOM DE EMBUTIR</v>
      </c>
      <c r="D587" s="55" t="str">
        <f>IFERROR(__xludf.DUMMYFUNCTION("""COMPUTED_VALUE"""),"DYNAUDIO")</f>
        <v>DYNAUDIO</v>
      </c>
      <c r="E587" s="56">
        <v>0.0</v>
      </c>
      <c r="F587" s="57">
        <v>0.0</v>
      </c>
      <c r="G587" s="58">
        <f t="shared" si="15"/>
        <v>0</v>
      </c>
      <c r="H587" s="57">
        <f>IFERROR(__xludf.DUMMYFUNCTION("""COMPUTED_VALUE"""),12800.0)</f>
        <v>12800</v>
      </c>
      <c r="I587" s="59">
        <f t="shared" si="14"/>
        <v>0</v>
      </c>
      <c r="J587" s="12"/>
      <c r="K587" s="1"/>
      <c r="L587" s="1"/>
      <c r="M587" s="1"/>
      <c r="N587" s="1"/>
      <c r="O587" s="1"/>
      <c r="P587" s="1"/>
      <c r="Q587" s="1"/>
      <c r="R587" s="1"/>
      <c r="S587" s="1"/>
      <c r="T587" s="1"/>
      <c r="U587" s="1"/>
      <c r="V587" s="1"/>
      <c r="W587" s="1"/>
      <c r="X587" s="1"/>
      <c r="Y587" s="1"/>
      <c r="Z587" s="1"/>
    </row>
    <row r="588">
      <c r="A588" s="1"/>
      <c r="B588" s="1"/>
      <c r="C588" s="48" t="str">
        <f>IFERROR(__xludf.DUMMYFUNCTION("""COMPUTED_VALUE"""),"S4-LCRMT CAIXA DE SOM DE EMBUTIR")</f>
        <v>S4-LCRMT CAIXA DE SOM DE EMBUTIR</v>
      </c>
      <c r="D588" s="49" t="str">
        <f>IFERROR(__xludf.DUMMYFUNCTION("""COMPUTED_VALUE"""),"DYNAUDIO")</f>
        <v>DYNAUDIO</v>
      </c>
      <c r="E588" s="50">
        <v>0.0</v>
      </c>
      <c r="F588" s="51">
        <v>0.0</v>
      </c>
      <c r="G588" s="52">
        <f t="shared" si="15"/>
        <v>0</v>
      </c>
      <c r="H588" s="51">
        <f>IFERROR(__xludf.DUMMYFUNCTION("""COMPUTED_VALUE"""),10975.0)</f>
        <v>10975</v>
      </c>
      <c r="I588" s="53">
        <f t="shared" si="14"/>
        <v>0</v>
      </c>
      <c r="J588" s="12"/>
      <c r="K588" s="1"/>
      <c r="L588" s="1"/>
      <c r="M588" s="1"/>
      <c r="N588" s="1"/>
      <c r="O588" s="1"/>
      <c r="P588" s="1"/>
      <c r="Q588" s="1"/>
      <c r="R588" s="1"/>
      <c r="S588" s="1"/>
      <c r="T588" s="1"/>
      <c r="U588" s="1"/>
      <c r="V588" s="1"/>
      <c r="W588" s="1"/>
      <c r="X588" s="1"/>
      <c r="Y588" s="1"/>
      <c r="Z588" s="1"/>
    </row>
    <row r="589">
      <c r="A589" s="1"/>
      <c r="B589" s="1"/>
      <c r="C589" s="54" t="str">
        <f>IFERROR(__xludf.DUMMYFUNCTION("""COMPUTED_VALUE"""),"S4-LCR65W CAIXA DE SOM DE EMBUTIR")</f>
        <v>S4-LCR65W CAIXA DE SOM DE EMBUTIR</v>
      </c>
      <c r="D589" s="55" t="str">
        <f>IFERROR(__xludf.DUMMYFUNCTION("""COMPUTED_VALUE"""),"DYNAUDIO")</f>
        <v>DYNAUDIO</v>
      </c>
      <c r="E589" s="56">
        <v>0.0</v>
      </c>
      <c r="F589" s="57">
        <v>0.0</v>
      </c>
      <c r="G589" s="58">
        <f t="shared" si="15"/>
        <v>0</v>
      </c>
      <c r="H589" s="57">
        <f>IFERROR(__xludf.DUMMYFUNCTION("""COMPUTED_VALUE"""),8900.0)</f>
        <v>8900</v>
      </c>
      <c r="I589" s="59">
        <f t="shared" si="14"/>
        <v>0</v>
      </c>
      <c r="J589" s="12"/>
      <c r="K589" s="1"/>
      <c r="L589" s="1"/>
      <c r="M589" s="1"/>
      <c r="N589" s="1"/>
      <c r="O589" s="1"/>
      <c r="P589" s="1"/>
      <c r="Q589" s="1"/>
      <c r="R589" s="1"/>
      <c r="S589" s="1"/>
      <c r="T589" s="1"/>
      <c r="U589" s="1"/>
      <c r="V589" s="1"/>
      <c r="W589" s="1"/>
      <c r="X589" s="1"/>
      <c r="Y589" s="1"/>
      <c r="Z589" s="1"/>
    </row>
    <row r="590">
      <c r="A590" s="1"/>
      <c r="B590" s="1"/>
      <c r="C590" s="48" t="str">
        <f>IFERROR(__xludf.DUMMYFUNCTION("""COMPUTED_VALUE"""),"P4-C65 CAIXA DE SOM DE EMBUTIR")</f>
        <v>P4-C65 CAIXA DE SOM DE EMBUTIR</v>
      </c>
      <c r="D590" s="49" t="str">
        <f>IFERROR(__xludf.DUMMYFUNCTION("""COMPUTED_VALUE"""),"DYNAUDIO")</f>
        <v>DYNAUDIO</v>
      </c>
      <c r="E590" s="50">
        <v>0.0</v>
      </c>
      <c r="F590" s="51">
        <v>0.0</v>
      </c>
      <c r="G590" s="52">
        <f t="shared" si="15"/>
        <v>0</v>
      </c>
      <c r="H590" s="51">
        <f>IFERROR(__xludf.DUMMYFUNCTION("""COMPUTED_VALUE"""),3792.0)</f>
        <v>3792</v>
      </c>
      <c r="I590" s="53">
        <f t="shared" si="14"/>
        <v>0</v>
      </c>
      <c r="J590" s="12"/>
      <c r="K590" s="1"/>
      <c r="L590" s="1"/>
      <c r="M590" s="1"/>
      <c r="N590" s="1"/>
      <c r="O590" s="1"/>
      <c r="P590" s="1"/>
      <c r="Q590" s="1"/>
      <c r="R590" s="1"/>
      <c r="S590" s="1"/>
      <c r="T590" s="1"/>
      <c r="U590" s="1"/>
      <c r="V590" s="1"/>
      <c r="W590" s="1"/>
      <c r="X590" s="1"/>
      <c r="Y590" s="1"/>
      <c r="Z590" s="1"/>
    </row>
    <row r="591">
      <c r="A591" s="1"/>
      <c r="B591" s="1"/>
      <c r="C591" s="54" t="str">
        <f>IFERROR(__xludf.DUMMYFUNCTION("""COMPUTED_VALUE"""),"P4-DVC65 CAIXA DE SOM DE EMBUTIR")</f>
        <v>P4-DVC65 CAIXA DE SOM DE EMBUTIR</v>
      </c>
      <c r="D591" s="55" t="str">
        <f>IFERROR(__xludf.DUMMYFUNCTION("""COMPUTED_VALUE"""),"DYNAUDIO")</f>
        <v>DYNAUDIO</v>
      </c>
      <c r="E591" s="56">
        <v>0.0</v>
      </c>
      <c r="F591" s="57">
        <v>0.0</v>
      </c>
      <c r="G591" s="58">
        <f t="shared" si="15"/>
        <v>0</v>
      </c>
      <c r="H591" s="57">
        <f>IFERROR(__xludf.DUMMYFUNCTION("""COMPUTED_VALUE"""),4288.0)</f>
        <v>4288</v>
      </c>
      <c r="I591" s="59">
        <f t="shared" si="14"/>
        <v>0</v>
      </c>
      <c r="J591" s="12"/>
      <c r="K591" s="1"/>
      <c r="L591" s="1"/>
      <c r="M591" s="1"/>
      <c r="N591" s="1"/>
      <c r="O591" s="1"/>
      <c r="P591" s="1"/>
      <c r="Q591" s="1"/>
      <c r="R591" s="1"/>
      <c r="S591" s="1"/>
      <c r="T591" s="1"/>
      <c r="U591" s="1"/>
      <c r="V591" s="1"/>
      <c r="W591" s="1"/>
      <c r="X591" s="1"/>
      <c r="Y591" s="1"/>
      <c r="Z591" s="1"/>
    </row>
    <row r="592">
      <c r="A592" s="1"/>
      <c r="B592" s="1"/>
      <c r="C592" s="48" t="str">
        <f>IFERROR(__xludf.DUMMYFUNCTION("""COMPUTED_VALUE"""),"P4-C80 CAIXA DE SOM DE EMBUTIR")</f>
        <v>P4-C80 CAIXA DE SOM DE EMBUTIR</v>
      </c>
      <c r="D592" s="49" t="str">
        <f>IFERROR(__xludf.DUMMYFUNCTION("""COMPUTED_VALUE"""),"DYNAUDIO")</f>
        <v>DYNAUDIO</v>
      </c>
      <c r="E592" s="50">
        <v>0.0</v>
      </c>
      <c r="F592" s="51">
        <v>0.0</v>
      </c>
      <c r="G592" s="52">
        <f t="shared" si="15"/>
        <v>0</v>
      </c>
      <c r="H592" s="51">
        <f>IFERROR(__xludf.DUMMYFUNCTION("""COMPUTED_VALUE"""),4720.0)</f>
        <v>4720</v>
      </c>
      <c r="I592" s="53">
        <f t="shared" si="14"/>
        <v>0</v>
      </c>
      <c r="J592" s="12"/>
      <c r="K592" s="1"/>
      <c r="L592" s="1"/>
      <c r="M592" s="1"/>
      <c r="N592" s="1"/>
      <c r="O592" s="1"/>
      <c r="P592" s="1"/>
      <c r="Q592" s="1"/>
      <c r="R592" s="1"/>
      <c r="S592" s="1"/>
      <c r="T592" s="1"/>
      <c r="U592" s="1"/>
      <c r="V592" s="1"/>
      <c r="W592" s="1"/>
      <c r="X592" s="1"/>
      <c r="Y592" s="1"/>
      <c r="Z592" s="1"/>
    </row>
    <row r="593">
      <c r="A593" s="1"/>
      <c r="B593" s="1"/>
      <c r="C593" s="54" t="str">
        <f>IFERROR(__xludf.DUMMYFUNCTION("""COMPUTED_VALUE"""),"P4-W65 CAIXA DE SOM DE EMBUTIR")</f>
        <v>P4-W65 CAIXA DE SOM DE EMBUTIR</v>
      </c>
      <c r="D593" s="55" t="str">
        <f>IFERROR(__xludf.DUMMYFUNCTION("""COMPUTED_VALUE"""),"DYNAUDIO")</f>
        <v>DYNAUDIO</v>
      </c>
      <c r="E593" s="56">
        <v>0.0</v>
      </c>
      <c r="F593" s="57">
        <v>0.0</v>
      </c>
      <c r="G593" s="58">
        <f t="shared" si="15"/>
        <v>0</v>
      </c>
      <c r="H593" s="57">
        <f>IFERROR(__xludf.DUMMYFUNCTION("""COMPUTED_VALUE"""),3792.0)</f>
        <v>3792</v>
      </c>
      <c r="I593" s="59">
        <f t="shared" si="14"/>
        <v>0</v>
      </c>
      <c r="J593" s="12"/>
      <c r="K593" s="1"/>
      <c r="L593" s="1"/>
      <c r="M593" s="1"/>
      <c r="N593" s="1"/>
      <c r="O593" s="1"/>
      <c r="P593" s="1"/>
      <c r="Q593" s="1"/>
      <c r="R593" s="1"/>
      <c r="S593" s="1"/>
      <c r="T593" s="1"/>
      <c r="U593" s="1"/>
      <c r="V593" s="1"/>
      <c r="W593" s="1"/>
      <c r="X593" s="1"/>
      <c r="Y593" s="1"/>
      <c r="Z593" s="1"/>
    </row>
    <row r="594">
      <c r="A594" s="1"/>
      <c r="B594" s="1"/>
      <c r="C594" s="48" t="str">
        <f>IFERROR(__xludf.DUMMYFUNCTION("""COMPUTED_VALUE"""),"P4-W80 CAIXA DE SOM DE EMBUTIR")</f>
        <v>P4-W80 CAIXA DE SOM DE EMBUTIR</v>
      </c>
      <c r="D594" s="49" t="str">
        <f>IFERROR(__xludf.DUMMYFUNCTION("""COMPUTED_VALUE"""),"DYNAUDIO")</f>
        <v>DYNAUDIO</v>
      </c>
      <c r="E594" s="50">
        <v>0.0</v>
      </c>
      <c r="F594" s="51">
        <v>0.0</v>
      </c>
      <c r="G594" s="52">
        <f t="shared" si="15"/>
        <v>0</v>
      </c>
      <c r="H594" s="51">
        <f>IFERROR(__xludf.DUMMYFUNCTION("""COMPUTED_VALUE"""),4720.0)</f>
        <v>4720</v>
      </c>
      <c r="I594" s="53">
        <f t="shared" si="14"/>
        <v>0</v>
      </c>
      <c r="J594" s="12"/>
      <c r="K594" s="1"/>
      <c r="L594" s="1"/>
      <c r="M594" s="1"/>
      <c r="N594" s="1"/>
      <c r="O594" s="1"/>
      <c r="P594" s="1"/>
      <c r="Q594" s="1"/>
      <c r="R594" s="1"/>
      <c r="S594" s="1"/>
      <c r="T594" s="1"/>
      <c r="U594" s="1"/>
      <c r="V594" s="1"/>
      <c r="W594" s="1"/>
      <c r="X594" s="1"/>
      <c r="Y594" s="1"/>
      <c r="Z594" s="1"/>
    </row>
    <row r="595">
      <c r="A595" s="1"/>
      <c r="B595" s="1"/>
      <c r="C595" s="54" t="str">
        <f>IFERROR(__xludf.DUMMYFUNCTION("""COMPUTED_VALUE"""),"P4-LCR50 CAIXA DE SOM DE EMBUTIR")</f>
        <v>P4-LCR50 CAIXA DE SOM DE EMBUTIR</v>
      </c>
      <c r="D595" s="55" t="str">
        <f>IFERROR(__xludf.DUMMYFUNCTION("""COMPUTED_VALUE"""),"DYNAUDIO")</f>
        <v>DYNAUDIO</v>
      </c>
      <c r="E595" s="56">
        <v>0.0</v>
      </c>
      <c r="F595" s="57">
        <v>0.0</v>
      </c>
      <c r="G595" s="58">
        <f t="shared" si="15"/>
        <v>0</v>
      </c>
      <c r="H595" s="57">
        <f>IFERROR(__xludf.DUMMYFUNCTION("""COMPUTED_VALUE"""),4720.0)</f>
        <v>4720</v>
      </c>
      <c r="I595" s="59">
        <f t="shared" si="14"/>
        <v>0</v>
      </c>
      <c r="J595" s="12"/>
      <c r="K595" s="1"/>
      <c r="L595" s="1"/>
      <c r="M595" s="1"/>
      <c r="N595" s="1"/>
      <c r="O595" s="1"/>
      <c r="P595" s="1"/>
      <c r="Q595" s="1"/>
      <c r="R595" s="1"/>
      <c r="S595" s="1"/>
      <c r="T595" s="1"/>
      <c r="U595" s="1"/>
      <c r="V595" s="1"/>
      <c r="W595" s="1"/>
      <c r="X595" s="1"/>
      <c r="Y595" s="1"/>
      <c r="Z595" s="1"/>
    </row>
    <row r="596">
      <c r="A596" s="1"/>
      <c r="B596" s="1"/>
      <c r="C596" s="48" t="str">
        <f>IFERROR(__xludf.DUMMYFUNCTION("""COMPUTED_VALUE"""),"S4-SQG65 TELA QUADRADA ")</f>
        <v>S4-SQG65 TELA QUADRADA </v>
      </c>
      <c r="D596" s="49" t="str">
        <f>IFERROR(__xludf.DUMMYFUNCTION("""COMPUTED_VALUE"""),"DYNAUDIO")</f>
        <v>DYNAUDIO</v>
      </c>
      <c r="E596" s="50">
        <v>0.0</v>
      </c>
      <c r="F596" s="51">
        <v>0.0</v>
      </c>
      <c r="G596" s="52">
        <f t="shared" si="15"/>
        <v>0</v>
      </c>
      <c r="H596" s="51">
        <f>IFERROR(__xludf.DUMMYFUNCTION("""COMPUTED_VALUE"""),640.0)</f>
        <v>640</v>
      </c>
      <c r="I596" s="53">
        <f t="shared" si="14"/>
        <v>0</v>
      </c>
      <c r="J596" s="12"/>
      <c r="K596" s="1"/>
      <c r="L596" s="1"/>
      <c r="M596" s="1"/>
      <c r="N596" s="1"/>
      <c r="O596" s="1"/>
      <c r="P596" s="1"/>
      <c r="Q596" s="1"/>
      <c r="R596" s="1"/>
      <c r="S596" s="1"/>
      <c r="T596" s="1"/>
      <c r="U596" s="1"/>
      <c r="V596" s="1"/>
      <c r="W596" s="1"/>
      <c r="X596" s="1"/>
      <c r="Y596" s="1"/>
      <c r="Z596" s="1"/>
    </row>
    <row r="597">
      <c r="A597" s="1"/>
      <c r="B597" s="1"/>
      <c r="C597" s="63" t="s">
        <v>62</v>
      </c>
      <c r="D597" s="64" t="s">
        <v>63</v>
      </c>
      <c r="E597" s="56">
        <v>0.0</v>
      </c>
      <c r="F597" s="57">
        <v>591.0</v>
      </c>
      <c r="G597" s="58">
        <f t="shared" ref="G597:G613" si="16">IF(F597&gt;0,F597*E597+F597,"")</f>
        <v>591</v>
      </c>
      <c r="H597" s="57">
        <v>985.0</v>
      </c>
      <c r="I597" s="59">
        <f t="shared" si="14"/>
        <v>0.6666666667</v>
      </c>
      <c r="J597" s="12"/>
      <c r="K597" s="1"/>
      <c r="L597" s="1"/>
      <c r="M597" s="1"/>
      <c r="N597" s="1"/>
      <c r="O597" s="1"/>
      <c r="P597" s="1"/>
      <c r="Q597" s="1"/>
      <c r="R597" s="1"/>
      <c r="S597" s="1"/>
      <c r="T597" s="1"/>
      <c r="U597" s="1"/>
      <c r="V597" s="1"/>
      <c r="W597" s="1"/>
      <c r="X597" s="1"/>
      <c r="Y597" s="1"/>
      <c r="Z597" s="1"/>
    </row>
    <row r="598">
      <c r="A598" s="1"/>
      <c r="B598" s="1"/>
      <c r="C598" s="60" t="s">
        <v>64</v>
      </c>
      <c r="D598" s="61" t="s">
        <v>63</v>
      </c>
      <c r="E598" s="50">
        <v>0.0</v>
      </c>
      <c r="F598" s="51">
        <v>795.0</v>
      </c>
      <c r="G598" s="52">
        <f t="shared" si="16"/>
        <v>795</v>
      </c>
      <c r="H598" s="51">
        <v>1325.0</v>
      </c>
      <c r="I598" s="53">
        <f t="shared" si="14"/>
        <v>0.6666666667</v>
      </c>
      <c r="J598" s="12"/>
      <c r="K598" s="1"/>
      <c r="L598" s="1"/>
      <c r="M598" s="1"/>
      <c r="N598" s="1"/>
      <c r="O598" s="1"/>
      <c r="P598" s="1"/>
      <c r="Q598" s="1"/>
      <c r="R598" s="1"/>
      <c r="S598" s="1"/>
      <c r="T598" s="1"/>
      <c r="U598" s="1"/>
      <c r="V598" s="1"/>
      <c r="W598" s="1"/>
      <c r="X598" s="1"/>
      <c r="Y598" s="1"/>
      <c r="Z598" s="1"/>
    </row>
    <row r="599">
      <c r="A599" s="1"/>
      <c r="B599" s="1"/>
      <c r="C599" s="63" t="s">
        <v>65</v>
      </c>
      <c r="D599" s="64" t="s">
        <v>63</v>
      </c>
      <c r="E599" s="56">
        <v>0.0</v>
      </c>
      <c r="F599" s="57">
        <v>942.0</v>
      </c>
      <c r="G599" s="58">
        <f t="shared" si="16"/>
        <v>942</v>
      </c>
      <c r="H599" s="57">
        <v>1570.0</v>
      </c>
      <c r="I599" s="59">
        <f t="shared" si="14"/>
        <v>0.6666666667</v>
      </c>
      <c r="J599" s="12"/>
      <c r="K599" s="1"/>
      <c r="L599" s="1"/>
      <c r="M599" s="1"/>
      <c r="N599" s="1"/>
      <c r="O599" s="1"/>
      <c r="P599" s="1"/>
      <c r="Q599" s="1"/>
      <c r="R599" s="1"/>
      <c r="S599" s="1"/>
      <c r="T599" s="1"/>
      <c r="U599" s="1"/>
      <c r="V599" s="1"/>
      <c r="W599" s="1"/>
      <c r="X599" s="1"/>
      <c r="Y599" s="1"/>
      <c r="Z599" s="1"/>
    </row>
    <row r="600">
      <c r="A600" s="1"/>
      <c r="B600" s="1"/>
      <c r="C600" s="60" t="s">
        <v>66</v>
      </c>
      <c r="D600" s="61" t="s">
        <v>63</v>
      </c>
      <c r="E600" s="50">
        <v>0.0</v>
      </c>
      <c r="F600" s="51">
        <v>1326.0</v>
      </c>
      <c r="G600" s="52">
        <f t="shared" si="16"/>
        <v>1326</v>
      </c>
      <c r="H600" s="51">
        <v>2210.0</v>
      </c>
      <c r="I600" s="53">
        <f t="shared" si="14"/>
        <v>0.6666666667</v>
      </c>
      <c r="J600" s="12"/>
      <c r="K600" s="1"/>
      <c r="L600" s="1"/>
      <c r="M600" s="1"/>
      <c r="N600" s="1"/>
      <c r="O600" s="1"/>
      <c r="P600" s="1"/>
      <c r="Q600" s="1"/>
      <c r="R600" s="1"/>
      <c r="S600" s="1"/>
      <c r="T600" s="1"/>
      <c r="U600" s="1"/>
      <c r="V600" s="1"/>
      <c r="W600" s="1"/>
      <c r="X600" s="1"/>
      <c r="Y600" s="1"/>
      <c r="Z600" s="1"/>
    </row>
    <row r="601">
      <c r="A601" s="1"/>
      <c r="B601" s="1"/>
      <c r="C601" s="63" t="s">
        <v>67</v>
      </c>
      <c r="D601" s="64" t="s">
        <v>63</v>
      </c>
      <c r="E601" s="56">
        <v>0.0</v>
      </c>
      <c r="F601" s="57">
        <v>591.0</v>
      </c>
      <c r="G601" s="58">
        <f t="shared" si="16"/>
        <v>591</v>
      </c>
      <c r="H601" s="57">
        <v>985.0</v>
      </c>
      <c r="I601" s="59">
        <f t="shared" si="14"/>
        <v>0.6666666667</v>
      </c>
      <c r="J601" s="12"/>
      <c r="K601" s="1"/>
      <c r="L601" s="1"/>
      <c r="M601" s="1"/>
      <c r="N601" s="1"/>
      <c r="O601" s="1"/>
      <c r="P601" s="1"/>
      <c r="Q601" s="1"/>
      <c r="R601" s="1"/>
      <c r="S601" s="1"/>
      <c r="T601" s="1"/>
      <c r="U601" s="1"/>
      <c r="V601" s="1"/>
      <c r="W601" s="1"/>
      <c r="X601" s="1"/>
      <c r="Y601" s="1"/>
      <c r="Z601" s="1"/>
    </row>
    <row r="602">
      <c r="A602" s="1"/>
      <c r="B602" s="1"/>
      <c r="C602" s="60" t="s">
        <v>68</v>
      </c>
      <c r="D602" s="61" t="s">
        <v>63</v>
      </c>
      <c r="E602" s="50">
        <v>0.0</v>
      </c>
      <c r="F602" s="51">
        <v>795.0</v>
      </c>
      <c r="G602" s="52">
        <f t="shared" si="16"/>
        <v>795</v>
      </c>
      <c r="H602" s="51">
        <v>1325.0</v>
      </c>
      <c r="I602" s="53">
        <f t="shared" si="14"/>
        <v>0.6666666667</v>
      </c>
      <c r="J602" s="12"/>
      <c r="K602" s="1"/>
      <c r="L602" s="1"/>
      <c r="M602" s="1"/>
      <c r="N602" s="1"/>
      <c r="O602" s="1"/>
      <c r="P602" s="1"/>
      <c r="Q602" s="1"/>
      <c r="R602" s="1"/>
      <c r="S602" s="1"/>
      <c r="T602" s="1"/>
      <c r="U602" s="1"/>
      <c r="V602" s="1"/>
      <c r="W602" s="1"/>
      <c r="X602" s="1"/>
      <c r="Y602" s="1"/>
      <c r="Z602" s="1"/>
    </row>
    <row r="603">
      <c r="A603" s="1"/>
      <c r="B603" s="1"/>
      <c r="C603" s="63" t="s">
        <v>69</v>
      </c>
      <c r="D603" s="64" t="s">
        <v>63</v>
      </c>
      <c r="E603" s="56">
        <v>0.0</v>
      </c>
      <c r="F603" s="57">
        <v>942.0</v>
      </c>
      <c r="G603" s="58">
        <f t="shared" si="16"/>
        <v>942</v>
      </c>
      <c r="H603" s="57">
        <v>1570.0</v>
      </c>
      <c r="I603" s="59">
        <f t="shared" si="14"/>
        <v>0.6666666667</v>
      </c>
      <c r="J603" s="12"/>
      <c r="K603" s="1"/>
      <c r="L603" s="1"/>
      <c r="M603" s="1"/>
      <c r="N603" s="1"/>
      <c r="O603" s="1"/>
      <c r="P603" s="1"/>
      <c r="Q603" s="1"/>
      <c r="R603" s="1"/>
      <c r="S603" s="1"/>
      <c r="T603" s="1"/>
      <c r="U603" s="1"/>
      <c r="V603" s="1"/>
      <c r="W603" s="1"/>
      <c r="X603" s="1"/>
      <c r="Y603" s="1"/>
      <c r="Z603" s="1"/>
    </row>
    <row r="604">
      <c r="A604" s="1"/>
      <c r="B604" s="1"/>
      <c r="C604" s="60" t="s">
        <v>70</v>
      </c>
      <c r="D604" s="61" t="s">
        <v>63</v>
      </c>
      <c r="E604" s="50">
        <v>0.0</v>
      </c>
      <c r="F604" s="51">
        <v>981.0</v>
      </c>
      <c r="G604" s="52">
        <f t="shared" si="16"/>
        <v>981</v>
      </c>
      <c r="H604" s="51">
        <v>1635.0</v>
      </c>
      <c r="I604" s="53">
        <f t="shared" si="14"/>
        <v>0.6666666667</v>
      </c>
      <c r="J604" s="12"/>
      <c r="K604" s="1"/>
      <c r="L604" s="1"/>
      <c r="M604" s="1"/>
      <c r="N604" s="1"/>
      <c r="O604" s="1"/>
      <c r="P604" s="1"/>
      <c r="Q604" s="1"/>
      <c r="R604" s="1"/>
      <c r="S604" s="1"/>
      <c r="T604" s="1"/>
      <c r="U604" s="1"/>
      <c r="V604" s="1"/>
      <c r="W604" s="1"/>
      <c r="X604" s="1"/>
      <c r="Y604" s="1"/>
      <c r="Z604" s="1"/>
    </row>
    <row r="605">
      <c r="A605" s="1"/>
      <c r="B605" s="1"/>
      <c r="C605" s="63" t="s">
        <v>71</v>
      </c>
      <c r="D605" s="64" t="s">
        <v>63</v>
      </c>
      <c r="E605" s="56">
        <v>0.0</v>
      </c>
      <c r="F605" s="57">
        <v>1371.0</v>
      </c>
      <c r="G605" s="58">
        <f t="shared" si="16"/>
        <v>1371</v>
      </c>
      <c r="H605" s="57">
        <v>2285.0</v>
      </c>
      <c r="I605" s="59">
        <f t="shared" si="14"/>
        <v>0.6666666667</v>
      </c>
      <c r="J605" s="12"/>
      <c r="K605" s="1"/>
      <c r="L605" s="1"/>
      <c r="M605" s="1"/>
      <c r="N605" s="1"/>
      <c r="O605" s="1"/>
      <c r="P605" s="1"/>
      <c r="Q605" s="1"/>
      <c r="R605" s="1"/>
      <c r="S605" s="1"/>
      <c r="T605" s="1"/>
      <c r="U605" s="1"/>
      <c r="V605" s="1"/>
      <c r="W605" s="1"/>
      <c r="X605" s="1"/>
      <c r="Y605" s="1"/>
      <c r="Z605" s="1"/>
    </row>
    <row r="606">
      <c r="A606" s="1"/>
      <c r="B606" s="1"/>
      <c r="C606" s="60" t="s">
        <v>72</v>
      </c>
      <c r="D606" s="61" t="s">
        <v>63</v>
      </c>
      <c r="E606" s="50">
        <v>0.0</v>
      </c>
      <c r="F606" s="51">
        <v>1620.0</v>
      </c>
      <c r="G606" s="52">
        <f t="shared" si="16"/>
        <v>1620</v>
      </c>
      <c r="H606" s="51">
        <v>2700.0</v>
      </c>
      <c r="I606" s="53">
        <f t="shared" si="14"/>
        <v>0.6666666667</v>
      </c>
      <c r="J606" s="12"/>
      <c r="K606" s="1"/>
      <c r="L606" s="1"/>
      <c r="M606" s="1"/>
      <c r="N606" s="1"/>
      <c r="O606" s="1"/>
      <c r="P606" s="1"/>
      <c r="Q606" s="1"/>
      <c r="R606" s="1"/>
      <c r="S606" s="1"/>
      <c r="T606" s="1"/>
      <c r="U606" s="1"/>
      <c r="V606" s="1"/>
      <c r="W606" s="1"/>
      <c r="X606" s="1"/>
      <c r="Y606" s="1"/>
      <c r="Z606" s="1"/>
    </row>
    <row r="607">
      <c r="A607" s="1"/>
      <c r="B607" s="1"/>
      <c r="C607" s="63" t="s">
        <v>73</v>
      </c>
      <c r="D607" s="64" t="s">
        <v>63</v>
      </c>
      <c r="E607" s="56">
        <v>0.0</v>
      </c>
      <c r="F607" s="57">
        <v>2025.0</v>
      </c>
      <c r="G607" s="58">
        <f t="shared" si="16"/>
        <v>2025</v>
      </c>
      <c r="H607" s="57">
        <v>3375.0</v>
      </c>
      <c r="I607" s="59">
        <f t="shared" si="14"/>
        <v>0.6666666667</v>
      </c>
      <c r="J607" s="12"/>
      <c r="K607" s="1"/>
      <c r="L607" s="1"/>
      <c r="M607" s="1"/>
      <c r="N607" s="1"/>
      <c r="O607" s="1"/>
      <c r="P607" s="1"/>
      <c r="Q607" s="1"/>
      <c r="R607" s="1"/>
      <c r="S607" s="1"/>
      <c r="T607" s="1"/>
      <c r="U607" s="1"/>
      <c r="V607" s="1"/>
      <c r="W607" s="1"/>
      <c r="X607" s="1"/>
      <c r="Y607" s="1"/>
      <c r="Z607" s="1"/>
    </row>
    <row r="608">
      <c r="A608" s="1"/>
      <c r="B608" s="1"/>
      <c r="C608" s="60" t="s">
        <v>74</v>
      </c>
      <c r="D608" s="61" t="s">
        <v>63</v>
      </c>
      <c r="E608" s="50">
        <v>0.0</v>
      </c>
      <c r="F608" s="51">
        <v>1710.0</v>
      </c>
      <c r="G608" s="52">
        <f t="shared" si="16"/>
        <v>1710</v>
      </c>
      <c r="H608" s="51">
        <v>2850.0</v>
      </c>
      <c r="I608" s="53">
        <f t="shared" si="14"/>
        <v>0.6666666667</v>
      </c>
      <c r="J608" s="12"/>
      <c r="K608" s="1"/>
      <c r="L608" s="1"/>
      <c r="M608" s="1"/>
      <c r="N608" s="1"/>
      <c r="O608" s="1"/>
      <c r="P608" s="1"/>
      <c r="Q608" s="1"/>
      <c r="R608" s="1"/>
      <c r="S608" s="1"/>
      <c r="T608" s="1"/>
      <c r="U608" s="1"/>
      <c r="V608" s="1"/>
      <c r="W608" s="1"/>
      <c r="X608" s="1"/>
      <c r="Y608" s="1"/>
      <c r="Z608" s="1"/>
    </row>
    <row r="609">
      <c r="A609" s="1"/>
      <c r="B609" s="1"/>
      <c r="C609" s="63" t="s">
        <v>75</v>
      </c>
      <c r="D609" s="64" t="s">
        <v>63</v>
      </c>
      <c r="E609" s="56">
        <v>0.0</v>
      </c>
      <c r="F609" s="57">
        <v>3195.0</v>
      </c>
      <c r="G609" s="58">
        <f t="shared" si="16"/>
        <v>3195</v>
      </c>
      <c r="H609" s="57">
        <v>5325.0</v>
      </c>
      <c r="I609" s="59">
        <f t="shared" si="14"/>
        <v>0.6666666667</v>
      </c>
      <c r="J609" s="12"/>
      <c r="K609" s="1"/>
      <c r="L609" s="1"/>
      <c r="M609" s="1"/>
      <c r="N609" s="1"/>
      <c r="O609" s="1"/>
      <c r="P609" s="1"/>
      <c r="Q609" s="1"/>
      <c r="R609" s="1"/>
      <c r="S609" s="1"/>
      <c r="T609" s="1"/>
      <c r="U609" s="1"/>
      <c r="V609" s="1"/>
      <c r="W609" s="1"/>
      <c r="X609" s="1"/>
      <c r="Y609" s="1"/>
      <c r="Z609" s="1"/>
    </row>
    <row r="610">
      <c r="A610" s="1"/>
      <c r="B610" s="1"/>
      <c r="C610" s="60" t="s">
        <v>76</v>
      </c>
      <c r="D610" s="61" t="s">
        <v>63</v>
      </c>
      <c r="E610" s="50">
        <v>0.0</v>
      </c>
      <c r="F610" s="51">
        <v>4053.0</v>
      </c>
      <c r="G610" s="52">
        <f t="shared" si="16"/>
        <v>4053</v>
      </c>
      <c r="H610" s="51">
        <v>6755.0</v>
      </c>
      <c r="I610" s="53">
        <f t="shared" si="14"/>
        <v>0.6666666667</v>
      </c>
      <c r="J610" s="12"/>
      <c r="K610" s="1"/>
      <c r="L610" s="1"/>
      <c r="M610" s="1"/>
      <c r="N610" s="1"/>
      <c r="O610" s="1"/>
      <c r="P610" s="1"/>
      <c r="Q610" s="1"/>
      <c r="R610" s="1"/>
      <c r="S610" s="1"/>
      <c r="T610" s="1"/>
      <c r="U610" s="1"/>
      <c r="V610" s="1"/>
      <c r="W610" s="1"/>
      <c r="X610" s="1"/>
      <c r="Y610" s="1"/>
      <c r="Z610" s="1"/>
    </row>
    <row r="611">
      <c r="A611" s="1"/>
      <c r="B611" s="1"/>
      <c r="C611" s="63" t="s">
        <v>77</v>
      </c>
      <c r="D611" s="64" t="s">
        <v>63</v>
      </c>
      <c r="E611" s="56">
        <v>0.0</v>
      </c>
      <c r="F611" s="57">
        <v>145.2</v>
      </c>
      <c r="G611" s="58">
        <f t="shared" si="16"/>
        <v>145.2</v>
      </c>
      <c r="H611" s="57">
        <v>242.0</v>
      </c>
      <c r="I611" s="59">
        <f t="shared" si="14"/>
        <v>0.6666666667</v>
      </c>
      <c r="J611" s="12"/>
      <c r="K611" s="1"/>
      <c r="L611" s="1"/>
      <c r="M611" s="1"/>
      <c r="N611" s="1"/>
      <c r="O611" s="1"/>
      <c r="P611" s="1"/>
      <c r="Q611" s="1"/>
      <c r="R611" s="1"/>
      <c r="S611" s="1"/>
      <c r="T611" s="1"/>
      <c r="U611" s="1"/>
      <c r="V611" s="1"/>
      <c r="W611" s="1"/>
      <c r="X611" s="1"/>
      <c r="Y611" s="1"/>
      <c r="Z611" s="1"/>
    </row>
    <row r="612">
      <c r="A612" s="1"/>
      <c r="B612" s="1"/>
      <c r="C612" s="60" t="s">
        <v>78</v>
      </c>
      <c r="D612" s="61" t="s">
        <v>63</v>
      </c>
      <c r="E612" s="50">
        <v>0.0</v>
      </c>
      <c r="F612" s="51">
        <v>184.8</v>
      </c>
      <c r="G612" s="52">
        <f t="shared" si="16"/>
        <v>184.8</v>
      </c>
      <c r="H612" s="51">
        <v>308.0</v>
      </c>
      <c r="I612" s="53">
        <f t="shared" si="14"/>
        <v>0.6666666667</v>
      </c>
      <c r="J612" s="12"/>
      <c r="K612" s="1"/>
      <c r="L612" s="1"/>
      <c r="M612" s="1"/>
      <c r="N612" s="1"/>
      <c r="O612" s="1"/>
      <c r="P612" s="1"/>
      <c r="Q612" s="1"/>
      <c r="R612" s="1"/>
      <c r="S612" s="1"/>
      <c r="T612" s="1"/>
      <c r="U612" s="1"/>
      <c r="V612" s="1"/>
      <c r="W612" s="1"/>
      <c r="X612" s="1"/>
      <c r="Y612" s="1"/>
      <c r="Z612" s="1"/>
    </row>
    <row r="613">
      <c r="A613" s="1"/>
      <c r="B613" s="1"/>
      <c r="C613" s="63" t="s">
        <v>79</v>
      </c>
      <c r="D613" s="64" t="s">
        <v>63</v>
      </c>
      <c r="E613" s="56">
        <v>0.0</v>
      </c>
      <c r="F613" s="57">
        <v>54.0</v>
      </c>
      <c r="G613" s="58">
        <f t="shared" si="16"/>
        <v>54</v>
      </c>
      <c r="H613" s="57">
        <v>90.0</v>
      </c>
      <c r="I613" s="59">
        <f t="shared" si="14"/>
        <v>0.6666666667</v>
      </c>
      <c r="J613" s="12"/>
      <c r="K613" s="1"/>
      <c r="L613" s="1"/>
      <c r="M613" s="1"/>
      <c r="N613" s="1"/>
      <c r="O613" s="1"/>
      <c r="P613" s="1"/>
      <c r="Q613" s="1"/>
      <c r="R613" s="1"/>
      <c r="S613" s="1"/>
      <c r="T613" s="1"/>
      <c r="U613" s="1"/>
      <c r="V613" s="1"/>
      <c r="W613" s="1"/>
      <c r="X613" s="1"/>
      <c r="Y613" s="1"/>
      <c r="Z613" s="1"/>
    </row>
    <row r="614">
      <c r="A614" s="1"/>
      <c r="B614" s="1"/>
      <c r="C614" s="60" t="str">
        <f>IFERROR(__xludf.DUMMYFUNCTION("IMPORTRANGE(""https://docs.google.com/spreadsheets/d/1o8cYydH4ug95NXDZ98ZYHWgYOe_ZR-7xGZgOHj5r30s/edit?gid=340924130#gid=340924130"",""produtos!a2:a18"")"),"Antena Protect  DZ9101")</f>
        <v>Antena Protect  DZ9101</v>
      </c>
      <c r="D614" s="61" t="str">
        <f>IFERROR(__xludf.DUMMYFUNCTION("IMPORTRANGE(""https://docs.google.com/spreadsheets/d/1o8cYydH4ug95NXDZ98ZYHWgYOe_ZR-7xGZgOHj5r30s/edit?gid=340924130#gid=340924130"",""produtos!G2"")"),"ENGEBLU")</f>
        <v>ENGEBLU</v>
      </c>
      <c r="E614" s="50">
        <v>0.0</v>
      </c>
      <c r="F614" s="51">
        <v>0.0</v>
      </c>
      <c r="G614" s="51">
        <v>0.0</v>
      </c>
      <c r="H614" s="62">
        <f>IFERROR(__xludf.DUMMYFUNCTION("IMPORTRANGE(""https://docs.google.com/spreadsheets/d/1o8cYydH4ug95NXDZ98ZYHWgYOe_ZR-7xGZgOHj5r30s/edit?gid=340924130#gid=340924130"",""produtos!F2:F18"")"),242.0)</f>
        <v>242</v>
      </c>
      <c r="I614" s="53">
        <f t="shared" si="14"/>
        <v>0</v>
      </c>
      <c r="J614" s="12"/>
      <c r="K614" s="1"/>
      <c r="L614" s="1"/>
      <c r="M614" s="1"/>
      <c r="N614" s="1"/>
      <c r="O614" s="1"/>
      <c r="P614" s="1"/>
      <c r="Q614" s="1"/>
      <c r="R614" s="1"/>
      <c r="S614" s="1"/>
      <c r="T614" s="1"/>
      <c r="U614" s="1"/>
      <c r="V614" s="1"/>
      <c r="W614" s="1"/>
      <c r="X614" s="1"/>
      <c r="Y614" s="1"/>
      <c r="Z614" s="1"/>
    </row>
    <row r="615">
      <c r="A615" s="1"/>
      <c r="B615" s="1"/>
      <c r="C615" s="63" t="str">
        <f>IFERROR(__xludf.DUMMYFUNCTION("""COMPUTED_VALUE"""),"Cable Protect   CLO302")</f>
        <v>Cable Protect   CLO302</v>
      </c>
      <c r="D615" s="64" t="str">
        <f>IFERROR(__xludf.DUMMYFUNCTION("IMPORTRANGE(""https://docs.google.com/spreadsheets/d/1o8cYydH4ug95NXDZ98ZYHWgYOe_ZR-7xGZgOHj5r30s/edit?gid=340924130#gid=340924130"",""produtos!G2"")"),"ENGEBLU")</f>
        <v>ENGEBLU</v>
      </c>
      <c r="E615" s="56">
        <v>0.0</v>
      </c>
      <c r="F615" s="57">
        <v>0.0</v>
      </c>
      <c r="G615" s="57">
        <v>0.0</v>
      </c>
      <c r="H615" s="57">
        <f>IFERROR(__xludf.DUMMYFUNCTION("""COMPUTED_VALUE"""),308.0)</f>
        <v>308</v>
      </c>
      <c r="I615" s="59">
        <f t="shared" si="14"/>
        <v>0</v>
      </c>
      <c r="J615" s="12"/>
      <c r="K615" s="1"/>
      <c r="L615" s="1"/>
      <c r="M615" s="1"/>
      <c r="N615" s="1"/>
      <c r="O615" s="1"/>
      <c r="P615" s="1"/>
      <c r="Q615" s="1"/>
      <c r="R615" s="1"/>
      <c r="S615" s="1"/>
      <c r="T615" s="1"/>
      <c r="U615" s="1"/>
      <c r="V615" s="1"/>
      <c r="W615" s="1"/>
      <c r="X615" s="1"/>
      <c r="Y615" s="1"/>
      <c r="Z615" s="1"/>
    </row>
    <row r="616">
      <c r="A616" s="1"/>
      <c r="B616" s="1"/>
      <c r="C616" s="60" t="str">
        <f>IFERROR(__xludf.DUMMYFUNCTION("""COMPUTED_VALUE"""),"FP1000-ITX")</f>
        <v>FP1000-ITX</v>
      </c>
      <c r="D616" s="61" t="str">
        <f>IFERROR(__xludf.DUMMYFUNCTION("IMPORTRANGE(""https://docs.google.com/spreadsheets/d/1o8cYydH4ug95NXDZ98ZYHWgYOe_ZR-7xGZgOHj5r30s/edit?gid=340924130#gid=340924130"",""produtos!G2"")"),"ENGEBLU")</f>
        <v>ENGEBLU</v>
      </c>
      <c r="E616" s="50">
        <v>0.0</v>
      </c>
      <c r="F616" s="51">
        <v>0.0</v>
      </c>
      <c r="G616" s="51">
        <v>0.0</v>
      </c>
      <c r="H616" s="51">
        <f>IFERROR(__xludf.DUMMYFUNCTION("""COMPUTED_VALUE"""),3375.0)</f>
        <v>3375</v>
      </c>
      <c r="I616" s="53">
        <f t="shared" si="14"/>
        <v>0</v>
      </c>
      <c r="J616" s="12"/>
      <c r="K616" s="1"/>
      <c r="L616" s="1"/>
      <c r="M616" s="1"/>
      <c r="N616" s="1"/>
      <c r="O616" s="1"/>
      <c r="P616" s="1"/>
      <c r="Q616" s="1"/>
      <c r="R616" s="1"/>
      <c r="S616" s="1"/>
      <c r="T616" s="1"/>
      <c r="U616" s="1"/>
      <c r="V616" s="1"/>
      <c r="W616" s="1"/>
      <c r="X616" s="1"/>
      <c r="Y616" s="1"/>
      <c r="Z616" s="1"/>
    </row>
    <row r="617">
      <c r="A617" s="1"/>
      <c r="B617" s="1"/>
      <c r="C617" s="63" t="str">
        <f>IFERROR(__xludf.DUMMYFUNCTION("""COMPUTED_VALUE"""),"FP1900-ATX")</f>
        <v>FP1900-ATX</v>
      </c>
      <c r="D617" s="64" t="str">
        <f>IFERROR(__xludf.DUMMYFUNCTION("IMPORTRANGE(""https://docs.google.com/spreadsheets/d/1o8cYydH4ug95NXDZ98ZYHWgYOe_ZR-7xGZgOHj5r30s/edit?gid=340924130#gid=340924130"",""produtos!G2"")"),"ENGEBLU")</f>
        <v>ENGEBLU</v>
      </c>
      <c r="E617" s="56">
        <v>0.0</v>
      </c>
      <c r="F617" s="57">
        <v>0.0</v>
      </c>
      <c r="G617" s="57">
        <v>0.0</v>
      </c>
      <c r="H617" s="57">
        <f>IFERROR(__xludf.DUMMYFUNCTION("""COMPUTED_VALUE"""),2210.0)</f>
        <v>2210</v>
      </c>
      <c r="I617" s="59">
        <f t="shared" si="14"/>
        <v>0</v>
      </c>
      <c r="J617" s="12"/>
      <c r="K617" s="1"/>
      <c r="L617" s="1"/>
      <c r="M617" s="1"/>
      <c r="N617" s="1"/>
      <c r="O617" s="1"/>
      <c r="P617" s="1"/>
      <c r="Q617" s="1"/>
      <c r="R617" s="1"/>
      <c r="S617" s="1"/>
      <c r="T617" s="1"/>
      <c r="U617" s="1"/>
      <c r="V617" s="1"/>
      <c r="W617" s="1"/>
      <c r="X617" s="1"/>
      <c r="Y617" s="1"/>
      <c r="Z617" s="1"/>
    </row>
    <row r="618">
      <c r="A618" s="1"/>
      <c r="B618" s="1"/>
      <c r="C618" s="60" t="str">
        <f>IFERROR(__xludf.DUMMYFUNCTION("""COMPUTED_VALUE"""),"FP1900-CX")</f>
        <v>FP1900-CX</v>
      </c>
      <c r="D618" s="61" t="str">
        <f>IFERROR(__xludf.DUMMYFUNCTION("IMPORTRANGE(""https://docs.google.com/spreadsheets/d/1o8cYydH4ug95NXDZ98ZYHWgYOe_ZR-7xGZgOHj5r30s/edit?gid=340924130#gid=340924130"",""produtos!G2"")"),"ENGEBLU")</f>
        <v>ENGEBLU</v>
      </c>
      <c r="E618" s="50">
        <v>0.0</v>
      </c>
      <c r="F618" s="51">
        <v>0.0</v>
      </c>
      <c r="G618" s="51">
        <v>0.0</v>
      </c>
      <c r="H618" s="51">
        <f>IFERROR(__xludf.DUMMYFUNCTION("""COMPUTED_VALUE"""),1570.0)</f>
        <v>1570</v>
      </c>
      <c r="I618" s="53">
        <f t="shared" si="14"/>
        <v>0</v>
      </c>
      <c r="J618" s="12"/>
      <c r="K618" s="1"/>
      <c r="L618" s="1"/>
      <c r="M618" s="1"/>
      <c r="N618" s="1"/>
      <c r="O618" s="1"/>
      <c r="P618" s="1"/>
      <c r="Q618" s="1"/>
      <c r="R618" s="1"/>
      <c r="S618" s="1"/>
      <c r="T618" s="1"/>
      <c r="U618" s="1"/>
      <c r="V618" s="1"/>
      <c r="W618" s="1"/>
      <c r="X618" s="1"/>
      <c r="Y618" s="1"/>
      <c r="Z618" s="1"/>
    </row>
    <row r="619">
      <c r="A619" s="1"/>
      <c r="B619" s="1"/>
      <c r="C619" s="63" t="str">
        <f>IFERROR(__xludf.DUMMYFUNCTION("""COMPUTED_VALUE"""),"FP2000-ATX")</f>
        <v>FP2000-ATX</v>
      </c>
      <c r="D619" s="64" t="str">
        <f>IFERROR(__xludf.DUMMYFUNCTION("IMPORTRANGE(""https://docs.google.com/spreadsheets/d/1o8cYydH4ug95NXDZ98ZYHWgYOe_ZR-7xGZgOHj5r30s/edit?gid=340924130#gid=340924130"",""produtos!G2"")"),"ENGEBLU")</f>
        <v>ENGEBLU</v>
      </c>
      <c r="E619" s="56">
        <v>0.0</v>
      </c>
      <c r="F619" s="57">
        <v>0.0</v>
      </c>
      <c r="G619" s="57">
        <v>0.0</v>
      </c>
      <c r="H619" s="57">
        <f>IFERROR(__xludf.DUMMYFUNCTION("""COMPUTED_VALUE"""),2700.0)</f>
        <v>2700</v>
      </c>
      <c r="I619" s="59">
        <f t="shared" si="14"/>
        <v>0</v>
      </c>
      <c r="J619" s="12"/>
      <c r="K619" s="1"/>
      <c r="L619" s="1"/>
      <c r="M619" s="1"/>
      <c r="N619" s="1"/>
      <c r="O619" s="1"/>
      <c r="P619" s="1"/>
      <c r="Q619" s="1"/>
      <c r="R619" s="1"/>
      <c r="S619" s="1"/>
      <c r="T619" s="1"/>
      <c r="U619" s="1"/>
      <c r="V619" s="1"/>
      <c r="W619" s="1"/>
      <c r="X619" s="1"/>
      <c r="Y619" s="1"/>
      <c r="Z619" s="1"/>
    </row>
    <row r="620">
      <c r="A620" s="1"/>
      <c r="B620" s="1"/>
      <c r="C620" s="60" t="str">
        <f>IFERROR(__xludf.DUMMYFUNCTION("""COMPUTED_VALUE"""),"FP2200-DX")</f>
        <v>FP2200-DX</v>
      </c>
      <c r="D620" s="61" t="str">
        <f>IFERROR(__xludf.DUMMYFUNCTION("IMPORTRANGE(""https://docs.google.com/spreadsheets/d/1o8cYydH4ug95NXDZ98ZYHWgYOe_ZR-7xGZgOHj5r30s/edit?gid=340924130#gid=340924130"",""produtos!G2"")"),"ENGEBLU")</f>
        <v>ENGEBLU</v>
      </c>
      <c r="E620" s="50">
        <v>0.0</v>
      </c>
      <c r="F620" s="51">
        <v>0.0</v>
      </c>
      <c r="G620" s="51">
        <v>0.0</v>
      </c>
      <c r="H620" s="51">
        <f>IFERROR(__xludf.DUMMYFUNCTION("""COMPUTED_VALUE"""),1570.0)</f>
        <v>1570</v>
      </c>
      <c r="I620" s="53">
        <f t="shared" si="14"/>
        <v>0</v>
      </c>
      <c r="J620" s="12"/>
      <c r="K620" s="1"/>
      <c r="L620" s="1"/>
      <c r="M620" s="1"/>
      <c r="N620" s="1"/>
      <c r="O620" s="1"/>
      <c r="P620" s="1"/>
      <c r="Q620" s="1"/>
      <c r="R620" s="1"/>
      <c r="S620" s="1"/>
      <c r="T620" s="1"/>
      <c r="U620" s="1"/>
      <c r="V620" s="1"/>
      <c r="W620" s="1"/>
      <c r="X620" s="1"/>
      <c r="Y620" s="1"/>
      <c r="Z620" s="1"/>
    </row>
    <row r="621">
      <c r="A621" s="1"/>
      <c r="B621" s="1"/>
      <c r="C621" s="63" t="str">
        <f>IFERROR(__xludf.DUMMYFUNCTION("""COMPUTED_VALUE"""),"FP3300-ATX")</f>
        <v>FP3300-ATX</v>
      </c>
      <c r="D621" s="64" t="str">
        <f>IFERROR(__xludf.DUMMYFUNCTION("IMPORTRANGE(""https://docs.google.com/spreadsheets/d/1o8cYydH4ug95NXDZ98ZYHWgYOe_ZR-7xGZgOHj5r30s/edit?gid=340924130#gid=340924130"",""produtos!G2"")"),"ENGEBLU")</f>
        <v>ENGEBLU</v>
      </c>
      <c r="E621" s="56">
        <v>0.0</v>
      </c>
      <c r="F621" s="57">
        <v>0.0</v>
      </c>
      <c r="G621" s="57">
        <v>0.0</v>
      </c>
      <c r="H621" s="57">
        <f>IFERROR(__xludf.DUMMYFUNCTION("""COMPUTED_VALUE"""),2850.0)</f>
        <v>2850</v>
      </c>
      <c r="I621" s="59">
        <f t="shared" si="14"/>
        <v>0</v>
      </c>
      <c r="J621" s="12"/>
      <c r="K621" s="1"/>
      <c r="L621" s="1"/>
      <c r="M621" s="1"/>
      <c r="N621" s="1"/>
      <c r="O621" s="1"/>
      <c r="P621" s="1"/>
      <c r="Q621" s="1"/>
      <c r="R621" s="1"/>
      <c r="S621" s="1"/>
      <c r="T621" s="1"/>
      <c r="U621" s="1"/>
      <c r="V621" s="1"/>
      <c r="W621" s="1"/>
      <c r="X621" s="1"/>
      <c r="Y621" s="1"/>
      <c r="Z621" s="1"/>
    </row>
    <row r="622">
      <c r="A622" s="1"/>
      <c r="B622" s="1"/>
      <c r="C622" s="60" t="str">
        <f>IFERROR(__xludf.DUMMYFUNCTION("""COMPUTED_VALUE"""),"FPA3300")</f>
        <v>FPA3300</v>
      </c>
      <c r="D622" s="61" t="str">
        <f>IFERROR(__xludf.DUMMYFUNCTION("IMPORTRANGE(""https://docs.google.com/spreadsheets/d/1o8cYydH4ug95NXDZ98ZYHWgYOe_ZR-7xGZgOHj5r30s/edit?gid=340924130#gid=340924130"",""produtos!G2"")"),"ENGEBLU")</f>
        <v>ENGEBLU</v>
      </c>
      <c r="E622" s="50">
        <v>0.0</v>
      </c>
      <c r="F622" s="51">
        <v>0.0</v>
      </c>
      <c r="G622" s="51">
        <v>0.0</v>
      </c>
      <c r="H622" s="51">
        <f>IFERROR(__xludf.DUMMYFUNCTION("""COMPUTED_VALUE"""),5325.0)</f>
        <v>5325</v>
      </c>
      <c r="I622" s="53">
        <f t="shared" si="14"/>
        <v>0</v>
      </c>
      <c r="J622" s="12"/>
      <c r="K622" s="1"/>
      <c r="L622" s="1"/>
      <c r="M622" s="1"/>
      <c r="N622" s="1"/>
      <c r="O622" s="1"/>
      <c r="P622" s="1"/>
      <c r="Q622" s="1"/>
      <c r="R622" s="1"/>
      <c r="S622" s="1"/>
      <c r="T622" s="1"/>
      <c r="U622" s="1"/>
      <c r="V622" s="1"/>
      <c r="W622" s="1"/>
      <c r="X622" s="1"/>
      <c r="Y622" s="1"/>
      <c r="Z622" s="1"/>
    </row>
    <row r="623">
      <c r="A623" s="1"/>
      <c r="B623" s="1"/>
      <c r="C623" s="63" t="str">
        <f>IFERROR(__xludf.DUMMYFUNCTION("""COMPUTED_VALUE"""),"FPC1500
(nova versão do
C1000-SRX)")</f>
        <v>FPC1500
(nova versão do
C1000-SRX)</v>
      </c>
      <c r="D623" s="64" t="str">
        <f>IFERROR(__xludf.DUMMYFUNCTION("IMPORTRANGE(""https://docs.google.com/spreadsheets/d/1o8cYydH4ug95NXDZ98ZYHWgYOe_ZR-7xGZgOHj5r30s/edit?gid=340924130#gid=340924130"",""produtos!G2"")"),"ENGEBLU")</f>
        <v>ENGEBLU</v>
      </c>
      <c r="E623" s="56">
        <v>0.0</v>
      </c>
      <c r="F623" s="57">
        <v>0.0</v>
      </c>
      <c r="G623" s="57">
        <v>0.0</v>
      </c>
      <c r="H623" s="57">
        <f>IFERROR(__xludf.DUMMYFUNCTION("""COMPUTED_VALUE"""),985.0)</f>
        <v>985</v>
      </c>
      <c r="I623" s="59">
        <f t="shared" si="14"/>
        <v>0</v>
      </c>
      <c r="J623" s="12"/>
      <c r="K623" s="1"/>
      <c r="L623" s="1"/>
      <c r="M623" s="1"/>
      <c r="N623" s="1"/>
      <c r="O623" s="1"/>
      <c r="P623" s="1"/>
      <c r="Q623" s="1"/>
      <c r="R623" s="1"/>
      <c r="S623" s="1"/>
      <c r="T623" s="1"/>
      <c r="U623" s="1"/>
      <c r="V623" s="1"/>
      <c r="W623" s="1"/>
      <c r="X623" s="1"/>
      <c r="Y623" s="1"/>
      <c r="Z623" s="1"/>
    </row>
    <row r="624">
      <c r="A624" s="1"/>
      <c r="B624" s="1"/>
      <c r="C624" s="60" t="str">
        <f>IFERROR(__xludf.DUMMYFUNCTION("""COMPUTED_VALUE"""),"FPC1900")</f>
        <v>FPC1900</v>
      </c>
      <c r="D624" s="61" t="str">
        <f>IFERROR(__xludf.DUMMYFUNCTION("IMPORTRANGE(""https://docs.google.com/spreadsheets/d/1o8cYydH4ug95NXDZ98ZYHWgYOe_ZR-7xGZgOHj5r30s/edit?gid=340924130#gid=340924130"",""produtos!G2"")"),"ENGEBLU")</f>
        <v>ENGEBLU</v>
      </c>
      <c r="E624" s="50">
        <v>0.0</v>
      </c>
      <c r="F624" s="51">
        <v>0.0</v>
      </c>
      <c r="G624" s="51">
        <v>0.0</v>
      </c>
      <c r="H624" s="51">
        <f>IFERROR(__xludf.DUMMYFUNCTION("""COMPUTED_VALUE"""),1325.0)</f>
        <v>1325</v>
      </c>
      <c r="I624" s="53">
        <f t="shared" si="14"/>
        <v>0</v>
      </c>
      <c r="J624" s="12"/>
      <c r="K624" s="1"/>
      <c r="L624" s="1"/>
      <c r="M624" s="1"/>
      <c r="N624" s="1"/>
      <c r="O624" s="1"/>
      <c r="P624" s="1"/>
      <c r="Q624" s="1"/>
      <c r="R624" s="1"/>
      <c r="S624" s="1"/>
      <c r="T624" s="1"/>
      <c r="U624" s="1"/>
      <c r="V624" s="1"/>
      <c r="W624" s="1"/>
      <c r="X624" s="1"/>
      <c r="Y624" s="1"/>
      <c r="Z624" s="1"/>
    </row>
    <row r="625">
      <c r="A625" s="1"/>
      <c r="B625" s="1"/>
      <c r="C625" s="63" t="str">
        <f>IFERROR(__xludf.DUMMYFUNCTION("""COMPUTED_VALUE"""),"FPD1500
(nova versão do D1000-SRX)")</f>
        <v>FPD1500
(nova versão do D1000-SRX)</v>
      </c>
      <c r="D625" s="64" t="str">
        <f>IFERROR(__xludf.DUMMYFUNCTION("IMPORTRANGE(""https://docs.google.com/spreadsheets/d/1o8cYydH4ug95NXDZ98ZYHWgYOe_ZR-7xGZgOHj5r30s/edit?gid=340924130#gid=340924130"",""produtos!G2"")"),"ENGEBLU")</f>
        <v>ENGEBLU</v>
      </c>
      <c r="E625" s="56">
        <v>0.0</v>
      </c>
      <c r="F625" s="57">
        <v>0.0</v>
      </c>
      <c r="G625" s="57">
        <v>0.0</v>
      </c>
      <c r="H625" s="57">
        <f>IFERROR(__xludf.DUMMYFUNCTION("""COMPUTED_VALUE"""),985.0)</f>
        <v>985</v>
      </c>
      <c r="I625" s="59">
        <f t="shared" si="14"/>
        <v>0</v>
      </c>
      <c r="J625" s="12"/>
      <c r="K625" s="1"/>
      <c r="L625" s="1"/>
      <c r="M625" s="1"/>
      <c r="N625" s="1"/>
      <c r="O625" s="1"/>
      <c r="P625" s="1"/>
      <c r="Q625" s="1"/>
      <c r="R625" s="1"/>
      <c r="S625" s="1"/>
      <c r="T625" s="1"/>
      <c r="U625" s="1"/>
      <c r="V625" s="1"/>
      <c r="W625" s="1"/>
      <c r="X625" s="1"/>
      <c r="Y625" s="1"/>
      <c r="Z625" s="1"/>
    </row>
    <row r="626">
      <c r="A626" s="1"/>
      <c r="B626" s="1"/>
      <c r="C626" s="60" t="str">
        <f>IFERROR(__xludf.DUMMYFUNCTION("""COMPUTED_VALUE"""),"FPD2200")</f>
        <v>FPD2200</v>
      </c>
      <c r="D626" s="61" t="str">
        <f>IFERROR(__xludf.DUMMYFUNCTION("IMPORTRANGE(""https://docs.google.com/spreadsheets/d/1o8cYydH4ug95NXDZ98ZYHWgYOe_ZR-7xGZgOHj5r30s/edit?gid=340924130#gid=340924130"",""produtos!G2"")"),"ENGEBLU")</f>
        <v>ENGEBLU</v>
      </c>
      <c r="E626" s="50">
        <v>0.0</v>
      </c>
      <c r="F626" s="51">
        <v>0.0</v>
      </c>
      <c r="G626" s="51">
        <v>0.0</v>
      </c>
      <c r="H626" s="51">
        <f>IFERROR(__xludf.DUMMYFUNCTION("""COMPUTED_VALUE"""),1325.0)</f>
        <v>1325</v>
      </c>
      <c r="I626" s="53">
        <f t="shared" si="14"/>
        <v>0</v>
      </c>
      <c r="J626" s="12"/>
      <c r="K626" s="1"/>
      <c r="L626" s="1"/>
      <c r="M626" s="1"/>
      <c r="N626" s="1"/>
      <c r="O626" s="1"/>
      <c r="P626" s="1"/>
      <c r="Q626" s="1"/>
      <c r="R626" s="1"/>
      <c r="S626" s="1"/>
      <c r="T626" s="1"/>
      <c r="U626" s="1"/>
      <c r="V626" s="1"/>
      <c r="W626" s="1"/>
      <c r="X626" s="1"/>
      <c r="Y626" s="1"/>
      <c r="Z626" s="1"/>
    </row>
    <row r="627">
      <c r="A627" s="1"/>
      <c r="B627" s="1"/>
      <c r="C627" s="63" t="str">
        <f>IFERROR(__xludf.DUMMYFUNCTION("""COMPUTED_VALUE"""),"FPI3300")</f>
        <v>FPI3300</v>
      </c>
      <c r="D627" s="64" t="str">
        <f>IFERROR(__xludf.DUMMYFUNCTION("IMPORTRANGE(""https://docs.google.com/spreadsheets/d/1o8cYydH4ug95NXDZ98ZYHWgYOe_ZR-7xGZgOHj5r30s/edit?gid=340924130#gid=340924130"",""produtos!G2"")"),"ENGEBLU")</f>
        <v>ENGEBLU</v>
      </c>
      <c r="E627" s="56">
        <v>0.0</v>
      </c>
      <c r="F627" s="57">
        <v>0.0</v>
      </c>
      <c r="G627" s="57">
        <v>0.0</v>
      </c>
      <c r="H627" s="57">
        <f>IFERROR(__xludf.DUMMYFUNCTION("""COMPUTED_VALUE"""),6755.0)</f>
        <v>6755</v>
      </c>
      <c r="I627" s="59">
        <f t="shared" si="14"/>
        <v>0</v>
      </c>
      <c r="J627" s="12"/>
      <c r="K627" s="1"/>
      <c r="L627" s="1"/>
      <c r="M627" s="1"/>
      <c r="N627" s="1"/>
      <c r="O627" s="1"/>
      <c r="P627" s="1"/>
      <c r="Q627" s="1"/>
      <c r="R627" s="1"/>
      <c r="S627" s="1"/>
      <c r="T627" s="1"/>
      <c r="U627" s="1"/>
      <c r="V627" s="1"/>
      <c r="W627" s="1"/>
      <c r="X627" s="1"/>
      <c r="Y627" s="1"/>
      <c r="Z627" s="1"/>
    </row>
    <row r="628">
      <c r="A628" s="1"/>
      <c r="B628" s="1"/>
      <c r="C628" s="60" t="str">
        <f>IFERROR(__xludf.DUMMYFUNCTION("""COMPUTED_VALUE"""),"FPT1000
(nova versão do
ST1000-ATX)")</f>
        <v>FPT1000
(nova versão do
ST1000-ATX)</v>
      </c>
      <c r="D628" s="61" t="str">
        <f>IFERROR(__xludf.DUMMYFUNCTION("IMPORTRANGE(""https://docs.google.com/spreadsheets/d/1o8cYydH4ug95NXDZ98ZYHWgYOe_ZR-7xGZgOHj5r30s/edit?gid=340924130#gid=340924130"",""produtos!G2"")"),"ENGEBLU")</f>
        <v>ENGEBLU</v>
      </c>
      <c r="E628" s="50">
        <v>0.0</v>
      </c>
      <c r="F628" s="51">
        <v>0.0</v>
      </c>
      <c r="G628" s="51">
        <v>0.0</v>
      </c>
      <c r="H628" s="51">
        <f>IFERROR(__xludf.DUMMYFUNCTION("""COMPUTED_VALUE"""),1635.0)</f>
        <v>1635</v>
      </c>
      <c r="I628" s="53">
        <f t="shared" si="14"/>
        <v>0</v>
      </c>
      <c r="J628" s="12"/>
      <c r="K628" s="1"/>
      <c r="L628" s="1"/>
      <c r="M628" s="1"/>
      <c r="N628" s="1"/>
      <c r="O628" s="1"/>
      <c r="P628" s="1"/>
      <c r="Q628" s="1"/>
      <c r="R628" s="1"/>
      <c r="S628" s="1"/>
      <c r="T628" s="1"/>
      <c r="U628" s="1"/>
      <c r="V628" s="1"/>
      <c r="W628" s="1"/>
      <c r="X628" s="1"/>
      <c r="Y628" s="1"/>
      <c r="Z628" s="1"/>
    </row>
    <row r="629">
      <c r="A629" s="1"/>
      <c r="B629" s="1"/>
      <c r="C629" s="63" t="str">
        <f>IFERROR(__xludf.DUMMYFUNCTION("""COMPUTED_VALUE"""),"FPT2000")</f>
        <v>FPT2000</v>
      </c>
      <c r="D629" s="64" t="str">
        <f>IFERROR(__xludf.DUMMYFUNCTION("IMPORTRANGE(""https://docs.google.com/spreadsheets/d/1o8cYydH4ug95NXDZ98ZYHWgYOe_ZR-7xGZgOHj5r30s/edit?gid=340924130#gid=340924130"",""produtos!G2"")"),"ENGEBLU")</f>
        <v>ENGEBLU</v>
      </c>
      <c r="E629" s="56">
        <v>0.0</v>
      </c>
      <c r="F629" s="57">
        <v>0.0</v>
      </c>
      <c r="G629" s="57">
        <v>0.0</v>
      </c>
      <c r="H629" s="57">
        <f>IFERROR(__xludf.DUMMYFUNCTION("""COMPUTED_VALUE"""),2285.0)</f>
        <v>2285</v>
      </c>
      <c r="I629" s="59">
        <f t="shared" si="14"/>
        <v>0</v>
      </c>
      <c r="J629" s="12"/>
      <c r="K629" s="1"/>
      <c r="L629" s="1"/>
      <c r="M629" s="1"/>
      <c r="N629" s="1"/>
      <c r="O629" s="1"/>
      <c r="P629" s="1"/>
      <c r="Q629" s="1"/>
      <c r="R629" s="1"/>
      <c r="S629" s="1"/>
      <c r="T629" s="1"/>
      <c r="U629" s="1"/>
      <c r="V629" s="1"/>
      <c r="W629" s="1"/>
      <c r="X629" s="1"/>
      <c r="Y629" s="1"/>
      <c r="Z629" s="1"/>
    </row>
    <row r="630">
      <c r="A630" s="1"/>
      <c r="B630" s="1"/>
      <c r="C630" s="60" t="str">
        <f>IFERROR(__xludf.DUMMYFUNCTION("""COMPUTED_VALUE"""),"Suporte para Rack")</f>
        <v>Suporte para Rack</v>
      </c>
      <c r="D630" s="61" t="str">
        <f>IFERROR(__xludf.DUMMYFUNCTION("IMPORTRANGE(""https://docs.google.com/spreadsheets/d/1o8cYydH4ug95NXDZ98ZYHWgYOe_ZR-7xGZgOHj5r30s/edit?gid=340924130#gid=340924130"",""produtos!G2"")"),"ENGEBLU")</f>
        <v>ENGEBLU</v>
      </c>
      <c r="E630" s="50">
        <v>0.0</v>
      </c>
      <c r="F630" s="51">
        <v>0.0</v>
      </c>
      <c r="G630" s="51">
        <v>0.0</v>
      </c>
      <c r="H630" s="51">
        <f>IFERROR(__xludf.DUMMYFUNCTION("""COMPUTED_VALUE"""),90.0)</f>
        <v>90</v>
      </c>
      <c r="I630" s="53">
        <f t="shared" si="14"/>
        <v>0</v>
      </c>
      <c r="J630" s="12"/>
      <c r="K630" s="1"/>
      <c r="L630" s="1"/>
      <c r="M630" s="1"/>
      <c r="N630" s="1"/>
      <c r="O630" s="1"/>
      <c r="P630" s="1"/>
      <c r="Q630" s="1"/>
      <c r="R630" s="1"/>
      <c r="S630" s="1"/>
      <c r="T630" s="1"/>
      <c r="U630" s="1"/>
      <c r="V630" s="1"/>
      <c r="W630" s="1"/>
      <c r="X630" s="1"/>
      <c r="Y630" s="1"/>
      <c r="Z630" s="1"/>
    </row>
    <row r="631">
      <c r="A631" s="1"/>
      <c r="B631" s="1"/>
      <c r="C631" s="54" t="str">
        <f>IFERROR(__xludf.DUMMYFUNCTION("IMPORTRANGE(""https://docs.google.com/spreadsheets/d/1TwUGFi9jFjaG2_R3hvZ2Fv8zr_4NVG2o3H2twpavN1k/edit?gid=92752270#gid=92752270"",""LUXURY AUDIO!B12:B30"")"),"CIPLUS6S")</f>
        <v>CIPLUS6S</v>
      </c>
      <c r="D631" s="64" t="s">
        <v>80</v>
      </c>
      <c r="E631" s="56">
        <v>0.0</v>
      </c>
      <c r="F631" s="66">
        <f>IFERROR(__xludf.DUMMYFUNCTION("IMPORTRANGE(""https://docs.google.com/spreadsheets/d/1TwUGFi9jFjaG2_R3hvZ2Fv8zr_4NVG2o3H2twpavN1k/edit?gid=92752270#gid=92752270"",""LUXURY AUDIO!u12:u30"")"),228.7435)</f>
        <v>228.7435</v>
      </c>
      <c r="G631" s="58">
        <f t="shared" ref="G631:G649" si="17">IF(F631&gt;0,F631*E631+F631,"")</f>
        <v>228.7435</v>
      </c>
      <c r="H631" s="66">
        <f>IFERROR(__xludf.DUMMYFUNCTION("IMPORTRANGE(""https://docs.google.com/spreadsheets/d/1TwUGFi9jFjaG2_R3hvZ2Fv8zr_4NVG2o3H2twpavN1k/edit?gid=92752270#gid=92752270"",""LUXURY AUDIO!v12:v30"")"),379.0)</f>
        <v>379</v>
      </c>
      <c r="I631" s="59">
        <f t="shared" si="14"/>
        <v>0.6568776818</v>
      </c>
      <c r="J631" s="12"/>
      <c r="K631" s="1"/>
      <c r="L631" s="1"/>
      <c r="M631" s="1"/>
      <c r="N631" s="1"/>
      <c r="O631" s="1"/>
      <c r="P631" s="1"/>
      <c r="Q631" s="1"/>
      <c r="R631" s="1"/>
      <c r="S631" s="1"/>
      <c r="T631" s="1"/>
      <c r="U631" s="1"/>
      <c r="V631" s="1"/>
      <c r="W631" s="1"/>
      <c r="X631" s="1"/>
      <c r="Y631" s="1"/>
      <c r="Z631" s="1"/>
    </row>
    <row r="632">
      <c r="A632" s="1"/>
      <c r="B632" s="1"/>
      <c r="C632" s="48" t="str">
        <f>IFERROR(__xludf.DUMMYFUNCTION("""COMPUTED_VALUE"""),"CIPLUS6SA")</f>
        <v>CIPLUS6SA</v>
      </c>
      <c r="D632" s="61" t="s">
        <v>80</v>
      </c>
      <c r="E632" s="50">
        <v>0.0</v>
      </c>
      <c r="F632" s="52">
        <f>IFERROR(__xludf.DUMMYFUNCTION("""COMPUTED_VALUE"""),240.805)</f>
        <v>240.805</v>
      </c>
      <c r="G632" s="52">
        <f t="shared" si="17"/>
        <v>240.805</v>
      </c>
      <c r="H632" s="52">
        <f>IFERROR(__xludf.DUMMYFUNCTION("""COMPUTED_VALUE"""),399.0)</f>
        <v>399</v>
      </c>
      <c r="I632" s="53">
        <f t="shared" si="14"/>
        <v>0.6569423392</v>
      </c>
      <c r="J632" s="12"/>
      <c r="K632" s="1"/>
      <c r="L632" s="1"/>
      <c r="M632" s="1"/>
      <c r="N632" s="1"/>
      <c r="O632" s="1"/>
      <c r="P632" s="1"/>
      <c r="Q632" s="1"/>
      <c r="R632" s="1"/>
      <c r="S632" s="1"/>
      <c r="T632" s="1"/>
      <c r="U632" s="1"/>
      <c r="V632" s="1"/>
      <c r="W632" s="1"/>
      <c r="X632" s="1"/>
      <c r="Y632" s="1"/>
      <c r="Z632" s="1"/>
    </row>
    <row r="633">
      <c r="A633" s="1"/>
      <c r="B633" s="1"/>
      <c r="C633" s="54" t="str">
        <f>IFERROR(__xludf.DUMMYFUNCTION("""COMPUTED_VALUE"""),"CIPLUS6R")</f>
        <v>CIPLUS6R</v>
      </c>
      <c r="D633" s="64" t="s">
        <v>80</v>
      </c>
      <c r="E633" s="56">
        <v>0.0</v>
      </c>
      <c r="F633" s="58">
        <f>IFERROR(__xludf.DUMMYFUNCTION("""COMPUTED_VALUE"""),240.805)</f>
        <v>240.805</v>
      </c>
      <c r="G633" s="58">
        <f t="shared" si="17"/>
        <v>240.805</v>
      </c>
      <c r="H633" s="58">
        <f>IFERROR(__xludf.DUMMYFUNCTION("""COMPUTED_VALUE"""),399.0)</f>
        <v>399</v>
      </c>
      <c r="I633" s="59">
        <f t="shared" si="14"/>
        <v>0.6569423392</v>
      </c>
      <c r="J633" s="12"/>
      <c r="K633" s="1"/>
      <c r="L633" s="1"/>
      <c r="M633" s="1"/>
      <c r="N633" s="1"/>
      <c r="O633" s="1"/>
      <c r="P633" s="1"/>
      <c r="Q633" s="1"/>
      <c r="R633" s="1"/>
      <c r="S633" s="1"/>
      <c r="T633" s="1"/>
      <c r="U633" s="1"/>
      <c r="V633" s="1"/>
      <c r="W633" s="1"/>
      <c r="X633" s="1"/>
      <c r="Y633" s="1"/>
      <c r="Z633" s="1"/>
    </row>
    <row r="634">
      <c r="A634" s="1"/>
      <c r="B634" s="1"/>
      <c r="C634" s="48" t="str">
        <f>IFERROR(__xludf.DUMMYFUNCTION("""COMPUTED_VALUE"""),"CIPLUS8S")</f>
        <v>CIPLUS8S</v>
      </c>
      <c r="D634" s="61" t="s">
        <v>80</v>
      </c>
      <c r="E634" s="50">
        <v>0.0</v>
      </c>
      <c r="F634" s="52">
        <f>IFERROR(__xludf.DUMMYFUNCTION("""COMPUTED_VALUE"""),349.435)</f>
        <v>349.435</v>
      </c>
      <c r="G634" s="52">
        <f t="shared" si="17"/>
        <v>349.435</v>
      </c>
      <c r="H634" s="52">
        <f>IFERROR(__xludf.DUMMYFUNCTION("""COMPUTED_VALUE"""),579.0)</f>
        <v>579</v>
      </c>
      <c r="I634" s="53">
        <f t="shared" si="14"/>
        <v>0.656960522</v>
      </c>
      <c r="J634" s="12"/>
      <c r="K634" s="1"/>
      <c r="L634" s="1"/>
      <c r="M634" s="1"/>
      <c r="N634" s="1"/>
      <c r="O634" s="1"/>
      <c r="P634" s="1"/>
      <c r="Q634" s="1"/>
      <c r="R634" s="1"/>
      <c r="S634" s="1"/>
      <c r="T634" s="1"/>
      <c r="U634" s="1"/>
      <c r="V634" s="1"/>
      <c r="W634" s="1"/>
      <c r="X634" s="1"/>
      <c r="Y634" s="1"/>
      <c r="Z634" s="1"/>
    </row>
    <row r="635">
      <c r="A635" s="1"/>
      <c r="B635" s="1"/>
      <c r="C635" s="54" t="str">
        <f>IFERROR(__xludf.DUMMYFUNCTION("""COMPUTED_VALUE"""),"CIPLUS8SA")</f>
        <v>CIPLUS8SA</v>
      </c>
      <c r="D635" s="64" t="s">
        <v>80</v>
      </c>
      <c r="E635" s="56">
        <v>0.0</v>
      </c>
      <c r="F635" s="58">
        <f>IFERROR(__xludf.DUMMYFUNCTION("""COMPUTED_VALUE"""),343.437825)</f>
        <v>343.437825</v>
      </c>
      <c r="G635" s="58">
        <f t="shared" si="17"/>
        <v>343.437825</v>
      </c>
      <c r="H635" s="58">
        <f>IFERROR(__xludf.DUMMYFUNCTION("""COMPUTED_VALUE"""),599.0)</f>
        <v>599</v>
      </c>
      <c r="I635" s="59">
        <f t="shared" si="14"/>
        <v>0.7441293777</v>
      </c>
      <c r="J635" s="12"/>
      <c r="K635" s="1"/>
      <c r="L635" s="1"/>
      <c r="M635" s="1"/>
      <c r="N635" s="1"/>
      <c r="O635" s="1"/>
      <c r="P635" s="1"/>
      <c r="Q635" s="1"/>
      <c r="R635" s="1"/>
      <c r="S635" s="1"/>
      <c r="T635" s="1"/>
      <c r="U635" s="1"/>
      <c r="V635" s="1"/>
      <c r="W635" s="1"/>
      <c r="X635" s="1"/>
      <c r="Y635" s="1"/>
      <c r="Z635" s="1"/>
    </row>
    <row r="636">
      <c r="A636" s="1"/>
      <c r="B636" s="1"/>
      <c r="C636" s="48" t="str">
        <f>IFERROR(__xludf.DUMMYFUNCTION("""COMPUTED_VALUE"""),"CIPLUS8R")</f>
        <v>CIPLUS8R</v>
      </c>
      <c r="D636" s="61" t="s">
        <v>80</v>
      </c>
      <c r="E636" s="50">
        <v>0.0</v>
      </c>
      <c r="F636" s="52">
        <f>IFERROR(__xludf.DUMMYFUNCTION("""COMPUTED_VALUE"""),361.51349999999996)</f>
        <v>361.5135</v>
      </c>
      <c r="G636" s="52">
        <f t="shared" si="17"/>
        <v>361.5135</v>
      </c>
      <c r="H636" s="52">
        <f>IFERROR(__xludf.DUMMYFUNCTION("""COMPUTED_VALUE"""),599.0)</f>
        <v>599</v>
      </c>
      <c r="I636" s="53">
        <f t="shared" si="14"/>
        <v>0.6569229088</v>
      </c>
      <c r="J636" s="12"/>
      <c r="K636" s="1"/>
      <c r="L636" s="1"/>
      <c r="M636" s="1"/>
      <c r="N636" s="1"/>
      <c r="O636" s="1"/>
      <c r="P636" s="1"/>
      <c r="Q636" s="1"/>
      <c r="R636" s="1"/>
      <c r="S636" s="1"/>
      <c r="T636" s="1"/>
      <c r="U636" s="1"/>
      <c r="V636" s="1"/>
      <c r="W636" s="1"/>
      <c r="X636" s="1"/>
      <c r="Y636" s="1"/>
      <c r="Z636" s="1"/>
    </row>
    <row r="637">
      <c r="A637" s="1"/>
      <c r="B637" s="1"/>
      <c r="C637" s="54" t="str">
        <f>IFERROR(__xludf.DUMMYFUNCTION("""COMPUTED_VALUE"""),"STAGE-260CSBR")</f>
        <v>STAGE-260CSBR</v>
      </c>
      <c r="D637" s="64" t="s">
        <v>80</v>
      </c>
      <c r="E637" s="56">
        <v>0.0</v>
      </c>
      <c r="F637" s="58">
        <f>IFERROR(__xludf.DUMMYFUNCTION("""COMPUTED_VALUE"""),349.503)</f>
        <v>349.503</v>
      </c>
      <c r="G637" s="58">
        <f t="shared" si="17"/>
        <v>349.503</v>
      </c>
      <c r="H637" s="58">
        <f>IFERROR(__xludf.DUMMYFUNCTION("""COMPUTED_VALUE"""),699.0)</f>
        <v>699</v>
      </c>
      <c r="I637" s="59">
        <f t="shared" si="14"/>
        <v>0.9999828328</v>
      </c>
      <c r="J637" s="12"/>
      <c r="K637" s="1"/>
      <c r="L637" s="1"/>
      <c r="M637" s="1"/>
      <c r="N637" s="1"/>
      <c r="O637" s="1"/>
      <c r="P637" s="1"/>
      <c r="Q637" s="1"/>
      <c r="R637" s="1"/>
      <c r="S637" s="1"/>
      <c r="T637" s="1"/>
      <c r="U637" s="1"/>
      <c r="V637" s="1"/>
      <c r="W637" s="1"/>
      <c r="X637" s="1"/>
      <c r="Y637" s="1"/>
      <c r="Z637" s="1"/>
    </row>
    <row r="638">
      <c r="A638" s="1"/>
      <c r="B638" s="1"/>
      <c r="C638" s="48" t="str">
        <f>IFERROR(__xludf.DUMMYFUNCTION("""COMPUTED_VALUE"""),"STAGE-260CSABR")</f>
        <v>STAGE-260CSABR</v>
      </c>
      <c r="D638" s="61" t="s">
        <v>80</v>
      </c>
      <c r="E638" s="50">
        <v>0.0</v>
      </c>
      <c r="F638" s="52">
        <f>IFERROR(__xludf.DUMMYFUNCTION("""COMPUTED_VALUE"""),374.5865)</f>
        <v>374.5865</v>
      </c>
      <c r="G638" s="52">
        <f t="shared" si="17"/>
        <v>374.5865</v>
      </c>
      <c r="H638" s="52">
        <f>IFERROR(__xludf.DUMMYFUNCTION("""COMPUTED_VALUE"""),749.0)</f>
        <v>749</v>
      </c>
      <c r="I638" s="53">
        <f t="shared" si="14"/>
        <v>0.9995381574</v>
      </c>
      <c r="J638" s="12"/>
      <c r="K638" s="1"/>
      <c r="L638" s="1"/>
      <c r="M638" s="1"/>
      <c r="N638" s="1"/>
      <c r="O638" s="1"/>
      <c r="P638" s="1"/>
      <c r="Q638" s="1"/>
      <c r="R638" s="1"/>
      <c r="S638" s="1"/>
      <c r="T638" s="1"/>
      <c r="U638" s="1"/>
      <c r="V638" s="1"/>
      <c r="W638" s="1"/>
      <c r="X638" s="1"/>
      <c r="Y638" s="1"/>
      <c r="Z638" s="1"/>
    </row>
    <row r="639">
      <c r="A639" s="1"/>
      <c r="B639" s="1"/>
      <c r="C639" s="54" t="str">
        <f>IFERROR(__xludf.DUMMYFUNCTION("""COMPUTED_VALUE"""),"STAGE-260WBR")</f>
        <v>STAGE-260WBR</v>
      </c>
      <c r="D639" s="64" t="s">
        <v>80</v>
      </c>
      <c r="E639" s="56">
        <v>0.0</v>
      </c>
      <c r="F639" s="58">
        <f>IFERROR(__xludf.DUMMYFUNCTION("""COMPUTED_VALUE"""),399.568)</f>
        <v>399.568</v>
      </c>
      <c r="G639" s="58">
        <f t="shared" si="17"/>
        <v>399.568</v>
      </c>
      <c r="H639" s="58">
        <f>IFERROR(__xludf.DUMMYFUNCTION("""COMPUTED_VALUE"""),799.0)</f>
        <v>799</v>
      </c>
      <c r="I639" s="59">
        <f t="shared" si="14"/>
        <v>0.9996596324</v>
      </c>
      <c r="J639" s="12"/>
      <c r="K639" s="1"/>
      <c r="L639" s="1"/>
      <c r="M639" s="1"/>
      <c r="N639" s="1"/>
      <c r="O639" s="1"/>
      <c r="P639" s="1"/>
      <c r="Q639" s="1"/>
      <c r="R639" s="1"/>
      <c r="S639" s="1"/>
      <c r="T639" s="1"/>
      <c r="U639" s="1"/>
      <c r="V639" s="1"/>
      <c r="W639" s="1"/>
      <c r="X639" s="1"/>
      <c r="Y639" s="1"/>
      <c r="Z639" s="1"/>
    </row>
    <row r="640">
      <c r="A640" s="1"/>
      <c r="B640" s="1"/>
      <c r="C640" s="48" t="str">
        <f>IFERROR(__xludf.DUMMYFUNCTION("""COMPUTED_VALUE"""),"STAGE-280CSBR")</f>
        <v>STAGE-280CSBR</v>
      </c>
      <c r="D640" s="61" t="s">
        <v>80</v>
      </c>
      <c r="E640" s="50">
        <v>0.0</v>
      </c>
      <c r="F640" s="52">
        <f>IFERROR(__xludf.DUMMYFUNCTION("""COMPUTED_VALUE"""),449.514)</f>
        <v>449.514</v>
      </c>
      <c r="G640" s="52">
        <f t="shared" si="17"/>
        <v>449.514</v>
      </c>
      <c r="H640" s="52">
        <f>IFERROR(__xludf.DUMMYFUNCTION("""COMPUTED_VALUE"""),899.0)</f>
        <v>899</v>
      </c>
      <c r="I640" s="53">
        <f t="shared" si="14"/>
        <v>0.9999377105</v>
      </c>
      <c r="J640" s="12"/>
      <c r="K640" s="1"/>
      <c r="L640" s="1"/>
      <c r="M640" s="1"/>
      <c r="N640" s="1"/>
      <c r="O640" s="1"/>
      <c r="P640" s="1"/>
      <c r="Q640" s="1"/>
      <c r="R640" s="1"/>
      <c r="S640" s="1"/>
      <c r="T640" s="1"/>
      <c r="U640" s="1"/>
      <c r="V640" s="1"/>
      <c r="W640" s="1"/>
      <c r="X640" s="1"/>
      <c r="Y640" s="1"/>
      <c r="Z640" s="1"/>
    </row>
    <row r="641">
      <c r="A641" s="1"/>
      <c r="B641" s="1"/>
      <c r="C641" s="54" t="str">
        <f>IFERROR(__xludf.DUMMYFUNCTION("""COMPUTED_VALUE"""),"STAGE-280CSABR")</f>
        <v>STAGE-280CSABR</v>
      </c>
      <c r="D641" s="64" t="s">
        <v>80</v>
      </c>
      <c r="E641" s="56">
        <v>0.0</v>
      </c>
      <c r="F641" s="58">
        <f>IFERROR(__xludf.DUMMYFUNCTION("""COMPUTED_VALUE"""),474.4955)</f>
        <v>474.4955</v>
      </c>
      <c r="G641" s="58">
        <f t="shared" si="17"/>
        <v>474.4955</v>
      </c>
      <c r="H641" s="58">
        <f>IFERROR(__xludf.DUMMYFUNCTION("""COMPUTED_VALUE"""),949.0)</f>
        <v>949</v>
      </c>
      <c r="I641" s="59">
        <f t="shared" si="14"/>
        <v>1.000018968</v>
      </c>
      <c r="J641" s="12"/>
      <c r="K641" s="1"/>
      <c r="L641" s="1"/>
      <c r="M641" s="1"/>
      <c r="N641" s="1"/>
      <c r="O641" s="1"/>
      <c r="P641" s="1"/>
      <c r="Q641" s="1"/>
      <c r="R641" s="1"/>
      <c r="S641" s="1"/>
      <c r="T641" s="1"/>
      <c r="U641" s="1"/>
      <c r="V641" s="1"/>
      <c r="W641" s="1"/>
      <c r="X641" s="1"/>
      <c r="Y641" s="1"/>
      <c r="Z641" s="1"/>
    </row>
    <row r="642">
      <c r="A642" s="1"/>
      <c r="B642" s="1"/>
      <c r="C642" s="48" t="str">
        <f>IFERROR(__xludf.DUMMYFUNCTION("""COMPUTED_VALUE"""),"STAGE-280WBR")</f>
        <v>STAGE-280WBR</v>
      </c>
      <c r="D642" s="61" t="s">
        <v>80</v>
      </c>
      <c r="E642" s="50">
        <v>0.0</v>
      </c>
      <c r="F642" s="52">
        <f>IFERROR(__xludf.DUMMYFUNCTION("""COMPUTED_VALUE"""),499.50249999999994)</f>
        <v>499.5025</v>
      </c>
      <c r="G642" s="52">
        <f t="shared" si="17"/>
        <v>499.5025</v>
      </c>
      <c r="H642" s="52">
        <f>IFERROR(__xludf.DUMMYFUNCTION("""COMPUTED_VALUE"""),999.0)</f>
        <v>999</v>
      </c>
      <c r="I642" s="53">
        <f t="shared" si="14"/>
        <v>0.99998999</v>
      </c>
      <c r="J642" s="12"/>
      <c r="K642" s="1"/>
      <c r="L642" s="1"/>
      <c r="M642" s="1"/>
      <c r="N642" s="1"/>
      <c r="O642" s="1"/>
      <c r="P642" s="1"/>
      <c r="Q642" s="1"/>
      <c r="R642" s="1"/>
      <c r="S642" s="1"/>
      <c r="T642" s="1"/>
      <c r="U642" s="1"/>
      <c r="V642" s="1"/>
      <c r="W642" s="1"/>
      <c r="X642" s="1"/>
      <c r="Y642" s="1"/>
      <c r="Z642" s="1"/>
    </row>
    <row r="643">
      <c r="A643" s="1"/>
      <c r="B643" s="1"/>
      <c r="C643" s="54" t="str">
        <f>IFERROR(__xludf.DUMMYFUNCTION("""COMPUTED_VALUE"""),"A125C")</f>
        <v>A125C</v>
      </c>
      <c r="D643" s="64" t="s">
        <v>80</v>
      </c>
      <c r="E643" s="56">
        <v>0.0</v>
      </c>
      <c r="F643" s="58">
        <f>IFERROR(__xludf.DUMMYFUNCTION("""COMPUTED_VALUE"""),698.2380249999999)</f>
        <v>698.238025</v>
      </c>
      <c r="G643" s="58">
        <f t="shared" si="17"/>
        <v>698.238025</v>
      </c>
      <c r="H643" s="58">
        <f>IFERROR(__xludf.DUMMYFUNCTION("""COMPUTED_VALUE"""),1399.0)</f>
        <v>1399</v>
      </c>
      <c r="I643" s="59">
        <f t="shared" si="14"/>
        <v>1.003614742</v>
      </c>
      <c r="J643" s="12"/>
      <c r="K643" s="1"/>
      <c r="L643" s="1"/>
      <c r="M643" s="1"/>
      <c r="N643" s="1"/>
      <c r="O643" s="1"/>
      <c r="P643" s="1"/>
      <c r="Q643" s="1"/>
      <c r="R643" s="1"/>
      <c r="S643" s="1"/>
      <c r="T643" s="1"/>
      <c r="U643" s="1"/>
      <c r="V643" s="1"/>
      <c r="W643" s="1"/>
      <c r="X643" s="1"/>
      <c r="Y643" s="1"/>
      <c r="Z643" s="1"/>
    </row>
    <row r="644">
      <c r="A644" s="1"/>
      <c r="B644" s="1"/>
      <c r="C644" s="48" t="str">
        <f>IFERROR(__xludf.DUMMYFUNCTION("""COMPUTED_VALUE"""),"CI8P")</f>
        <v>CI8P</v>
      </c>
      <c r="D644" s="61" t="s">
        <v>80</v>
      </c>
      <c r="E644" s="50">
        <v>0.0</v>
      </c>
      <c r="F644" s="52">
        <f>IFERROR(__xludf.DUMMYFUNCTION("""COMPUTED_VALUE"""),849.3790749999998)</f>
        <v>849.379075</v>
      </c>
      <c r="G644" s="52">
        <f t="shared" si="17"/>
        <v>849.379075</v>
      </c>
      <c r="H644" s="52">
        <f>IFERROR(__xludf.DUMMYFUNCTION("""COMPUTED_VALUE"""),1699.0)</f>
        <v>1699</v>
      </c>
      <c r="I644" s="53">
        <f t="shared" si="14"/>
        <v>1.000284737</v>
      </c>
      <c r="J644" s="12"/>
      <c r="K644" s="1"/>
      <c r="L644" s="1"/>
      <c r="M644" s="1"/>
      <c r="N644" s="1"/>
      <c r="O644" s="1"/>
      <c r="P644" s="1"/>
      <c r="Q644" s="1"/>
      <c r="R644" s="1"/>
      <c r="S644" s="1"/>
      <c r="T644" s="1"/>
      <c r="U644" s="1"/>
      <c r="V644" s="1"/>
      <c r="W644" s="1"/>
      <c r="X644" s="1"/>
      <c r="Y644" s="1"/>
      <c r="Z644" s="1"/>
    </row>
    <row r="645">
      <c r="A645" s="1"/>
      <c r="B645" s="1"/>
      <c r="C645" s="54" t="str">
        <f>IFERROR(__xludf.DUMMYFUNCTION("""COMPUTED_VALUE"""),"A130")</f>
        <v>A130</v>
      </c>
      <c r="D645" s="64" t="s">
        <v>80</v>
      </c>
      <c r="E645" s="56">
        <v>0.0</v>
      </c>
      <c r="F645" s="58">
        <f>IFERROR(__xludf.DUMMYFUNCTION("""COMPUTED_VALUE"""),897.8826249999997)</f>
        <v>897.882625</v>
      </c>
      <c r="G645" s="58">
        <f t="shared" si="17"/>
        <v>897.882625</v>
      </c>
      <c r="H645" s="58">
        <f>IFERROR(__xludf.DUMMYFUNCTION("""COMPUTED_VALUE"""),1799.0)</f>
        <v>1799</v>
      </c>
      <c r="I645" s="59">
        <f t="shared" si="14"/>
        <v>1.003602642</v>
      </c>
      <c r="J645" s="12"/>
      <c r="K645" s="1"/>
      <c r="L645" s="1"/>
      <c r="M645" s="1"/>
      <c r="N645" s="1"/>
      <c r="O645" s="1"/>
      <c r="P645" s="1"/>
      <c r="Q645" s="1"/>
      <c r="R645" s="1"/>
      <c r="S645" s="1"/>
      <c r="T645" s="1"/>
      <c r="U645" s="1"/>
      <c r="V645" s="1"/>
      <c r="W645" s="1"/>
      <c r="X645" s="1"/>
      <c r="Y645" s="1"/>
      <c r="Z645" s="1"/>
    </row>
    <row r="646">
      <c r="A646" s="1"/>
      <c r="B646" s="1"/>
      <c r="C646" s="48" t="str">
        <f>IFERROR(__xludf.DUMMYFUNCTION("""COMPUTED_VALUE"""),"A180")</f>
        <v>A180</v>
      </c>
      <c r="D646" s="61" t="s">
        <v>80</v>
      </c>
      <c r="E646" s="50">
        <v>0.0</v>
      </c>
      <c r="F646" s="52">
        <f>IFERROR(__xludf.DUMMYFUNCTION("""COMPUTED_VALUE"""),1097.5369999999998)</f>
        <v>1097.537</v>
      </c>
      <c r="G646" s="52">
        <f t="shared" si="17"/>
        <v>1097.537</v>
      </c>
      <c r="H646" s="52">
        <f>IFERROR(__xludf.DUMMYFUNCTION("""COMPUTED_VALUE"""),2199.0)</f>
        <v>2199</v>
      </c>
      <c r="I646" s="53">
        <f t="shared" si="14"/>
        <v>1.0035771</v>
      </c>
      <c r="J646" s="12"/>
      <c r="K646" s="1"/>
      <c r="L646" s="1"/>
      <c r="M646" s="1"/>
      <c r="N646" s="1"/>
      <c r="O646" s="1"/>
      <c r="P646" s="1"/>
      <c r="Q646" s="1"/>
      <c r="R646" s="1"/>
      <c r="S646" s="1"/>
      <c r="T646" s="1"/>
      <c r="U646" s="1"/>
      <c r="V646" s="1"/>
      <c r="W646" s="1"/>
      <c r="X646" s="1"/>
      <c r="Y646" s="1"/>
      <c r="Z646" s="1"/>
    </row>
    <row r="647">
      <c r="A647" s="1"/>
      <c r="B647" s="1"/>
      <c r="C647" s="54" t="str">
        <f>IFERROR(__xludf.DUMMYFUNCTION("""COMPUTED_VALUE"""),"A100P")</f>
        <v>A100P</v>
      </c>
      <c r="D647" s="64" t="s">
        <v>80</v>
      </c>
      <c r="E647" s="56">
        <v>0.0</v>
      </c>
      <c r="F647" s="58">
        <f>IFERROR(__xludf.DUMMYFUNCTION("""COMPUTED_VALUE"""),1247.241125)</f>
        <v>1247.241125</v>
      </c>
      <c r="G647" s="58">
        <f t="shared" si="17"/>
        <v>1247.241125</v>
      </c>
      <c r="H647" s="58">
        <f>IFERROR(__xludf.DUMMYFUNCTION("""COMPUTED_VALUE"""),2499.0)</f>
        <v>2499</v>
      </c>
      <c r="I647" s="59">
        <f t="shared" si="14"/>
        <v>1.003622195</v>
      </c>
      <c r="J647" s="12"/>
      <c r="K647" s="1"/>
      <c r="L647" s="1"/>
      <c r="M647" s="1"/>
      <c r="N647" s="1"/>
      <c r="O647" s="1"/>
      <c r="P647" s="1"/>
      <c r="Q647" s="1"/>
      <c r="R647" s="1"/>
      <c r="S647" s="1"/>
      <c r="T647" s="1"/>
      <c r="U647" s="1"/>
      <c r="V647" s="1"/>
      <c r="W647" s="1"/>
      <c r="X647" s="1"/>
      <c r="Y647" s="1"/>
      <c r="Z647" s="1"/>
    </row>
    <row r="648">
      <c r="A648" s="1"/>
      <c r="B648" s="1"/>
      <c r="C648" s="48" t="str">
        <f>IFERROR(__xludf.DUMMYFUNCTION("""COMPUTED_VALUE"""),"A120P")</f>
        <v>A120P</v>
      </c>
      <c r="D648" s="61" t="s">
        <v>80</v>
      </c>
      <c r="E648" s="50">
        <v>0.0</v>
      </c>
      <c r="F648" s="52">
        <f>IFERROR(__xludf.DUMMYFUNCTION("""COMPUTED_VALUE"""),1749.4903999999997)</f>
        <v>1749.4904</v>
      </c>
      <c r="G648" s="52">
        <f t="shared" si="17"/>
        <v>1749.4904</v>
      </c>
      <c r="H648" s="52">
        <f>IFERROR(__xludf.DUMMYFUNCTION("""COMPUTED_VALUE"""),3498.9999999999995)</f>
        <v>3499</v>
      </c>
      <c r="I648" s="53">
        <f t="shared" si="14"/>
        <v>1.000010975</v>
      </c>
      <c r="J648" s="12"/>
      <c r="K648" s="1"/>
      <c r="L648" s="1"/>
      <c r="M648" s="1"/>
      <c r="N648" s="1"/>
      <c r="O648" s="1"/>
      <c r="P648" s="1"/>
      <c r="Q648" s="1"/>
      <c r="R648" s="1"/>
      <c r="S648" s="1"/>
      <c r="T648" s="1"/>
      <c r="U648" s="1"/>
      <c r="V648" s="1"/>
      <c r="W648" s="1"/>
      <c r="X648" s="1"/>
      <c r="Y648" s="1"/>
      <c r="Z648" s="1"/>
    </row>
    <row r="649">
      <c r="A649" s="1"/>
      <c r="B649" s="1"/>
      <c r="C649" s="54" t="str">
        <f>IFERROR(__xludf.DUMMYFUNCTION("""COMPUTED_VALUE"""),"STAGE-XD6")</f>
        <v>STAGE-XD6</v>
      </c>
      <c r="D649" s="64" t="s">
        <v>80</v>
      </c>
      <c r="E649" s="56">
        <v>0.0</v>
      </c>
      <c r="F649" s="58">
        <f>IFERROR(__xludf.DUMMYFUNCTION("""COMPUTED_VALUE"""),1349.5804875)</f>
        <v>1349.580488</v>
      </c>
      <c r="G649" s="58">
        <f t="shared" si="17"/>
        <v>1349.580488</v>
      </c>
      <c r="H649" s="58">
        <f>IFERROR(__xludf.DUMMYFUNCTION("""COMPUTED_VALUE"""),2999.0)</f>
        <v>2999</v>
      </c>
      <c r="I649" s="59">
        <f t="shared" si="14"/>
        <v>1.222172021</v>
      </c>
      <c r="J649" s="12"/>
      <c r="K649" s="1"/>
      <c r="L649" s="1"/>
      <c r="M649" s="1"/>
      <c r="N649" s="1"/>
      <c r="O649" s="1"/>
      <c r="P649" s="1"/>
      <c r="Q649" s="1"/>
      <c r="R649" s="1"/>
      <c r="S649" s="1"/>
      <c r="T649" s="1"/>
      <c r="U649" s="1"/>
      <c r="V649" s="1"/>
      <c r="W649" s="1"/>
      <c r="X649" s="1"/>
      <c r="Y649" s="1"/>
      <c r="Z649" s="1"/>
    </row>
    <row r="650">
      <c r="A650" s="1"/>
      <c r="B650" s="1"/>
      <c r="C650" s="60" t="str">
        <f>IFERROR(__xludf.DUMMYFUNCTION("IMPORTRANGE(""https://docs.google.com/spreadsheets/d/18erHWAtQlDhZdPtiht7R8dPfUf_VnToKCYfgC0_TtUU/edit?gid=0#gid=0"",""WAVE!a2:a106"")"),"Atlantic Ocean SOUNDBAR")</f>
        <v>Atlantic Ocean SOUNDBAR</v>
      </c>
      <c r="D650" s="61" t="str">
        <f>IFERROR(__xludf.DUMMYFUNCTION("IMPORTRANGE(""https://docs.google.com/spreadsheets/d/18erHWAtQlDhZdPtiht7R8dPfUf_VnToKCYfgC0_TtUU/edit?gid=0#gid=0"",""WAVE!c2:c106"")"),"WAVE")</f>
        <v>WAVE</v>
      </c>
      <c r="E650" s="50">
        <v>0.0</v>
      </c>
      <c r="F650" s="51">
        <v>0.0</v>
      </c>
      <c r="G650" s="52">
        <f t="shared" ref="G650:G769" si="18">F650</f>
        <v>0</v>
      </c>
      <c r="H650" s="62">
        <f>IFERROR(__xludf.DUMMYFUNCTION("IMPORTRANGE(""https://docs.google.com/spreadsheets/d/18erHWAtQlDhZdPtiht7R8dPfUf_VnToKCYfgC0_TtUU/edit?gid=0#gid=0"",""WAVE!b2:b106"")"),5774.0)</f>
        <v>5774</v>
      </c>
      <c r="I650" s="53">
        <f t="shared" si="14"/>
        <v>0</v>
      </c>
      <c r="J650" s="12"/>
      <c r="K650" s="1"/>
      <c r="L650" s="1"/>
      <c r="M650" s="1"/>
      <c r="N650" s="1"/>
      <c r="O650" s="1"/>
      <c r="P650" s="1"/>
      <c r="Q650" s="1"/>
      <c r="R650" s="1"/>
      <c r="S650" s="1"/>
      <c r="T650" s="1"/>
      <c r="U650" s="1"/>
      <c r="V650" s="1"/>
      <c r="W650" s="1"/>
      <c r="X650" s="1"/>
      <c r="Y650" s="1"/>
      <c r="Z650" s="1"/>
    </row>
    <row r="651">
      <c r="A651" s="1"/>
      <c r="B651" s="1"/>
      <c r="C651" s="63" t="str">
        <f>IFERROR(__xludf.DUMMYFUNCTION("""COMPUTED_VALUE"""),"Kit de Jardim 1 SOM")</f>
        <v>Kit de Jardim 1 SOM</v>
      </c>
      <c r="D651" s="64" t="str">
        <f>IFERROR(__xludf.DUMMYFUNCTION("""COMPUTED_VALUE"""),"WAVE")</f>
        <v>WAVE</v>
      </c>
      <c r="E651" s="56">
        <v>0.0</v>
      </c>
      <c r="F651" s="57">
        <v>0.0</v>
      </c>
      <c r="G651" s="58">
        <f t="shared" si="18"/>
        <v>0</v>
      </c>
      <c r="H651" s="58">
        <f>IFERROR(__xludf.DUMMYFUNCTION("""COMPUTED_VALUE"""),13243.0)</f>
        <v>13243</v>
      </c>
      <c r="I651" s="59">
        <f t="shared" si="14"/>
        <v>0</v>
      </c>
      <c r="J651" s="12"/>
      <c r="K651" s="1"/>
      <c r="L651" s="1"/>
      <c r="M651" s="1"/>
      <c r="N651" s="1"/>
      <c r="O651" s="1"/>
      <c r="P651" s="1"/>
      <c r="Q651" s="1"/>
      <c r="R651" s="1"/>
      <c r="S651" s="1"/>
      <c r="T651" s="1"/>
      <c r="U651" s="1"/>
      <c r="V651" s="1"/>
      <c r="W651" s="1"/>
      <c r="X651" s="1"/>
      <c r="Y651" s="1"/>
      <c r="Z651" s="1"/>
    </row>
    <row r="652">
      <c r="A652" s="1"/>
      <c r="B652" s="1"/>
      <c r="C652" s="60" t="str">
        <f>IFERROR(__xludf.DUMMYFUNCTION("""COMPUTED_VALUE"""),"Kit de Jardim 2 SOM")</f>
        <v>Kit de Jardim 2 SOM</v>
      </c>
      <c r="D652" s="61" t="str">
        <f>IFERROR(__xludf.DUMMYFUNCTION("""COMPUTED_VALUE"""),"WAVE")</f>
        <v>WAVE</v>
      </c>
      <c r="E652" s="50">
        <v>0.0</v>
      </c>
      <c r="F652" s="51">
        <v>0.0</v>
      </c>
      <c r="G652" s="52">
        <f t="shared" si="18"/>
        <v>0</v>
      </c>
      <c r="H652" s="52">
        <f>IFERROR(__xludf.DUMMYFUNCTION("""COMPUTED_VALUE"""),16141.0)</f>
        <v>16141</v>
      </c>
      <c r="I652" s="53">
        <f t="shared" si="14"/>
        <v>0</v>
      </c>
      <c r="J652" s="12"/>
      <c r="K652" s="1"/>
      <c r="L652" s="1"/>
      <c r="M652" s="1"/>
      <c r="N652" s="1"/>
      <c r="O652" s="1"/>
      <c r="P652" s="1"/>
      <c r="Q652" s="1"/>
      <c r="R652" s="1"/>
      <c r="S652" s="1"/>
      <c r="T652" s="1"/>
      <c r="U652" s="1"/>
      <c r="V652" s="1"/>
      <c r="W652" s="1"/>
      <c r="X652" s="1"/>
      <c r="Y652" s="1"/>
      <c r="Z652" s="1"/>
    </row>
    <row r="653">
      <c r="A653" s="1"/>
      <c r="B653" s="1"/>
      <c r="C653" s="63" t="str">
        <f>IFERROR(__xludf.DUMMYFUNCTION("""COMPUTED_VALUE"""),"Kit de Jardim 3 SOM")</f>
        <v>Kit de Jardim 3 SOM</v>
      </c>
      <c r="D653" s="64" t="str">
        <f>IFERROR(__xludf.DUMMYFUNCTION("""COMPUTED_VALUE"""),"WAVE")</f>
        <v>WAVE</v>
      </c>
      <c r="E653" s="56">
        <v>0.0</v>
      </c>
      <c r="F653" s="57">
        <v>0.0</v>
      </c>
      <c r="G653" s="58">
        <f t="shared" si="18"/>
        <v>0</v>
      </c>
      <c r="H653" s="58">
        <f>IFERROR(__xludf.DUMMYFUNCTION("""COMPUTED_VALUE"""),17484.0)</f>
        <v>17484</v>
      </c>
      <c r="I653" s="59">
        <f t="shared" si="14"/>
        <v>0</v>
      </c>
      <c r="J653" s="12"/>
      <c r="K653" s="1"/>
      <c r="L653" s="1"/>
      <c r="M653" s="1"/>
      <c r="N653" s="1"/>
      <c r="O653" s="1"/>
      <c r="P653" s="1"/>
      <c r="Q653" s="1"/>
      <c r="R653" s="1"/>
      <c r="S653" s="1"/>
      <c r="T653" s="1"/>
      <c r="U653" s="1"/>
      <c r="V653" s="1"/>
      <c r="W653" s="1"/>
      <c r="X653" s="1"/>
      <c r="Y653" s="1"/>
      <c r="Z653" s="1"/>
    </row>
    <row r="654">
      <c r="A654" s="1"/>
      <c r="B654" s="1"/>
      <c r="C654" s="60" t="str">
        <f>IFERROR(__xludf.DUMMYFUNCTION("""COMPUTED_VALUE"""),"Kit de Jardim 4 SOM")</f>
        <v>Kit de Jardim 4 SOM</v>
      </c>
      <c r="D654" s="61" t="str">
        <f>IFERROR(__xludf.DUMMYFUNCTION("""COMPUTED_VALUE"""),"WAVE")</f>
        <v>WAVE</v>
      </c>
      <c r="E654" s="50">
        <v>0.0</v>
      </c>
      <c r="F654" s="51">
        <v>0.0</v>
      </c>
      <c r="G654" s="52">
        <f t="shared" si="18"/>
        <v>0</v>
      </c>
      <c r="H654" s="52">
        <f>IFERROR(__xludf.DUMMYFUNCTION("""COMPUTED_VALUE"""),20276.0)</f>
        <v>20276</v>
      </c>
      <c r="I654" s="53">
        <f t="shared" si="14"/>
        <v>0</v>
      </c>
      <c r="J654" s="12"/>
      <c r="K654" s="1"/>
      <c r="L654" s="1"/>
      <c r="M654" s="1"/>
      <c r="N654" s="1"/>
      <c r="O654" s="1"/>
      <c r="P654" s="1"/>
      <c r="Q654" s="1"/>
      <c r="R654" s="1"/>
      <c r="S654" s="1"/>
      <c r="T654" s="1"/>
      <c r="U654" s="1"/>
      <c r="V654" s="1"/>
      <c r="W654" s="1"/>
      <c r="X654" s="1"/>
      <c r="Y654" s="1"/>
      <c r="Z654" s="1"/>
    </row>
    <row r="655">
      <c r="A655" s="1"/>
      <c r="B655" s="1"/>
      <c r="C655" s="63" t="str">
        <f>IFERROR(__xludf.DUMMYFUNCTION("""COMPUTED_VALUE"""),"KWS1 KEY PAD COM WIFI PARA STREAMIN DE MÚSICA")</f>
        <v>KWS1 KEY PAD COM WIFI PARA STREAMIN DE MÚSICA</v>
      </c>
      <c r="D655" s="64" t="str">
        <f>IFERROR(__xludf.DUMMYFUNCTION("""COMPUTED_VALUE"""),"WAVE")</f>
        <v>WAVE</v>
      </c>
      <c r="E655" s="56">
        <v>0.0</v>
      </c>
      <c r="F655" s="57">
        <v>0.0</v>
      </c>
      <c r="G655" s="58">
        <f t="shared" si="18"/>
        <v>0</v>
      </c>
      <c r="H655" s="58">
        <f>IFERROR(__xludf.DUMMYFUNCTION("""COMPUTED_VALUE"""),2245.0)</f>
        <v>2245</v>
      </c>
      <c r="I655" s="59">
        <f t="shared" si="14"/>
        <v>0</v>
      </c>
      <c r="J655" s="12"/>
      <c r="K655" s="1"/>
      <c r="L655" s="1"/>
      <c r="M655" s="1"/>
      <c r="N655" s="1"/>
      <c r="O655" s="1"/>
      <c r="P655" s="1"/>
      <c r="Q655" s="1"/>
      <c r="R655" s="1"/>
      <c r="S655" s="1"/>
      <c r="T655" s="1"/>
      <c r="U655" s="1"/>
      <c r="V655" s="1"/>
      <c r="W655" s="1"/>
      <c r="X655" s="1"/>
      <c r="Y655" s="1"/>
      <c r="Z655" s="1"/>
    </row>
    <row r="656">
      <c r="A656" s="1"/>
      <c r="B656" s="1"/>
      <c r="C656" s="60" t="str">
        <f>IFERROR(__xludf.DUMMYFUNCTION("""COMPUTED_VALUE"""),"Pacific Ocean SOUNDBAR")</f>
        <v>Pacific Ocean SOUNDBAR</v>
      </c>
      <c r="D656" s="61" t="str">
        <f>IFERROR(__xludf.DUMMYFUNCTION("""COMPUTED_VALUE"""),"WAVE")</f>
        <v>WAVE</v>
      </c>
      <c r="E656" s="50">
        <v>0.0</v>
      </c>
      <c r="F656" s="51">
        <v>0.0</v>
      </c>
      <c r="G656" s="52">
        <f t="shared" si="18"/>
        <v>0</v>
      </c>
      <c r="H656" s="52">
        <f>IFERROR(__xludf.DUMMYFUNCTION("""COMPUTED_VALUE"""),3464.0)</f>
        <v>3464</v>
      </c>
      <c r="I656" s="53">
        <f t="shared" si="14"/>
        <v>0</v>
      </c>
      <c r="J656" s="12"/>
      <c r="K656" s="1"/>
      <c r="L656" s="1"/>
      <c r="M656" s="1"/>
      <c r="N656" s="1"/>
      <c r="O656" s="1"/>
      <c r="P656" s="1"/>
      <c r="Q656" s="1"/>
      <c r="R656" s="1"/>
      <c r="S656" s="1"/>
      <c r="T656" s="1"/>
      <c r="U656" s="1"/>
      <c r="V656" s="1"/>
      <c r="W656" s="1"/>
      <c r="X656" s="1"/>
      <c r="Y656" s="1"/>
      <c r="Z656" s="1"/>
    </row>
    <row r="657">
      <c r="A657" s="1"/>
      <c r="B657" s="1"/>
      <c r="C657" s="63" t="str">
        <f>IFERROR(__xludf.DUMMYFUNCTION("""COMPUTED_VALUE"""),"TELA DE ACABAMENTO CIRCULAR WIN")</f>
        <v>TELA DE ACABAMENTO CIRCULAR WIN</v>
      </c>
      <c r="D657" s="64" t="str">
        <f>IFERROR(__xludf.DUMMYFUNCTION("""COMPUTED_VALUE"""),"WAVE")</f>
        <v>WAVE</v>
      </c>
      <c r="E657" s="56">
        <v>0.0</v>
      </c>
      <c r="F657" s="57">
        <v>0.0</v>
      </c>
      <c r="G657" s="58">
        <f t="shared" si="18"/>
        <v>0</v>
      </c>
      <c r="H657" s="58">
        <f>IFERROR(__xludf.DUMMYFUNCTION("""COMPUTED_VALUE"""),95.0)</f>
        <v>95</v>
      </c>
      <c r="I657" s="59">
        <f t="shared" si="14"/>
        <v>0</v>
      </c>
      <c r="J657" s="12"/>
      <c r="K657" s="1"/>
      <c r="L657" s="1"/>
      <c r="M657" s="1"/>
      <c r="N657" s="1"/>
      <c r="O657" s="1"/>
      <c r="P657" s="1"/>
      <c r="Q657" s="1"/>
      <c r="R657" s="1"/>
      <c r="S657" s="1"/>
      <c r="T657" s="1"/>
      <c r="U657" s="1"/>
      <c r="V657" s="1"/>
      <c r="W657" s="1"/>
      <c r="X657" s="1"/>
      <c r="Y657" s="1"/>
      <c r="Z657" s="1"/>
    </row>
    <row r="658">
      <c r="A658" s="1"/>
      <c r="B658" s="1"/>
      <c r="C658" s="60" t="str">
        <f>IFERROR(__xludf.DUMMYFUNCTION("""COMPUTED_VALUE"""),"TELA DE ACABAMENTO CIRCULAR WSR")</f>
        <v>TELA DE ACABAMENTO CIRCULAR WSR</v>
      </c>
      <c r="D658" s="61" t="str">
        <f>IFERROR(__xludf.DUMMYFUNCTION("""COMPUTED_VALUE"""),"WAVE")</f>
        <v>WAVE</v>
      </c>
      <c r="E658" s="50">
        <v>0.0</v>
      </c>
      <c r="F658" s="51">
        <v>0.0</v>
      </c>
      <c r="G658" s="52">
        <f t="shared" si="18"/>
        <v>0</v>
      </c>
      <c r="H658" s="52">
        <f>IFERROR(__xludf.DUMMYFUNCTION("""COMPUTED_VALUE"""),79.0)</f>
        <v>79</v>
      </c>
      <c r="I658" s="53">
        <f t="shared" si="14"/>
        <v>0</v>
      </c>
      <c r="J658" s="12"/>
      <c r="K658" s="1"/>
      <c r="L658" s="1"/>
      <c r="M658" s="1"/>
      <c r="N658" s="1"/>
      <c r="O658" s="1"/>
      <c r="P658" s="1"/>
      <c r="Q658" s="1"/>
      <c r="R658" s="1"/>
      <c r="S658" s="1"/>
      <c r="T658" s="1"/>
      <c r="U658" s="1"/>
      <c r="V658" s="1"/>
      <c r="W658" s="1"/>
      <c r="X658" s="1"/>
      <c r="Y658" s="1"/>
      <c r="Z658" s="1"/>
    </row>
    <row r="659">
      <c r="A659" s="1"/>
      <c r="B659" s="1"/>
      <c r="C659" s="63" t="str">
        <f>IFERROR(__xludf.DUMMYFUNCTION("""COMPUTED_VALUE"""),"TELA DE ACABAMENTO QUADRADA WIN")</f>
        <v>TELA DE ACABAMENTO QUADRADA WIN</v>
      </c>
      <c r="D659" s="64" t="str">
        <f>IFERROR(__xludf.DUMMYFUNCTION("""COMPUTED_VALUE"""),"WAVE")</f>
        <v>WAVE</v>
      </c>
      <c r="E659" s="56">
        <v>0.0</v>
      </c>
      <c r="F659" s="57">
        <v>0.0</v>
      </c>
      <c r="G659" s="58">
        <f t="shared" si="18"/>
        <v>0</v>
      </c>
      <c r="H659" s="58">
        <f>IFERROR(__xludf.DUMMYFUNCTION("""COMPUTED_VALUE"""),95.0)</f>
        <v>95</v>
      </c>
      <c r="I659" s="59">
        <f t="shared" si="14"/>
        <v>0</v>
      </c>
      <c r="J659" s="12"/>
      <c r="K659" s="1"/>
      <c r="L659" s="1"/>
      <c r="M659" s="1"/>
      <c r="N659" s="1"/>
      <c r="O659" s="1"/>
      <c r="P659" s="1"/>
      <c r="Q659" s="1"/>
      <c r="R659" s="1"/>
      <c r="S659" s="1"/>
      <c r="T659" s="1"/>
      <c r="U659" s="1"/>
      <c r="V659" s="1"/>
      <c r="W659" s="1"/>
      <c r="X659" s="1"/>
      <c r="Y659" s="1"/>
      <c r="Z659" s="1"/>
    </row>
    <row r="660">
      <c r="A660" s="1"/>
      <c r="B660" s="1"/>
      <c r="C660" s="60" t="str">
        <f>IFERROR(__xludf.DUMMYFUNCTION("""COMPUTED_VALUE"""),"TELA DE ACABAMENTO QUADRADA WSR")</f>
        <v>TELA DE ACABAMENTO QUADRADA WSR</v>
      </c>
      <c r="D660" s="61" t="str">
        <f>IFERROR(__xludf.DUMMYFUNCTION("""COMPUTED_VALUE"""),"WAVE")</f>
        <v>WAVE</v>
      </c>
      <c r="E660" s="50">
        <v>0.0</v>
      </c>
      <c r="F660" s="51">
        <v>0.0</v>
      </c>
      <c r="G660" s="52">
        <f t="shared" si="18"/>
        <v>0</v>
      </c>
      <c r="H660" s="52">
        <f>IFERROR(__xludf.DUMMYFUNCTION("""COMPUTED_VALUE"""),79.0)</f>
        <v>79</v>
      </c>
      <c r="I660" s="53">
        <f t="shared" si="14"/>
        <v>0</v>
      </c>
      <c r="J660" s="12"/>
      <c r="K660" s="1"/>
      <c r="L660" s="1"/>
      <c r="M660" s="1"/>
      <c r="N660" s="1"/>
      <c r="O660" s="1"/>
      <c r="P660" s="1"/>
      <c r="Q660" s="1"/>
      <c r="R660" s="1"/>
      <c r="S660" s="1"/>
      <c r="T660" s="1"/>
      <c r="U660" s="1"/>
      <c r="V660" s="1"/>
      <c r="W660" s="1"/>
      <c r="X660" s="1"/>
      <c r="Y660" s="1"/>
      <c r="Z660" s="1"/>
    </row>
    <row r="661">
      <c r="A661" s="1"/>
      <c r="B661" s="1"/>
      <c r="C661" s="63" t="str">
        <f>IFERROR(__xludf.DUMMYFUNCTION("""COMPUTED_VALUE"""),"TELA DE ACABAMENTO QUADRADA/CIRCULAR WPR2006")</f>
        <v>TELA DE ACABAMENTO QUADRADA/CIRCULAR WPR2006</v>
      </c>
      <c r="D661" s="64" t="str">
        <f>IFERROR(__xludf.DUMMYFUNCTION("""COMPUTED_VALUE"""),"WAVE")</f>
        <v>WAVE</v>
      </c>
      <c r="E661" s="56">
        <v>0.0</v>
      </c>
      <c r="F661" s="57">
        <v>0.0</v>
      </c>
      <c r="G661" s="58">
        <f t="shared" si="18"/>
        <v>0</v>
      </c>
      <c r="H661" s="58">
        <f>IFERROR(__xludf.DUMMYFUNCTION("""COMPUTED_VALUE"""),95.0)</f>
        <v>95</v>
      </c>
      <c r="I661" s="59">
        <f t="shared" si="14"/>
        <v>0</v>
      </c>
      <c r="J661" s="12"/>
      <c r="K661" s="1"/>
      <c r="L661" s="1"/>
      <c r="M661" s="1"/>
      <c r="N661" s="1"/>
      <c r="O661" s="1"/>
      <c r="P661" s="1"/>
      <c r="Q661" s="1"/>
      <c r="R661" s="1"/>
      <c r="S661" s="1"/>
      <c r="T661" s="1"/>
      <c r="U661" s="1"/>
      <c r="V661" s="1"/>
      <c r="W661" s="1"/>
      <c r="X661" s="1"/>
      <c r="Y661" s="1"/>
      <c r="Z661" s="1"/>
    </row>
    <row r="662">
      <c r="A662" s="1"/>
      <c r="B662" s="1"/>
      <c r="C662" s="60" t="str">
        <f>IFERROR(__xludf.DUMMYFUNCTION("""COMPUTED_VALUE"""),"TELA DE ACABAMENTO QUADRADA/CIRCULAR WPR2008")</f>
        <v>TELA DE ACABAMENTO QUADRADA/CIRCULAR WPR2008</v>
      </c>
      <c r="D662" s="61" t="str">
        <f>IFERROR(__xludf.DUMMYFUNCTION("""COMPUTED_VALUE"""),"WAVE")</f>
        <v>WAVE</v>
      </c>
      <c r="E662" s="50">
        <v>0.0</v>
      </c>
      <c r="F662" s="51">
        <v>0.0</v>
      </c>
      <c r="G662" s="52">
        <f t="shared" si="18"/>
        <v>0</v>
      </c>
      <c r="H662" s="52">
        <f>IFERROR(__xludf.DUMMYFUNCTION("""COMPUTED_VALUE"""),110.0)</f>
        <v>110</v>
      </c>
      <c r="I662" s="53">
        <f t="shared" si="14"/>
        <v>0</v>
      </c>
      <c r="J662" s="12"/>
      <c r="K662" s="1"/>
      <c r="L662" s="1"/>
      <c r="M662" s="1"/>
      <c r="N662" s="1"/>
      <c r="O662" s="1"/>
      <c r="P662" s="1"/>
      <c r="Q662" s="1"/>
      <c r="R662" s="1"/>
      <c r="S662" s="1"/>
      <c r="T662" s="1"/>
      <c r="U662" s="1"/>
      <c r="V662" s="1"/>
      <c r="W662" s="1"/>
      <c r="X662" s="1"/>
      <c r="Y662" s="1"/>
      <c r="Z662" s="1"/>
    </row>
    <row r="663">
      <c r="A663" s="1"/>
      <c r="B663" s="1"/>
      <c r="C663" s="63" t="str">
        <f>IFERROR(__xludf.DUMMYFUNCTION("""COMPUTED_VALUE"""),"WAMP100W AMPLIFICADOR")</f>
        <v>WAMP100W AMPLIFICADOR</v>
      </c>
      <c r="D663" s="64" t="str">
        <f>IFERROR(__xludf.DUMMYFUNCTION("""COMPUTED_VALUE"""),"WAVE")</f>
        <v>WAVE</v>
      </c>
      <c r="E663" s="56">
        <v>0.0</v>
      </c>
      <c r="F663" s="57">
        <v>0.0</v>
      </c>
      <c r="G663" s="58">
        <f t="shared" si="18"/>
        <v>0</v>
      </c>
      <c r="H663" s="58">
        <f>IFERROR(__xludf.DUMMYFUNCTION("""COMPUTED_VALUE"""),3875.0)</f>
        <v>3875</v>
      </c>
      <c r="I663" s="59">
        <f t="shared" si="14"/>
        <v>0</v>
      </c>
      <c r="J663" s="12"/>
      <c r="K663" s="1"/>
      <c r="L663" s="1"/>
      <c r="M663" s="1"/>
      <c r="N663" s="1"/>
      <c r="O663" s="1"/>
      <c r="P663" s="1"/>
      <c r="Q663" s="1"/>
      <c r="R663" s="1"/>
      <c r="S663" s="1"/>
      <c r="T663" s="1"/>
      <c r="U663" s="1"/>
      <c r="V663" s="1"/>
      <c r="W663" s="1"/>
      <c r="X663" s="1"/>
      <c r="Y663" s="1"/>
      <c r="Z663" s="1"/>
    </row>
    <row r="664">
      <c r="A664" s="1"/>
      <c r="B664" s="1"/>
      <c r="C664" s="60" t="str">
        <f>IFERROR(__xludf.DUMMYFUNCTION("""COMPUTED_VALUE"""),"WAMP200 AMPLIFICADOR")</f>
        <v>WAMP200 AMPLIFICADOR</v>
      </c>
      <c r="D664" s="61" t="str">
        <f>IFERROR(__xludf.DUMMYFUNCTION("""COMPUTED_VALUE"""),"WAVE")</f>
        <v>WAVE</v>
      </c>
      <c r="E664" s="50">
        <v>0.0</v>
      </c>
      <c r="F664" s="51">
        <v>0.0</v>
      </c>
      <c r="G664" s="52">
        <f t="shared" si="18"/>
        <v>0</v>
      </c>
      <c r="H664" s="52">
        <f>IFERROR(__xludf.DUMMYFUNCTION("""COMPUTED_VALUE"""),4699.0)</f>
        <v>4699</v>
      </c>
      <c r="I664" s="53">
        <f t="shared" si="14"/>
        <v>0</v>
      </c>
      <c r="J664" s="12"/>
      <c r="K664" s="1"/>
      <c r="L664" s="1"/>
      <c r="M664" s="1"/>
      <c r="N664" s="1"/>
      <c r="O664" s="1"/>
      <c r="P664" s="1"/>
      <c r="Q664" s="1"/>
      <c r="R664" s="1"/>
      <c r="S664" s="1"/>
      <c r="T664" s="1"/>
      <c r="U664" s="1"/>
      <c r="V664" s="1"/>
      <c r="W664" s="1"/>
      <c r="X664" s="1"/>
      <c r="Y664" s="1"/>
      <c r="Z664" s="1"/>
    </row>
    <row r="665">
      <c r="A665" s="1"/>
      <c r="B665" s="1"/>
      <c r="C665" s="54" t="str">
        <f>IFERROR(__xludf.DUMMYFUNCTION("""COMPUTED_VALUE"""),"WAMPS350 AMPLIFICADOR ")</f>
        <v>WAMPS350 AMPLIFICADOR </v>
      </c>
      <c r="D665" s="55" t="str">
        <f>IFERROR(__xludf.DUMMYFUNCTION("""COMPUTED_VALUE"""),"WAVE")</f>
        <v>WAVE</v>
      </c>
      <c r="E665" s="56">
        <v>0.0</v>
      </c>
      <c r="F665" s="57">
        <v>0.0</v>
      </c>
      <c r="G665" s="58">
        <f t="shared" si="18"/>
        <v>0</v>
      </c>
      <c r="H665" s="57">
        <f>IFERROR(__xludf.DUMMYFUNCTION("""COMPUTED_VALUE"""),6605.0)</f>
        <v>6605</v>
      </c>
      <c r="I665" s="59">
        <f t="shared" si="14"/>
        <v>0</v>
      </c>
      <c r="J665" s="12"/>
      <c r="K665" s="1"/>
      <c r="L665" s="1"/>
      <c r="M665" s="1"/>
      <c r="N665" s="1"/>
      <c r="O665" s="1"/>
      <c r="P665" s="1"/>
      <c r="Q665" s="1"/>
      <c r="R665" s="1"/>
      <c r="S665" s="1"/>
      <c r="T665" s="1"/>
      <c r="U665" s="1"/>
      <c r="V665" s="1"/>
      <c r="W665" s="1"/>
      <c r="X665" s="1"/>
      <c r="Y665" s="1"/>
      <c r="Z665" s="1"/>
    </row>
    <row r="666">
      <c r="A666" s="1"/>
      <c r="B666" s="1"/>
      <c r="C666" s="48" t="str">
        <f>IFERROR(__xludf.DUMMYFUNCTION("""COMPUTED_VALUE"""),"WDA CONVERSOR DIGITAL ANALÓGICO")</f>
        <v>WDA CONVERSOR DIGITAL ANALÓGICO</v>
      </c>
      <c r="D666" s="49" t="str">
        <f>IFERROR(__xludf.DUMMYFUNCTION("""COMPUTED_VALUE"""),"WAVE")</f>
        <v>WAVE</v>
      </c>
      <c r="E666" s="50">
        <v>0.0</v>
      </c>
      <c r="F666" s="51">
        <v>0.0</v>
      </c>
      <c r="G666" s="52">
        <f t="shared" si="18"/>
        <v>0</v>
      </c>
      <c r="H666" s="51">
        <f>IFERROR(__xludf.DUMMYFUNCTION("""COMPUTED_VALUE"""),344.0)</f>
        <v>344</v>
      </c>
      <c r="I666" s="53">
        <f t="shared" si="14"/>
        <v>0</v>
      </c>
      <c r="J666" s="12"/>
      <c r="K666" s="1"/>
      <c r="L666" s="1"/>
      <c r="M666" s="1"/>
      <c r="N666" s="1"/>
      <c r="O666" s="1"/>
      <c r="P666" s="1"/>
      <c r="Q666" s="1"/>
      <c r="R666" s="1"/>
      <c r="S666" s="1"/>
      <c r="T666" s="1"/>
      <c r="U666" s="1"/>
      <c r="V666" s="1"/>
      <c r="W666" s="1"/>
      <c r="X666" s="1"/>
      <c r="Y666" s="1"/>
      <c r="Z666" s="1"/>
    </row>
    <row r="667">
      <c r="A667" s="1"/>
      <c r="B667" s="1"/>
      <c r="C667" s="54" t="str">
        <f>IFERROR(__xludf.DUMMYFUNCTION("""COMPUTED_VALUE"""),"WDH 1X2 DIVISOR DE SINAL HDMI 1X2 4K")</f>
        <v>WDH 1X2 DIVISOR DE SINAL HDMI 1X2 4K</v>
      </c>
      <c r="D667" s="55" t="str">
        <f>IFERROR(__xludf.DUMMYFUNCTION("""COMPUTED_VALUE"""),"WAVE")</f>
        <v>WAVE</v>
      </c>
      <c r="E667" s="56">
        <v>0.0</v>
      </c>
      <c r="F667" s="57">
        <v>0.0</v>
      </c>
      <c r="G667" s="58">
        <f t="shared" si="18"/>
        <v>0</v>
      </c>
      <c r="H667" s="57">
        <f>IFERROR(__xludf.DUMMYFUNCTION("""COMPUTED_VALUE"""),782.0)</f>
        <v>782</v>
      </c>
      <c r="I667" s="59">
        <f t="shared" si="14"/>
        <v>0</v>
      </c>
      <c r="J667" s="12"/>
      <c r="K667" s="1"/>
      <c r="L667" s="1"/>
      <c r="M667" s="1"/>
      <c r="N667" s="1"/>
      <c r="O667" s="1"/>
      <c r="P667" s="1"/>
      <c r="Q667" s="1"/>
      <c r="R667" s="1"/>
      <c r="S667" s="1"/>
      <c r="T667" s="1"/>
      <c r="U667" s="1"/>
      <c r="V667" s="1"/>
      <c r="W667" s="1"/>
      <c r="X667" s="1"/>
      <c r="Y667" s="1"/>
      <c r="Z667" s="1"/>
    </row>
    <row r="668">
      <c r="A668" s="1"/>
      <c r="B668" s="1"/>
      <c r="C668" s="48" t="str">
        <f>IFERROR(__xludf.DUMMYFUNCTION("""COMPUTED_VALUE"""),"WDH 1X4 DIVISOR DE SINAL HDMI 1X4 4K")</f>
        <v>WDH 1X4 DIVISOR DE SINAL HDMI 1X4 4K</v>
      </c>
      <c r="D668" s="49" t="str">
        <f>IFERROR(__xludf.DUMMYFUNCTION("""COMPUTED_VALUE"""),"WAVE")</f>
        <v>WAVE</v>
      </c>
      <c r="E668" s="50">
        <v>0.0</v>
      </c>
      <c r="F668" s="51">
        <v>0.0</v>
      </c>
      <c r="G668" s="52">
        <f t="shared" si="18"/>
        <v>0</v>
      </c>
      <c r="H668" s="51">
        <f>IFERROR(__xludf.DUMMYFUNCTION("""COMPUTED_VALUE"""),1256.0)</f>
        <v>1256</v>
      </c>
      <c r="I668" s="53">
        <f t="shared" si="14"/>
        <v>0</v>
      </c>
      <c r="J668" s="12"/>
      <c r="K668" s="1"/>
      <c r="L668" s="1"/>
      <c r="M668" s="1"/>
      <c r="N668" s="1"/>
      <c r="O668" s="1"/>
      <c r="P668" s="1"/>
      <c r="Q668" s="1"/>
      <c r="R668" s="1"/>
      <c r="S668" s="1"/>
      <c r="T668" s="1"/>
      <c r="U668" s="1"/>
      <c r="V668" s="1"/>
      <c r="W668" s="1"/>
      <c r="X668" s="1"/>
      <c r="Y668" s="1"/>
      <c r="Z668" s="1"/>
    </row>
    <row r="669">
      <c r="A669" s="1"/>
      <c r="B669" s="1"/>
      <c r="C669" s="54" t="str">
        <f>IFERROR(__xludf.DUMMYFUNCTION("""COMPUTED_VALUE"""),"WEX150 HDBASET EXTENSOR HDMI ATÉ 150m")</f>
        <v>WEX150 HDBASET EXTENSOR HDMI ATÉ 150m</v>
      </c>
      <c r="D669" s="55" t="str">
        <f>IFERROR(__xludf.DUMMYFUNCTION("""COMPUTED_VALUE"""),"WAVE")</f>
        <v>WAVE</v>
      </c>
      <c r="E669" s="56">
        <v>0.0</v>
      </c>
      <c r="F669" s="57">
        <v>0.0</v>
      </c>
      <c r="G669" s="58">
        <f t="shared" si="18"/>
        <v>0</v>
      </c>
      <c r="H669" s="57">
        <f>IFERROR(__xludf.DUMMYFUNCTION("""COMPUTED_VALUE"""),3910.0)</f>
        <v>3910</v>
      </c>
      <c r="I669" s="59">
        <f t="shared" si="14"/>
        <v>0</v>
      </c>
      <c r="J669" s="12"/>
      <c r="K669" s="1"/>
      <c r="L669" s="1"/>
      <c r="M669" s="1"/>
      <c r="N669" s="1"/>
      <c r="O669" s="1"/>
      <c r="P669" s="1"/>
      <c r="Q669" s="1"/>
      <c r="R669" s="1"/>
      <c r="S669" s="1"/>
      <c r="T669" s="1"/>
      <c r="U669" s="1"/>
      <c r="V669" s="1"/>
      <c r="W669" s="1"/>
      <c r="X669" s="1"/>
      <c r="Y669" s="1"/>
      <c r="Z669" s="1"/>
    </row>
    <row r="670">
      <c r="A670" s="1"/>
      <c r="B670" s="1"/>
      <c r="C670" s="48" t="str">
        <f>IFERROR(__xludf.DUMMYFUNCTION("""COMPUTED_VALUE"""),"WEX70 EXTENSOR HDMI/4K 30Hz - HDMI 1.4, HDCP 1.4 e DVI 1.0 COMPATÍVEL ")</f>
        <v>WEX70 EXTENSOR HDMI/4K 30Hz - HDMI 1.4, HDCP 1.4 e DVI 1.0 COMPATÍVEL </v>
      </c>
      <c r="D670" s="49" t="str">
        <f>IFERROR(__xludf.DUMMYFUNCTION("""COMPUTED_VALUE"""),"WAVE")</f>
        <v>WAVE</v>
      </c>
      <c r="E670" s="50">
        <v>0.0</v>
      </c>
      <c r="F670" s="51">
        <v>0.0</v>
      </c>
      <c r="G670" s="52">
        <f t="shared" si="18"/>
        <v>0</v>
      </c>
      <c r="H670" s="51">
        <f>IFERROR(__xludf.DUMMYFUNCTION("""COMPUTED_VALUE"""),1520.0)</f>
        <v>1520</v>
      </c>
      <c r="I670" s="53">
        <f t="shared" si="14"/>
        <v>0</v>
      </c>
      <c r="J670" s="12"/>
      <c r="K670" s="1"/>
      <c r="L670" s="1"/>
      <c r="M670" s="1"/>
      <c r="N670" s="1"/>
      <c r="O670" s="1"/>
      <c r="P670" s="1"/>
      <c r="Q670" s="1"/>
      <c r="R670" s="1"/>
      <c r="S670" s="1"/>
      <c r="T670" s="1"/>
      <c r="U670" s="1"/>
      <c r="V670" s="1"/>
      <c r="W670" s="1"/>
      <c r="X670" s="1"/>
      <c r="Y670" s="1"/>
      <c r="Z670" s="1"/>
    </row>
    <row r="671">
      <c r="A671" s="1"/>
      <c r="B671" s="1"/>
      <c r="C671" s="54" t="str">
        <f>IFERROR(__xludf.DUMMYFUNCTION("""COMPUTED_VALUE"""),"WEXA 4K EXTRATOR DE ÁUDIO")</f>
        <v>WEXA 4K EXTRATOR DE ÁUDIO</v>
      </c>
      <c r="D671" s="55" t="str">
        <f>IFERROR(__xludf.DUMMYFUNCTION("""COMPUTED_VALUE"""),"WAVE")</f>
        <v>WAVE</v>
      </c>
      <c r="E671" s="56">
        <v>0.0</v>
      </c>
      <c r="F671" s="57">
        <v>0.0</v>
      </c>
      <c r="G671" s="58">
        <f t="shared" si="18"/>
        <v>0</v>
      </c>
      <c r="H671" s="57">
        <f>IFERROR(__xludf.DUMMYFUNCTION("""COMPUTED_VALUE"""),908.0)</f>
        <v>908</v>
      </c>
      <c r="I671" s="59">
        <f t="shared" si="14"/>
        <v>0</v>
      </c>
      <c r="J671" s="12"/>
      <c r="K671" s="1"/>
      <c r="L671" s="1"/>
      <c r="M671" s="1"/>
      <c r="N671" s="1"/>
      <c r="O671" s="1"/>
      <c r="P671" s="1"/>
      <c r="Q671" s="1"/>
      <c r="R671" s="1"/>
      <c r="S671" s="1"/>
      <c r="T671" s="1"/>
      <c r="U671" s="1"/>
      <c r="V671" s="1"/>
      <c r="W671" s="1"/>
      <c r="X671" s="1"/>
      <c r="Y671" s="1"/>
      <c r="Z671" s="1"/>
    </row>
    <row r="672">
      <c r="A672" s="1"/>
      <c r="B672" s="1"/>
      <c r="C672" s="48" t="str">
        <f>IFERROR(__xludf.DUMMYFUNCTION("""COMPUTED_VALUE"""),"WGS100 SOM JARDIM")</f>
        <v>WGS100 SOM JARDIM</v>
      </c>
      <c r="D672" s="49" t="str">
        <f>IFERROR(__xludf.DUMMYFUNCTION("""COMPUTED_VALUE"""),"WAVE")</f>
        <v>WAVE</v>
      </c>
      <c r="E672" s="50">
        <v>0.0</v>
      </c>
      <c r="F672" s="51">
        <v>0.0</v>
      </c>
      <c r="G672" s="52">
        <f t="shared" si="18"/>
        <v>0</v>
      </c>
      <c r="H672" s="51">
        <f>IFERROR(__xludf.DUMMYFUNCTION("""COMPUTED_VALUE"""),3140.0)</f>
        <v>3140</v>
      </c>
      <c r="I672" s="53">
        <f t="shared" si="14"/>
        <v>0</v>
      </c>
      <c r="J672" s="12"/>
      <c r="K672" s="1"/>
      <c r="L672" s="1"/>
      <c r="M672" s="1"/>
      <c r="N672" s="1"/>
      <c r="O672" s="1"/>
      <c r="P672" s="1"/>
      <c r="Q672" s="1"/>
      <c r="R672" s="1"/>
      <c r="S672" s="1"/>
      <c r="T672" s="1"/>
      <c r="U672" s="1"/>
      <c r="V672" s="1"/>
      <c r="W672" s="1"/>
      <c r="X672" s="1"/>
      <c r="Y672" s="1"/>
      <c r="Z672" s="1"/>
    </row>
    <row r="673">
      <c r="A673" s="1"/>
      <c r="B673" s="1"/>
      <c r="C673" s="54" t="str">
        <f>IFERROR(__xludf.DUMMYFUNCTION("""COMPUTED_VALUE"""),"WGSU200 SOM JARDIM ")</f>
        <v>WGSU200 SOM JARDIM </v>
      </c>
      <c r="D673" s="55" t="str">
        <f>IFERROR(__xludf.DUMMYFUNCTION("""COMPUTED_VALUE"""),"WAVE")</f>
        <v>WAVE</v>
      </c>
      <c r="E673" s="56">
        <v>0.0</v>
      </c>
      <c r="F673" s="57">
        <v>0.0</v>
      </c>
      <c r="G673" s="58">
        <f t="shared" si="18"/>
        <v>0</v>
      </c>
      <c r="H673" s="57">
        <f>IFERROR(__xludf.DUMMYFUNCTION("""COMPUTED_VALUE"""),3770.0)</f>
        <v>3770</v>
      </c>
      <c r="I673" s="59">
        <f t="shared" si="14"/>
        <v>0</v>
      </c>
      <c r="J673" s="12"/>
      <c r="K673" s="1"/>
      <c r="L673" s="1"/>
      <c r="M673" s="1"/>
      <c r="N673" s="1"/>
      <c r="O673" s="1"/>
      <c r="P673" s="1"/>
      <c r="Q673" s="1"/>
      <c r="R673" s="1"/>
      <c r="S673" s="1"/>
      <c r="T673" s="1"/>
      <c r="U673" s="1"/>
      <c r="V673" s="1"/>
      <c r="W673" s="1"/>
      <c r="X673" s="1"/>
      <c r="Y673" s="1"/>
      <c r="Z673" s="1"/>
    </row>
    <row r="674">
      <c r="A674" s="1"/>
      <c r="B674" s="1"/>
      <c r="C674" s="48" t="str">
        <f>IFERROR(__xludf.DUMMYFUNCTION("""COMPUTED_VALUE"""),"WIN120 ARANDELA ")</f>
        <v>WIN120 ARANDELA </v>
      </c>
      <c r="D674" s="49" t="str">
        <f>IFERROR(__xludf.DUMMYFUNCTION("""COMPUTED_VALUE"""),"WAVE")</f>
        <v>WAVE</v>
      </c>
      <c r="E674" s="50">
        <v>0.0</v>
      </c>
      <c r="F674" s="51">
        <v>0.0</v>
      </c>
      <c r="G674" s="52">
        <f t="shared" si="18"/>
        <v>0</v>
      </c>
      <c r="H674" s="51">
        <f>IFERROR(__xludf.DUMMYFUNCTION("""COMPUTED_VALUE"""),784.0)</f>
        <v>784</v>
      </c>
      <c r="I674" s="53">
        <f t="shared" si="14"/>
        <v>0</v>
      </c>
      <c r="J674" s="12"/>
      <c r="K674" s="1"/>
      <c r="L674" s="1"/>
      <c r="M674" s="1"/>
      <c r="N674" s="1"/>
      <c r="O674" s="1"/>
      <c r="P674" s="1"/>
      <c r="Q674" s="1"/>
      <c r="R674" s="1"/>
      <c r="S674" s="1"/>
      <c r="T674" s="1"/>
      <c r="U674" s="1"/>
      <c r="V674" s="1"/>
      <c r="W674" s="1"/>
      <c r="X674" s="1"/>
      <c r="Y674" s="1"/>
      <c r="Z674" s="1"/>
    </row>
    <row r="675">
      <c r="A675" s="1"/>
      <c r="B675" s="1"/>
      <c r="C675" s="54" t="str">
        <f>IFERROR(__xludf.DUMMYFUNCTION("""COMPUTED_VALUE"""),"WIN150 ARANDELA")</f>
        <v>WIN150 ARANDELA</v>
      </c>
      <c r="D675" s="55" t="str">
        <f>IFERROR(__xludf.DUMMYFUNCTION("""COMPUTED_VALUE"""),"WAVE")</f>
        <v>WAVE</v>
      </c>
      <c r="E675" s="56">
        <v>0.0</v>
      </c>
      <c r="F675" s="57">
        <v>0.0</v>
      </c>
      <c r="G675" s="58">
        <f t="shared" si="18"/>
        <v>0</v>
      </c>
      <c r="H675" s="57">
        <f>IFERROR(__xludf.DUMMYFUNCTION("""COMPUTED_VALUE"""),1075.0)</f>
        <v>1075</v>
      </c>
      <c r="I675" s="59">
        <f t="shared" si="14"/>
        <v>0</v>
      </c>
      <c r="J675" s="12"/>
      <c r="K675" s="1"/>
      <c r="L675" s="1"/>
      <c r="M675" s="1"/>
      <c r="N675" s="1"/>
      <c r="O675" s="1"/>
      <c r="P675" s="1"/>
      <c r="Q675" s="1"/>
      <c r="R675" s="1"/>
      <c r="S675" s="1"/>
      <c r="T675" s="1"/>
      <c r="U675" s="1"/>
      <c r="V675" s="1"/>
      <c r="W675" s="1"/>
      <c r="X675" s="1"/>
      <c r="Y675" s="1"/>
      <c r="Z675" s="1"/>
    </row>
    <row r="676">
      <c r="A676" s="1"/>
      <c r="B676" s="1"/>
      <c r="C676" s="48" t="str">
        <f>IFERROR(__xludf.DUMMYFUNCTION("""COMPUTED_VALUE"""),"WMR 46 AMPLIFICADOR")</f>
        <v>WMR 46 AMPLIFICADOR</v>
      </c>
      <c r="D676" s="49" t="str">
        <f>IFERROR(__xludf.DUMMYFUNCTION("""COMPUTED_VALUE"""),"WAVE")</f>
        <v>WAVE</v>
      </c>
      <c r="E676" s="50">
        <v>0.0</v>
      </c>
      <c r="F676" s="51">
        <v>0.0</v>
      </c>
      <c r="G676" s="52">
        <f t="shared" si="18"/>
        <v>0</v>
      </c>
      <c r="H676" s="51">
        <f>IFERROR(__xludf.DUMMYFUNCTION("""COMPUTED_VALUE"""),8876.0)</f>
        <v>8876</v>
      </c>
      <c r="I676" s="53">
        <f t="shared" si="14"/>
        <v>0</v>
      </c>
      <c r="J676" s="12"/>
      <c r="K676" s="1"/>
      <c r="L676" s="1"/>
      <c r="M676" s="1"/>
      <c r="N676" s="1"/>
      <c r="O676" s="1"/>
      <c r="P676" s="1"/>
      <c r="Q676" s="1"/>
      <c r="R676" s="1"/>
      <c r="S676" s="1"/>
      <c r="T676" s="1"/>
      <c r="U676" s="1"/>
      <c r="V676" s="1"/>
      <c r="W676" s="1"/>
      <c r="X676" s="1"/>
      <c r="Y676" s="1"/>
      <c r="Z676" s="1"/>
    </row>
    <row r="677">
      <c r="A677" s="1"/>
      <c r="B677" s="1"/>
      <c r="C677" s="54" t="str">
        <f>IFERROR(__xludf.DUMMYFUNCTION("""COMPUTED_VALUE"""),"WMR 46W MULTIROOM")</f>
        <v>WMR 46W MULTIROOM</v>
      </c>
      <c r="D677" s="55" t="str">
        <f>IFERROR(__xludf.DUMMYFUNCTION("""COMPUTED_VALUE"""),"WAVE")</f>
        <v>WAVE</v>
      </c>
      <c r="E677" s="56">
        <v>0.0</v>
      </c>
      <c r="F677" s="57">
        <v>0.0</v>
      </c>
      <c r="G677" s="58">
        <f t="shared" si="18"/>
        <v>0</v>
      </c>
      <c r="H677" s="57">
        <f>IFERROR(__xludf.DUMMYFUNCTION("""COMPUTED_VALUE"""),13745.0)</f>
        <v>13745</v>
      </c>
      <c r="I677" s="59">
        <f t="shared" si="14"/>
        <v>0</v>
      </c>
      <c r="J677" s="12"/>
      <c r="K677" s="1"/>
      <c r="L677" s="1"/>
      <c r="M677" s="1"/>
      <c r="N677" s="1"/>
      <c r="O677" s="1"/>
      <c r="P677" s="1"/>
      <c r="Q677" s="1"/>
      <c r="R677" s="1"/>
      <c r="S677" s="1"/>
      <c r="T677" s="1"/>
      <c r="U677" s="1"/>
      <c r="V677" s="1"/>
      <c r="W677" s="1"/>
      <c r="X677" s="1"/>
      <c r="Y677" s="1"/>
      <c r="Z677" s="1"/>
    </row>
    <row r="678">
      <c r="A678" s="1"/>
      <c r="B678" s="1"/>
      <c r="C678" s="48" t="str">
        <f>IFERROR(__xludf.DUMMYFUNCTION("""COMPUTED_VALUE"""),"WMR 66W MULTIROOM")</f>
        <v>WMR 66W MULTIROOM</v>
      </c>
      <c r="D678" s="49" t="str">
        <f>IFERROR(__xludf.DUMMYFUNCTION("""COMPUTED_VALUE"""),"WAVE")</f>
        <v>WAVE</v>
      </c>
      <c r="E678" s="50">
        <v>0.0</v>
      </c>
      <c r="F678" s="51">
        <v>0.0</v>
      </c>
      <c r="G678" s="52">
        <f t="shared" si="18"/>
        <v>0</v>
      </c>
      <c r="H678" s="51">
        <f>IFERROR(__xludf.DUMMYFUNCTION("""COMPUTED_VALUE"""),15918.0)</f>
        <v>15918</v>
      </c>
      <c r="I678" s="53">
        <f t="shared" si="14"/>
        <v>0</v>
      </c>
      <c r="J678" s="12"/>
      <c r="K678" s="1"/>
      <c r="L678" s="1"/>
      <c r="M678" s="1"/>
      <c r="N678" s="1"/>
      <c r="O678" s="1"/>
      <c r="P678" s="1"/>
      <c r="Q678" s="1"/>
      <c r="R678" s="1"/>
      <c r="S678" s="1"/>
      <c r="T678" s="1"/>
      <c r="U678" s="1"/>
      <c r="V678" s="1"/>
      <c r="W678" s="1"/>
      <c r="X678" s="1"/>
      <c r="Y678" s="1"/>
      <c r="Z678" s="1"/>
    </row>
    <row r="679">
      <c r="A679" s="1"/>
      <c r="B679" s="1"/>
      <c r="C679" s="54" t="str">
        <f>IFERROR(__xludf.DUMMYFUNCTION("""COMPUTED_VALUE"""),"WMR-HRC CONTROLE REMOTO PARA KEY PAD MULTIROOM WMR66 e WMR46")</f>
        <v>WMR-HRC CONTROLE REMOTO PARA KEY PAD MULTIROOM WMR66 e WMR46</v>
      </c>
      <c r="D679" s="55" t="str">
        <f>IFERROR(__xludf.DUMMYFUNCTION("""COMPUTED_VALUE"""),"WAVE")</f>
        <v>WAVE</v>
      </c>
      <c r="E679" s="56">
        <v>0.0</v>
      </c>
      <c r="F679" s="57">
        <v>0.0</v>
      </c>
      <c r="G679" s="58">
        <f t="shared" si="18"/>
        <v>0</v>
      </c>
      <c r="H679" s="57">
        <f>IFERROR(__xludf.DUMMYFUNCTION("""COMPUTED_VALUE"""),306.0)</f>
        <v>306</v>
      </c>
      <c r="I679" s="59">
        <f t="shared" si="14"/>
        <v>0</v>
      </c>
      <c r="J679" s="12"/>
      <c r="K679" s="1"/>
      <c r="L679" s="1"/>
      <c r="M679" s="1"/>
      <c r="N679" s="1"/>
      <c r="O679" s="1"/>
      <c r="P679" s="1"/>
      <c r="Q679" s="1"/>
      <c r="R679" s="1"/>
      <c r="S679" s="1"/>
      <c r="T679" s="1"/>
      <c r="U679" s="1"/>
      <c r="V679" s="1"/>
      <c r="W679" s="1"/>
      <c r="X679" s="1"/>
      <c r="Y679" s="1"/>
      <c r="Z679" s="1"/>
    </row>
    <row r="680">
      <c r="A680" s="1"/>
      <c r="B680" s="1"/>
      <c r="C680" s="48" t="str">
        <f>IFERROR(__xludf.DUMMYFUNCTION("""COMPUTED_VALUE"""),"WMR-HUB BASE EXPANSORA PARA KEY PAD")</f>
        <v>WMR-HUB BASE EXPANSORA PARA KEY PAD</v>
      </c>
      <c r="D680" s="49" t="str">
        <f>IFERROR(__xludf.DUMMYFUNCTION("""COMPUTED_VALUE"""),"WAVE")</f>
        <v>WAVE</v>
      </c>
      <c r="E680" s="50">
        <v>0.0</v>
      </c>
      <c r="F680" s="51">
        <v>0.0</v>
      </c>
      <c r="G680" s="52">
        <f t="shared" si="18"/>
        <v>0</v>
      </c>
      <c r="H680" s="51">
        <f>IFERROR(__xludf.DUMMYFUNCTION("""COMPUTED_VALUE"""),567.0)</f>
        <v>567</v>
      </c>
      <c r="I680" s="53">
        <f t="shared" si="14"/>
        <v>0</v>
      </c>
      <c r="J680" s="12"/>
      <c r="K680" s="1"/>
      <c r="L680" s="1"/>
      <c r="M680" s="1"/>
      <c r="N680" s="1"/>
      <c r="O680" s="1"/>
      <c r="P680" s="1"/>
      <c r="Q680" s="1"/>
      <c r="R680" s="1"/>
      <c r="S680" s="1"/>
      <c r="T680" s="1"/>
      <c r="U680" s="1"/>
      <c r="V680" s="1"/>
      <c r="W680" s="1"/>
      <c r="X680" s="1"/>
      <c r="Y680" s="1"/>
      <c r="Z680" s="1"/>
    </row>
    <row r="681">
      <c r="A681" s="1"/>
      <c r="B681" s="1"/>
      <c r="C681" s="54" t="str">
        <f>IFERROR(__xludf.DUMMYFUNCTION("""COMPUTED_VALUE"""),"WMR-KP1 KEY PAD PAINEL DE CONTROLE PARA MULTIROOM")</f>
        <v>WMR-KP1 KEY PAD PAINEL DE CONTROLE PARA MULTIROOM</v>
      </c>
      <c r="D681" s="55" t="str">
        <f>IFERROR(__xludf.DUMMYFUNCTION("""COMPUTED_VALUE"""),"WAVE")</f>
        <v>WAVE</v>
      </c>
      <c r="E681" s="56">
        <v>0.0</v>
      </c>
      <c r="F681" s="57">
        <v>0.0</v>
      </c>
      <c r="G681" s="58">
        <f t="shared" si="18"/>
        <v>0</v>
      </c>
      <c r="H681" s="57">
        <f>IFERROR(__xludf.DUMMYFUNCTION("""COMPUTED_VALUE"""),1308.0)</f>
        <v>1308</v>
      </c>
      <c r="I681" s="59">
        <f t="shared" si="14"/>
        <v>0</v>
      </c>
      <c r="J681" s="12"/>
      <c r="K681" s="1"/>
      <c r="L681" s="1"/>
      <c r="M681" s="1"/>
      <c r="N681" s="1"/>
      <c r="O681" s="1"/>
      <c r="P681" s="1"/>
      <c r="Q681" s="1"/>
      <c r="R681" s="1"/>
      <c r="S681" s="1"/>
      <c r="T681" s="1"/>
      <c r="U681" s="1"/>
      <c r="V681" s="1"/>
      <c r="W681" s="1"/>
      <c r="X681" s="1"/>
      <c r="Y681" s="1"/>
      <c r="Z681" s="1"/>
    </row>
    <row r="682">
      <c r="A682" s="1"/>
      <c r="B682" s="1"/>
      <c r="C682" s="48" t="str">
        <f>IFERROR(__xludf.DUMMYFUNCTION("""COMPUTED_VALUE"""),"WMR-KP2 KEY PAD COM ENTRADA S/PDIF")</f>
        <v>WMR-KP2 KEY PAD COM ENTRADA S/PDIF</v>
      </c>
      <c r="D682" s="49" t="str">
        <f>IFERROR(__xludf.DUMMYFUNCTION("""COMPUTED_VALUE"""),"WAVE")</f>
        <v>WAVE</v>
      </c>
      <c r="E682" s="50">
        <v>0.0</v>
      </c>
      <c r="F682" s="51">
        <v>0.0</v>
      </c>
      <c r="G682" s="52">
        <f t="shared" si="18"/>
        <v>0</v>
      </c>
      <c r="H682" s="51">
        <f>IFERROR(__xludf.DUMMYFUNCTION("""COMPUTED_VALUE"""),1002.0)</f>
        <v>1002</v>
      </c>
      <c r="I682" s="53">
        <f t="shared" si="14"/>
        <v>0</v>
      </c>
      <c r="J682" s="12"/>
      <c r="K682" s="1"/>
      <c r="L682" s="1"/>
      <c r="M682" s="1"/>
      <c r="N682" s="1"/>
      <c r="O682" s="1"/>
      <c r="P682" s="1"/>
      <c r="Q682" s="1"/>
      <c r="R682" s="1"/>
      <c r="S682" s="1"/>
      <c r="T682" s="1"/>
      <c r="U682" s="1"/>
      <c r="V682" s="1"/>
      <c r="W682" s="1"/>
      <c r="X682" s="1"/>
      <c r="Y682" s="1"/>
      <c r="Z682" s="1"/>
    </row>
    <row r="683">
      <c r="A683" s="1"/>
      <c r="B683" s="1"/>
      <c r="C683" s="54" t="str">
        <f>IFERROR(__xludf.DUMMYFUNCTION("""COMPUTED_VALUE"""),"WMR-KP3BT KEY PAD COM RECEPTOR BLUETOOH")</f>
        <v>WMR-KP3BT KEY PAD COM RECEPTOR BLUETOOH</v>
      </c>
      <c r="D683" s="55" t="str">
        <f>IFERROR(__xludf.DUMMYFUNCTION("""COMPUTED_VALUE"""),"WAVE")</f>
        <v>WAVE</v>
      </c>
      <c r="E683" s="56">
        <v>0.0</v>
      </c>
      <c r="F683" s="57">
        <v>0.0</v>
      </c>
      <c r="G683" s="58">
        <f t="shared" si="18"/>
        <v>0</v>
      </c>
      <c r="H683" s="57">
        <f>IFERROR(__xludf.DUMMYFUNCTION("""COMPUTED_VALUE"""),1034.0)</f>
        <v>1034</v>
      </c>
      <c r="I683" s="59">
        <f t="shared" si="14"/>
        <v>0</v>
      </c>
      <c r="J683" s="12"/>
      <c r="K683" s="1"/>
      <c r="L683" s="1"/>
      <c r="M683" s="1"/>
      <c r="N683" s="1"/>
      <c r="O683" s="1"/>
      <c r="P683" s="1"/>
      <c r="Q683" s="1"/>
      <c r="R683" s="1"/>
      <c r="S683" s="1"/>
      <c r="T683" s="1"/>
      <c r="U683" s="1"/>
      <c r="V683" s="1"/>
      <c r="W683" s="1"/>
      <c r="X683" s="1"/>
      <c r="Y683" s="1"/>
      <c r="Z683" s="1"/>
    </row>
    <row r="684">
      <c r="A684" s="1"/>
      <c r="B684" s="1"/>
      <c r="C684" s="48" t="str">
        <f>IFERROR(__xludf.DUMMYFUNCTION("""COMPUTED_VALUE"""),"WMR-RJR-2 CONVERSOL DIGITAL-ANALÓGICO")</f>
        <v>WMR-RJR-2 CONVERSOL DIGITAL-ANALÓGICO</v>
      </c>
      <c r="D684" s="49" t="str">
        <f>IFERROR(__xludf.DUMMYFUNCTION("""COMPUTED_VALUE"""),"WAVE")</f>
        <v>WAVE</v>
      </c>
      <c r="E684" s="50">
        <v>0.0</v>
      </c>
      <c r="F684" s="51">
        <v>0.0</v>
      </c>
      <c r="G684" s="52">
        <f t="shared" si="18"/>
        <v>0</v>
      </c>
      <c r="H684" s="51">
        <f>IFERROR(__xludf.DUMMYFUNCTION("""COMPUTED_VALUE"""),1572.0)</f>
        <v>1572</v>
      </c>
      <c r="I684" s="53">
        <f t="shared" si="14"/>
        <v>0</v>
      </c>
      <c r="J684" s="12"/>
      <c r="K684" s="1"/>
      <c r="L684" s="1"/>
      <c r="M684" s="1"/>
      <c r="N684" s="1"/>
      <c r="O684" s="1"/>
      <c r="P684" s="1"/>
      <c r="Q684" s="1"/>
      <c r="R684" s="1"/>
      <c r="S684" s="1"/>
      <c r="T684" s="1"/>
      <c r="U684" s="1"/>
      <c r="V684" s="1"/>
      <c r="W684" s="1"/>
      <c r="X684" s="1"/>
      <c r="Y684" s="1"/>
      <c r="Z684" s="1"/>
    </row>
    <row r="685">
      <c r="A685" s="1"/>
      <c r="B685" s="1"/>
      <c r="C685" s="54" t="str">
        <f>IFERROR(__xludf.DUMMYFUNCTION("""COMPUTED_VALUE"""),"WMR-W232 MÓDULO IP")</f>
        <v>WMR-W232 MÓDULO IP</v>
      </c>
      <c r="D685" s="55" t="str">
        <f>IFERROR(__xludf.DUMMYFUNCTION("""COMPUTED_VALUE"""),"WAVE")</f>
        <v>WAVE</v>
      </c>
      <c r="E685" s="56">
        <v>0.0</v>
      </c>
      <c r="F685" s="57">
        <v>0.0</v>
      </c>
      <c r="G685" s="58">
        <f t="shared" si="18"/>
        <v>0</v>
      </c>
      <c r="H685" s="57">
        <f>IFERROR(__xludf.DUMMYFUNCTION("""COMPUTED_VALUE"""),1208.0)</f>
        <v>1208</v>
      </c>
      <c r="I685" s="59">
        <f t="shared" si="14"/>
        <v>0</v>
      </c>
      <c r="J685" s="12"/>
      <c r="K685" s="1"/>
      <c r="L685" s="1"/>
      <c r="M685" s="1"/>
      <c r="N685" s="1"/>
      <c r="O685" s="1"/>
      <c r="P685" s="1"/>
      <c r="Q685" s="1"/>
      <c r="R685" s="1"/>
      <c r="S685" s="1"/>
      <c r="T685" s="1"/>
      <c r="U685" s="1"/>
      <c r="V685" s="1"/>
      <c r="W685" s="1"/>
      <c r="X685" s="1"/>
      <c r="Y685" s="1"/>
      <c r="Z685" s="1"/>
    </row>
    <row r="686">
      <c r="A686" s="1"/>
      <c r="B686" s="1"/>
      <c r="C686" s="48" t="str">
        <f>IFERROR(__xludf.DUMMYFUNCTION("""COMPUTED_VALUE"""),"WMR-WAS WIFI STREAMING DE ÁUDIO")</f>
        <v>WMR-WAS WIFI STREAMING DE ÁUDIO</v>
      </c>
      <c r="D686" s="49" t="str">
        <f>IFERROR(__xludf.DUMMYFUNCTION("""COMPUTED_VALUE"""),"WAVE")</f>
        <v>WAVE</v>
      </c>
      <c r="E686" s="50">
        <v>0.0</v>
      </c>
      <c r="F686" s="51">
        <v>0.0</v>
      </c>
      <c r="G686" s="52">
        <f t="shared" si="18"/>
        <v>0</v>
      </c>
      <c r="H686" s="51">
        <f>IFERROR(__xludf.DUMMYFUNCTION("""COMPUTED_VALUE"""),2095.0)</f>
        <v>2095</v>
      </c>
      <c r="I686" s="53">
        <f t="shared" si="14"/>
        <v>0</v>
      </c>
      <c r="J686" s="12"/>
      <c r="K686" s="1"/>
      <c r="L686" s="1"/>
      <c r="M686" s="1"/>
      <c r="N686" s="1"/>
      <c r="O686" s="1"/>
      <c r="P686" s="1"/>
      <c r="Q686" s="1"/>
      <c r="R686" s="1"/>
      <c r="S686" s="1"/>
      <c r="T686" s="1"/>
      <c r="U686" s="1"/>
      <c r="V686" s="1"/>
      <c r="W686" s="1"/>
      <c r="X686" s="1"/>
      <c r="Y686" s="1"/>
      <c r="Z686" s="1"/>
    </row>
    <row r="687">
      <c r="A687" s="1"/>
      <c r="B687" s="1"/>
      <c r="C687" s="54" t="str">
        <f>IFERROR(__xludf.DUMMYFUNCTION("""COMPUTED_VALUE"""),"WMX4X4MATRIX DE VÍDEO 4X4")</f>
        <v>WMX4X4MATRIX DE VÍDEO 4X4</v>
      </c>
      <c r="D687" s="55" t="str">
        <f>IFERROR(__xludf.DUMMYFUNCTION("""COMPUTED_VALUE"""),"WAVE")</f>
        <v>WAVE</v>
      </c>
      <c r="E687" s="56">
        <v>0.0</v>
      </c>
      <c r="F687" s="57">
        <v>0.0</v>
      </c>
      <c r="G687" s="58">
        <f t="shared" si="18"/>
        <v>0</v>
      </c>
      <c r="H687" s="57">
        <f>IFERROR(__xludf.DUMMYFUNCTION("""COMPUTED_VALUE"""),9750.0)</f>
        <v>9750</v>
      </c>
      <c r="I687" s="59">
        <f t="shared" si="14"/>
        <v>0</v>
      </c>
      <c r="J687" s="12"/>
      <c r="K687" s="1"/>
      <c r="L687" s="1"/>
      <c r="M687" s="1"/>
      <c r="N687" s="1"/>
      <c r="O687" s="1"/>
      <c r="P687" s="1"/>
      <c r="Q687" s="1"/>
      <c r="R687" s="1"/>
      <c r="S687" s="1"/>
      <c r="T687" s="1"/>
      <c r="U687" s="1"/>
      <c r="V687" s="1"/>
      <c r="W687" s="1"/>
      <c r="X687" s="1"/>
      <c r="Y687" s="1"/>
      <c r="Z687" s="1"/>
    </row>
    <row r="688">
      <c r="A688" s="1"/>
      <c r="B688" s="1"/>
      <c r="C688" s="48" t="str">
        <f>IFERROR(__xludf.DUMMYFUNCTION("""COMPUTED_VALUE"""),"WMX8X8 MATRIX DE VÍDEO 8X8")</f>
        <v>WMX8X8 MATRIX DE VÍDEO 8X8</v>
      </c>
      <c r="D688" s="49" t="str">
        <f>IFERROR(__xludf.DUMMYFUNCTION("""COMPUTED_VALUE"""),"WAVE")</f>
        <v>WAVE</v>
      </c>
      <c r="E688" s="50">
        <v>0.0</v>
      </c>
      <c r="F688" s="51">
        <v>0.0</v>
      </c>
      <c r="G688" s="52">
        <f t="shared" si="18"/>
        <v>0</v>
      </c>
      <c r="H688" s="51">
        <f>IFERROR(__xludf.DUMMYFUNCTION("""COMPUTED_VALUE"""),15740.0)</f>
        <v>15740</v>
      </c>
      <c r="I688" s="53">
        <f t="shared" si="14"/>
        <v>0</v>
      </c>
      <c r="J688" s="12"/>
      <c r="K688" s="1"/>
      <c r="L688" s="1"/>
      <c r="M688" s="1"/>
      <c r="N688" s="1"/>
      <c r="O688" s="1"/>
      <c r="P688" s="1"/>
      <c r="Q688" s="1"/>
      <c r="R688" s="1"/>
      <c r="S688" s="1"/>
      <c r="T688" s="1"/>
      <c r="U688" s="1"/>
      <c r="V688" s="1"/>
      <c r="W688" s="1"/>
      <c r="X688" s="1"/>
      <c r="Y688" s="1"/>
      <c r="Z688" s="1"/>
    </row>
    <row r="689">
      <c r="A689" s="1"/>
      <c r="B689" s="1"/>
      <c r="C689" s="54" t="str">
        <f>IFERROR(__xludf.DUMMYFUNCTION("""COMPUTED_VALUE"""),"WOD125 SOM SOBREPOR")</f>
        <v>WOD125 SOM SOBREPOR</v>
      </c>
      <c r="D689" s="55" t="str">
        <f>IFERROR(__xludf.DUMMYFUNCTION("""COMPUTED_VALUE"""),"WAVE")</f>
        <v>WAVE</v>
      </c>
      <c r="E689" s="56">
        <v>0.0</v>
      </c>
      <c r="F689" s="57">
        <v>0.0</v>
      </c>
      <c r="G689" s="58">
        <f t="shared" si="18"/>
        <v>0</v>
      </c>
      <c r="H689" s="57">
        <f>IFERROR(__xludf.DUMMYFUNCTION("""COMPUTED_VALUE"""),2878.0)</f>
        <v>2878</v>
      </c>
      <c r="I689" s="59">
        <f t="shared" si="14"/>
        <v>0</v>
      </c>
      <c r="J689" s="12"/>
      <c r="K689" s="1"/>
      <c r="L689" s="1"/>
      <c r="M689" s="1"/>
      <c r="N689" s="1"/>
      <c r="O689" s="1"/>
      <c r="P689" s="1"/>
      <c r="Q689" s="1"/>
      <c r="R689" s="1"/>
      <c r="S689" s="1"/>
      <c r="T689" s="1"/>
      <c r="U689" s="1"/>
      <c r="V689" s="1"/>
      <c r="W689" s="1"/>
      <c r="X689" s="1"/>
      <c r="Y689" s="1"/>
      <c r="Z689" s="1"/>
    </row>
    <row r="690">
      <c r="A690" s="1"/>
      <c r="B690" s="1"/>
      <c r="C690" s="48" t="str">
        <f>IFERROR(__xludf.DUMMYFUNCTION("""COMPUTED_VALUE"""),"WOD150 SOM SOBREPOR")</f>
        <v>WOD150 SOM SOBREPOR</v>
      </c>
      <c r="D690" s="49" t="str">
        <f>IFERROR(__xludf.DUMMYFUNCTION("""COMPUTED_VALUE"""),"WAVE")</f>
        <v>WAVE</v>
      </c>
      <c r="E690" s="50">
        <v>0.0</v>
      </c>
      <c r="F690" s="51">
        <v>0.0</v>
      </c>
      <c r="G690" s="52">
        <f t="shared" si="18"/>
        <v>0</v>
      </c>
      <c r="H690" s="51">
        <f>IFERROR(__xludf.DUMMYFUNCTION("""COMPUTED_VALUE"""),3142.0)</f>
        <v>3142</v>
      </c>
      <c r="I690" s="53">
        <f t="shared" si="14"/>
        <v>0</v>
      </c>
      <c r="J690" s="12"/>
      <c r="K690" s="1"/>
      <c r="L690" s="1"/>
      <c r="M690" s="1"/>
      <c r="N690" s="1"/>
      <c r="O690" s="1"/>
      <c r="P690" s="1"/>
      <c r="Q690" s="1"/>
      <c r="R690" s="1"/>
      <c r="S690" s="1"/>
      <c r="T690" s="1"/>
      <c r="U690" s="1"/>
      <c r="V690" s="1"/>
      <c r="W690" s="1"/>
      <c r="X690" s="1"/>
      <c r="Y690" s="1"/>
      <c r="Z690" s="1"/>
    </row>
    <row r="691">
      <c r="A691" s="1"/>
      <c r="B691" s="1"/>
      <c r="C691" s="54" t="str">
        <f>IFERROR(__xludf.DUMMYFUNCTION("""COMPUTED_VALUE"""),"WPR2006 ARANDELA")</f>
        <v>WPR2006 ARANDELA</v>
      </c>
      <c r="D691" s="55" t="str">
        <f>IFERROR(__xludf.DUMMYFUNCTION("""COMPUTED_VALUE"""),"WAVE")</f>
        <v>WAVE</v>
      </c>
      <c r="E691" s="56">
        <v>0.0</v>
      </c>
      <c r="F691" s="57">
        <v>0.0</v>
      </c>
      <c r="G691" s="58">
        <f t="shared" si="18"/>
        <v>0</v>
      </c>
      <c r="H691" s="57">
        <f>IFERROR(__xludf.DUMMYFUNCTION("""COMPUTED_VALUE"""),1048.0)</f>
        <v>1048</v>
      </c>
      <c r="I691" s="59">
        <f t="shared" si="14"/>
        <v>0</v>
      </c>
      <c r="J691" s="12"/>
      <c r="K691" s="1"/>
      <c r="L691" s="1"/>
      <c r="M691" s="1"/>
      <c r="N691" s="1"/>
      <c r="O691" s="1"/>
      <c r="P691" s="1"/>
      <c r="Q691" s="1"/>
      <c r="R691" s="1"/>
      <c r="S691" s="1"/>
      <c r="T691" s="1"/>
      <c r="U691" s="1"/>
      <c r="V691" s="1"/>
      <c r="W691" s="1"/>
      <c r="X691" s="1"/>
      <c r="Y691" s="1"/>
      <c r="Z691" s="1"/>
    </row>
    <row r="692">
      <c r="A692" s="1"/>
      <c r="B692" s="1"/>
      <c r="C692" s="48" t="str">
        <f>IFERROR(__xludf.DUMMYFUNCTION("""COMPUTED_VALUE"""),"WPR2008 ARANDELA")</f>
        <v>WPR2008 ARANDELA</v>
      </c>
      <c r="D692" s="49" t="str">
        <f>IFERROR(__xludf.DUMMYFUNCTION("""COMPUTED_VALUE"""),"WAVE")</f>
        <v>WAVE</v>
      </c>
      <c r="E692" s="50">
        <v>0.0</v>
      </c>
      <c r="F692" s="51">
        <v>0.0</v>
      </c>
      <c r="G692" s="52">
        <f t="shared" si="18"/>
        <v>0</v>
      </c>
      <c r="H692" s="51">
        <f>IFERROR(__xludf.DUMMYFUNCTION("""COMPUTED_VALUE"""),1355.0)</f>
        <v>1355</v>
      </c>
      <c r="I692" s="53">
        <f t="shared" si="14"/>
        <v>0</v>
      </c>
      <c r="J692" s="12"/>
      <c r="K692" s="1"/>
      <c r="L692" s="1"/>
      <c r="M692" s="1"/>
      <c r="N692" s="1"/>
      <c r="O692" s="1"/>
      <c r="P692" s="1"/>
      <c r="Q692" s="1"/>
      <c r="R692" s="1"/>
      <c r="S692" s="1"/>
      <c r="T692" s="1"/>
      <c r="U692" s="1"/>
      <c r="V692" s="1"/>
      <c r="W692" s="1"/>
      <c r="X692" s="1"/>
      <c r="Y692" s="1"/>
      <c r="Z692" s="1"/>
    </row>
    <row r="693">
      <c r="A693" s="1"/>
      <c r="B693" s="1"/>
      <c r="C693" s="54" t="str">
        <f>IFERROR(__xludf.DUMMYFUNCTION("""COMPUTED_VALUE"""),"WSR120 ARANDELA")</f>
        <v>WSR120 ARANDELA</v>
      </c>
      <c r="D693" s="55" t="str">
        <f>IFERROR(__xludf.DUMMYFUNCTION("""COMPUTED_VALUE"""),"WAVE")</f>
        <v>WAVE</v>
      </c>
      <c r="E693" s="56">
        <v>0.0</v>
      </c>
      <c r="F693" s="57">
        <v>0.0</v>
      </c>
      <c r="G693" s="58">
        <f t="shared" si="18"/>
        <v>0</v>
      </c>
      <c r="H693" s="57">
        <f>IFERROR(__xludf.DUMMYFUNCTION("""COMPUTED_VALUE"""),584.0)</f>
        <v>584</v>
      </c>
      <c r="I693" s="59">
        <f t="shared" si="14"/>
        <v>0</v>
      </c>
      <c r="J693" s="12"/>
      <c r="K693" s="1"/>
      <c r="L693" s="1"/>
      <c r="M693" s="1"/>
      <c r="N693" s="1"/>
      <c r="O693" s="1"/>
      <c r="P693" s="1"/>
      <c r="Q693" s="1"/>
      <c r="R693" s="1"/>
      <c r="S693" s="1"/>
      <c r="T693" s="1"/>
      <c r="U693" s="1"/>
      <c r="V693" s="1"/>
      <c r="W693" s="1"/>
      <c r="X693" s="1"/>
      <c r="Y693" s="1"/>
      <c r="Z693" s="1"/>
    </row>
    <row r="694">
      <c r="A694" s="1"/>
      <c r="B694" s="1"/>
      <c r="C694" s="48" t="str">
        <f>IFERROR(__xludf.DUMMYFUNCTION("""COMPUTED_VALUE"""),"WSR150 ARANDELA")</f>
        <v>WSR150 ARANDELA</v>
      </c>
      <c r="D694" s="49" t="str">
        <f>IFERROR(__xludf.DUMMYFUNCTION("""COMPUTED_VALUE"""),"WAVE")</f>
        <v>WAVE</v>
      </c>
      <c r="E694" s="50">
        <v>0.0</v>
      </c>
      <c r="F694" s="51">
        <v>0.0</v>
      </c>
      <c r="G694" s="52">
        <f t="shared" si="18"/>
        <v>0</v>
      </c>
      <c r="H694" s="51">
        <f>IFERROR(__xludf.DUMMYFUNCTION("""COMPUTED_VALUE"""),794.0)</f>
        <v>794</v>
      </c>
      <c r="I694" s="53">
        <f t="shared" si="14"/>
        <v>0</v>
      </c>
      <c r="J694" s="12"/>
      <c r="K694" s="1"/>
      <c r="L694" s="1"/>
      <c r="M694" s="1"/>
      <c r="N694" s="1"/>
      <c r="O694" s="1"/>
      <c r="P694" s="1"/>
      <c r="Q694" s="1"/>
      <c r="R694" s="1"/>
      <c r="S694" s="1"/>
      <c r="T694" s="1"/>
      <c r="U694" s="1"/>
      <c r="V694" s="1"/>
      <c r="W694" s="1"/>
      <c r="X694" s="1"/>
      <c r="Y694" s="1"/>
      <c r="Z694" s="1"/>
    </row>
    <row r="695">
      <c r="A695" s="1"/>
      <c r="B695" s="1"/>
      <c r="C695" s="54" t="str">
        <f>IFERROR(__xludf.DUMMYFUNCTION("""COMPUTED_VALUE"""),"WSR1508 ARANDELA")</f>
        <v>WSR1508 ARANDELA</v>
      </c>
      <c r="D695" s="55" t="str">
        <f>IFERROR(__xludf.DUMMYFUNCTION("""COMPUTED_VALUE"""),"WAVE")</f>
        <v>WAVE</v>
      </c>
      <c r="E695" s="56">
        <v>0.0</v>
      </c>
      <c r="F695" s="57">
        <v>0.0</v>
      </c>
      <c r="G695" s="58">
        <f t="shared" si="18"/>
        <v>0</v>
      </c>
      <c r="H695" s="57">
        <f>IFERROR(__xludf.DUMMYFUNCTION("""COMPUTED_VALUE"""),1040.0)</f>
        <v>1040</v>
      </c>
      <c r="I695" s="59">
        <f t="shared" si="14"/>
        <v>0</v>
      </c>
      <c r="J695" s="12"/>
      <c r="K695" s="1"/>
      <c r="L695" s="1"/>
      <c r="M695" s="1"/>
      <c r="N695" s="1"/>
      <c r="O695" s="1"/>
      <c r="P695" s="1"/>
      <c r="Q695" s="1"/>
      <c r="R695" s="1"/>
      <c r="S695" s="1"/>
      <c r="T695" s="1"/>
      <c r="U695" s="1"/>
      <c r="V695" s="1"/>
      <c r="W695" s="1"/>
      <c r="X695" s="1"/>
      <c r="Y695" s="1"/>
      <c r="Z695" s="1"/>
    </row>
    <row r="696">
      <c r="A696" s="1"/>
      <c r="B696" s="1"/>
      <c r="C696" s="48" t="str">
        <f>IFERROR(__xludf.DUMMYFUNCTION("""COMPUTED_VALUE"""),"WSR60BT ARANDELA ")</f>
        <v>WSR60BT ARANDELA </v>
      </c>
      <c r="D696" s="49" t="str">
        <f>IFERROR(__xludf.DUMMYFUNCTION("""COMPUTED_VALUE"""),"WAVE")</f>
        <v>WAVE</v>
      </c>
      <c r="E696" s="50">
        <v>0.0</v>
      </c>
      <c r="F696" s="51">
        <v>0.0</v>
      </c>
      <c r="G696" s="52">
        <f t="shared" si="18"/>
        <v>0</v>
      </c>
      <c r="H696" s="51">
        <f>IFERROR(__xludf.DUMMYFUNCTION("""COMPUTED_VALUE"""),3534.0)</f>
        <v>3534</v>
      </c>
      <c r="I696" s="53">
        <f t="shared" si="14"/>
        <v>0</v>
      </c>
      <c r="J696" s="12"/>
      <c r="K696" s="1"/>
      <c r="L696" s="1"/>
      <c r="M696" s="1"/>
      <c r="N696" s="1"/>
      <c r="O696" s="1"/>
      <c r="P696" s="1"/>
      <c r="Q696" s="1"/>
      <c r="R696" s="1"/>
      <c r="S696" s="1"/>
      <c r="T696" s="1"/>
      <c r="U696" s="1"/>
      <c r="V696" s="1"/>
      <c r="W696" s="1"/>
      <c r="X696" s="1"/>
      <c r="Y696" s="1"/>
      <c r="Z696" s="1"/>
    </row>
    <row r="697">
      <c r="A697" s="1"/>
      <c r="B697" s="1"/>
      <c r="C697" s="54" t="str">
        <f>IFERROR(__xludf.DUMMYFUNCTION("""COMPUTED_VALUE"""),"WSW10 SUBWOOFER")</f>
        <v>WSW10 SUBWOOFER</v>
      </c>
      <c r="D697" s="55" t="str">
        <f>IFERROR(__xludf.DUMMYFUNCTION("""COMPUTED_VALUE"""),"WAVE")</f>
        <v>WAVE</v>
      </c>
      <c r="E697" s="56">
        <v>0.0</v>
      </c>
      <c r="F697" s="57">
        <v>0.0</v>
      </c>
      <c r="G697" s="58">
        <f t="shared" si="18"/>
        <v>0</v>
      </c>
      <c r="H697" s="57">
        <f>IFERROR(__xludf.DUMMYFUNCTION("""COMPUTED_VALUE"""),3279.0)</f>
        <v>3279</v>
      </c>
      <c r="I697" s="59">
        <f t="shared" si="14"/>
        <v>0</v>
      </c>
      <c r="J697" s="12"/>
      <c r="K697" s="1"/>
      <c r="L697" s="1"/>
      <c r="M697" s="1"/>
      <c r="N697" s="1"/>
      <c r="O697" s="1"/>
      <c r="P697" s="1"/>
      <c r="Q697" s="1"/>
      <c r="R697" s="1"/>
      <c r="S697" s="1"/>
      <c r="T697" s="1"/>
      <c r="U697" s="1"/>
      <c r="V697" s="1"/>
      <c r="W697" s="1"/>
      <c r="X697" s="1"/>
      <c r="Y697" s="1"/>
      <c r="Z697" s="1"/>
    </row>
    <row r="698">
      <c r="A698" s="1"/>
      <c r="B698" s="1"/>
      <c r="C698" s="48" t="str">
        <f>IFERROR(__xludf.DUMMYFUNCTION("""COMPUTED_VALUE"""),"WSW12 SUBWOOFER")</f>
        <v>WSW12 SUBWOOFER</v>
      </c>
      <c r="D698" s="49" t="str">
        <f>IFERROR(__xludf.DUMMYFUNCTION("""COMPUTED_VALUE"""),"WAVE")</f>
        <v>WAVE</v>
      </c>
      <c r="E698" s="50">
        <v>0.0</v>
      </c>
      <c r="F698" s="51">
        <v>0.0</v>
      </c>
      <c r="G698" s="52">
        <f t="shared" si="18"/>
        <v>0</v>
      </c>
      <c r="H698" s="51">
        <f>IFERROR(__xludf.DUMMYFUNCTION("""COMPUTED_VALUE"""),4190.0)</f>
        <v>4190</v>
      </c>
      <c r="I698" s="53">
        <f t="shared" si="14"/>
        <v>0</v>
      </c>
      <c r="J698" s="12"/>
      <c r="K698" s="1"/>
      <c r="L698" s="1"/>
      <c r="M698" s="1"/>
      <c r="N698" s="1"/>
      <c r="O698" s="1"/>
      <c r="P698" s="1"/>
      <c r="Q698" s="1"/>
      <c r="R698" s="1"/>
      <c r="S698" s="1"/>
      <c r="T698" s="1"/>
      <c r="U698" s="1"/>
      <c r="V698" s="1"/>
      <c r="W698" s="1"/>
      <c r="X698" s="1"/>
      <c r="Y698" s="1"/>
      <c r="Z698" s="1"/>
    </row>
    <row r="699">
      <c r="A699" s="1"/>
      <c r="B699" s="1"/>
      <c r="C699" s="54" t="str">
        <f>IFERROR(__xludf.DUMMYFUNCTION("""COMPUTED_VALUE"""),"WSW8 (Branco) SUBWOOFER")</f>
        <v>WSW8 (Branco) SUBWOOFER</v>
      </c>
      <c r="D699" s="55" t="str">
        <f>IFERROR(__xludf.DUMMYFUNCTION("""COMPUTED_VALUE"""),"WAVE")</f>
        <v>WAVE</v>
      </c>
      <c r="E699" s="56">
        <v>0.0</v>
      </c>
      <c r="F699" s="57">
        <v>0.0</v>
      </c>
      <c r="G699" s="58">
        <f t="shared" si="18"/>
        <v>0</v>
      </c>
      <c r="H699" s="57">
        <f>IFERROR(__xludf.DUMMYFUNCTION("""COMPUTED_VALUE"""),2915.0)</f>
        <v>2915</v>
      </c>
      <c r="I699" s="59">
        <f t="shared" si="14"/>
        <v>0</v>
      </c>
      <c r="J699" s="12"/>
      <c r="K699" s="1"/>
      <c r="L699" s="1"/>
      <c r="M699" s="1"/>
      <c r="N699" s="1"/>
      <c r="O699" s="1"/>
      <c r="P699" s="1"/>
      <c r="Q699" s="1"/>
      <c r="R699" s="1"/>
      <c r="S699" s="1"/>
      <c r="T699" s="1"/>
      <c r="U699" s="1"/>
      <c r="V699" s="1"/>
      <c r="W699" s="1"/>
      <c r="X699" s="1"/>
      <c r="Y699" s="1"/>
      <c r="Z699" s="1"/>
    </row>
    <row r="700">
      <c r="A700" s="1"/>
      <c r="B700" s="1"/>
      <c r="C700" s="48" t="str">
        <f>IFERROR(__xludf.DUMMYFUNCTION("""COMPUTED_VALUE"""),"WSW8 (Preto) SUBWOOFER")</f>
        <v>WSW8 (Preto) SUBWOOFER</v>
      </c>
      <c r="D700" s="49" t="str">
        <f>IFERROR(__xludf.DUMMYFUNCTION("""COMPUTED_VALUE"""),"WAVE")</f>
        <v>WAVE</v>
      </c>
      <c r="E700" s="50">
        <v>0.0</v>
      </c>
      <c r="F700" s="51">
        <v>0.0</v>
      </c>
      <c r="G700" s="52">
        <f t="shared" si="18"/>
        <v>0</v>
      </c>
      <c r="H700" s="51">
        <f>IFERROR(__xludf.DUMMYFUNCTION("""COMPUTED_VALUE"""),2581.0)</f>
        <v>2581</v>
      </c>
      <c r="I700" s="53">
        <f t="shared" si="14"/>
        <v>0</v>
      </c>
      <c r="J700" s="12"/>
      <c r="K700" s="1"/>
      <c r="L700" s="1"/>
      <c r="M700" s="1"/>
      <c r="N700" s="1"/>
      <c r="O700" s="1"/>
      <c r="P700" s="1"/>
      <c r="Q700" s="1"/>
      <c r="R700" s="1"/>
      <c r="S700" s="1"/>
      <c r="T700" s="1"/>
      <c r="U700" s="1"/>
      <c r="V700" s="1"/>
      <c r="W700" s="1"/>
      <c r="X700" s="1"/>
      <c r="Y700" s="1"/>
      <c r="Z700" s="1"/>
    </row>
    <row r="701">
      <c r="A701" s="1"/>
      <c r="B701" s="1"/>
      <c r="C701" s="54" t="str">
        <f>IFERROR(__xludf.DUMMYFUNCTION("""COMPUTED_VALUE"""),"WSI EMISSOR DE IR SIMPLES C/FEEDBACK")</f>
        <v>WSI EMISSOR DE IR SIMPLES C/FEEDBACK</v>
      </c>
      <c r="D701" s="55" t="str">
        <f>IFERROR(__xludf.DUMMYFUNCTION("""COMPUTED_VALUE"""),"WAVE")</f>
        <v>WAVE</v>
      </c>
      <c r="E701" s="56">
        <v>0.0</v>
      </c>
      <c r="F701" s="57">
        <v>0.0</v>
      </c>
      <c r="G701" s="58">
        <f t="shared" si="18"/>
        <v>0</v>
      </c>
      <c r="H701" s="57">
        <f>IFERROR(__xludf.DUMMYFUNCTION("""COMPUTED_VALUE"""),89.0)</f>
        <v>89</v>
      </c>
      <c r="I701" s="59">
        <f t="shared" si="14"/>
        <v>0</v>
      </c>
      <c r="J701" s="12"/>
      <c r="K701" s="1"/>
      <c r="L701" s="1"/>
      <c r="M701" s="1"/>
      <c r="N701" s="1"/>
      <c r="O701" s="1"/>
      <c r="P701" s="1"/>
      <c r="Q701" s="1"/>
      <c r="R701" s="1"/>
      <c r="S701" s="1"/>
      <c r="T701" s="1"/>
      <c r="U701" s="1"/>
      <c r="V701" s="1"/>
      <c r="W701" s="1"/>
      <c r="X701" s="1"/>
      <c r="Y701" s="1"/>
      <c r="Z701" s="1"/>
    </row>
    <row r="702">
      <c r="A702" s="1"/>
      <c r="B702" s="1"/>
      <c r="C702" s="48" t="str">
        <f>IFERROR(__xludf.DUMMYFUNCTION("""COMPUTED_VALUE"""),"WDI EMISSOR DE IR DUPLO S/FEEDBACK")</f>
        <v>WDI EMISSOR DE IR DUPLO S/FEEDBACK</v>
      </c>
      <c r="D702" s="49" t="str">
        <f>IFERROR(__xludf.DUMMYFUNCTION("""COMPUTED_VALUE"""),"WAVE")</f>
        <v>WAVE</v>
      </c>
      <c r="E702" s="50">
        <v>0.0</v>
      </c>
      <c r="F702" s="51">
        <v>0.0</v>
      </c>
      <c r="G702" s="52">
        <f t="shared" si="18"/>
        <v>0</v>
      </c>
      <c r="H702" s="51">
        <f>IFERROR(__xludf.DUMMYFUNCTION("""COMPUTED_VALUE"""),110.0)</f>
        <v>110</v>
      </c>
      <c r="I702" s="53">
        <f t="shared" si="14"/>
        <v>0</v>
      </c>
      <c r="J702" s="12"/>
      <c r="K702" s="1"/>
      <c r="L702" s="1"/>
      <c r="M702" s="1"/>
      <c r="N702" s="1"/>
      <c r="O702" s="1"/>
      <c r="P702" s="1"/>
      <c r="Q702" s="1"/>
      <c r="R702" s="1"/>
      <c r="S702" s="1"/>
      <c r="T702" s="1"/>
      <c r="U702" s="1"/>
      <c r="V702" s="1"/>
      <c r="W702" s="1"/>
      <c r="X702" s="1"/>
      <c r="Y702" s="1"/>
      <c r="Z702" s="1"/>
    </row>
    <row r="703">
      <c r="A703" s="1"/>
      <c r="B703" s="1"/>
      <c r="C703" s="54" t="str">
        <f>IFERROR(__xludf.DUMMYFUNCTION("""COMPUTED_VALUE"""),"SERRA CIRCULAR  CORTE DE CAIXAS")</f>
        <v>SERRA CIRCULAR  CORTE DE CAIXAS</v>
      </c>
      <c r="D703" s="55" t="str">
        <f>IFERROR(__xludf.DUMMYFUNCTION("""COMPUTED_VALUE"""),"WAVE")</f>
        <v>WAVE</v>
      </c>
      <c r="E703" s="56">
        <v>0.0</v>
      </c>
      <c r="F703" s="57">
        <v>0.0</v>
      </c>
      <c r="G703" s="58">
        <f t="shared" si="18"/>
        <v>0</v>
      </c>
      <c r="H703" s="57">
        <f>IFERROR(__xludf.DUMMYFUNCTION("""COMPUTED_VALUE"""),2090.0)</f>
        <v>2090</v>
      </c>
      <c r="I703" s="59">
        <f t="shared" si="14"/>
        <v>0</v>
      </c>
      <c r="J703" s="12"/>
      <c r="K703" s="1"/>
      <c r="L703" s="1"/>
      <c r="M703" s="1"/>
      <c r="N703" s="1"/>
      <c r="O703" s="1"/>
      <c r="P703" s="1"/>
      <c r="Q703" s="1"/>
      <c r="R703" s="1"/>
      <c r="S703" s="1"/>
      <c r="T703" s="1"/>
      <c r="U703" s="1"/>
      <c r="V703" s="1"/>
      <c r="W703" s="1"/>
      <c r="X703" s="1"/>
      <c r="Y703" s="1"/>
      <c r="Z703" s="1"/>
    </row>
    <row r="704">
      <c r="A704" s="1"/>
      <c r="B704" s="1"/>
      <c r="C704" s="48" t="str">
        <f>IFERROR(__xludf.DUMMYFUNCTION("""COMPUTED_VALUE"""),"53-210 ALICATE DESENCAPADOR")</f>
        <v>53-210 ALICATE DESENCAPADOR</v>
      </c>
      <c r="D704" s="49" t="str">
        <f>IFERROR(__xludf.DUMMYFUNCTION("""COMPUTED_VALUE"""),"WAVE")</f>
        <v>WAVE</v>
      </c>
      <c r="E704" s="50">
        <v>0.0</v>
      </c>
      <c r="F704" s="51">
        <v>0.0</v>
      </c>
      <c r="G704" s="52">
        <f t="shared" si="18"/>
        <v>0</v>
      </c>
      <c r="H704" s="51">
        <f>IFERROR(__xludf.DUMMYFUNCTION("""COMPUTED_VALUE"""),1087.0)</f>
        <v>1087</v>
      </c>
      <c r="I704" s="53">
        <f t="shared" si="14"/>
        <v>0</v>
      </c>
      <c r="J704" s="12"/>
      <c r="K704" s="1"/>
      <c r="L704" s="1"/>
      <c r="M704" s="1"/>
      <c r="N704" s="1"/>
      <c r="O704" s="1"/>
      <c r="P704" s="1"/>
      <c r="Q704" s="1"/>
      <c r="R704" s="1"/>
      <c r="S704" s="1"/>
      <c r="T704" s="1"/>
      <c r="U704" s="1"/>
      <c r="V704" s="1"/>
      <c r="W704" s="1"/>
      <c r="X704" s="1"/>
      <c r="Y704" s="1"/>
      <c r="Z704" s="1"/>
    </row>
    <row r="705">
      <c r="A705" s="1"/>
      <c r="B705" s="1"/>
      <c r="C705" s="54" t="str">
        <f>IFERROR(__xludf.DUMMYFUNCTION("""COMPUTED_VALUE"""),"CABO CCA CAIXA DE SOM 2x1.5 COBRE COM ALUMÍNIO (1 METRO)")</f>
        <v>CABO CCA CAIXA DE SOM 2x1.5 COBRE COM ALUMÍNIO (1 METRO)</v>
      </c>
      <c r="D705" s="55" t="str">
        <f>IFERROR(__xludf.DUMMYFUNCTION("""COMPUTED_VALUE"""),"WAVE")</f>
        <v>WAVE</v>
      </c>
      <c r="E705" s="56">
        <v>0.0</v>
      </c>
      <c r="F705" s="57">
        <v>0.0</v>
      </c>
      <c r="G705" s="58">
        <f t="shared" si="18"/>
        <v>0</v>
      </c>
      <c r="H705" s="57">
        <f>IFERROR(__xludf.DUMMYFUNCTION("""COMPUTED_VALUE"""),5.6)</f>
        <v>5.6</v>
      </c>
      <c r="I705" s="59">
        <f t="shared" si="14"/>
        <v>0</v>
      </c>
      <c r="J705" s="12"/>
      <c r="K705" s="1"/>
      <c r="L705" s="1"/>
      <c r="M705" s="1"/>
      <c r="N705" s="1"/>
      <c r="O705" s="1"/>
      <c r="P705" s="1"/>
      <c r="Q705" s="1"/>
      <c r="R705" s="1"/>
      <c r="S705" s="1"/>
      <c r="T705" s="1"/>
      <c r="U705" s="1"/>
      <c r="V705" s="1"/>
      <c r="W705" s="1"/>
      <c r="X705" s="1"/>
      <c r="Y705" s="1"/>
      <c r="Z705" s="1"/>
    </row>
    <row r="706">
      <c r="A706" s="1"/>
      <c r="B706" s="1"/>
      <c r="C706" s="48" t="str">
        <f>IFERROR(__xludf.DUMMYFUNCTION("""COMPUTED_VALUE"""),"CABO CCA CAIXA DE SOM 2x2.5 COBRE COM ALUMÍNIO (1 METRO)")</f>
        <v>CABO CCA CAIXA DE SOM 2x2.5 COBRE COM ALUMÍNIO (1 METRO)</v>
      </c>
      <c r="D706" s="49" t="str">
        <f>IFERROR(__xludf.DUMMYFUNCTION("""COMPUTED_VALUE"""),"WAVE")</f>
        <v>WAVE</v>
      </c>
      <c r="E706" s="50">
        <v>0.0</v>
      </c>
      <c r="F706" s="51">
        <v>0.0</v>
      </c>
      <c r="G706" s="52">
        <f t="shared" si="18"/>
        <v>0</v>
      </c>
      <c r="H706" s="51">
        <f>IFERROR(__xludf.DUMMYFUNCTION("""COMPUTED_VALUE"""),9.65)</f>
        <v>9.65</v>
      </c>
      <c r="I706" s="53">
        <f t="shared" si="14"/>
        <v>0</v>
      </c>
      <c r="J706" s="12"/>
      <c r="K706" s="1"/>
      <c r="L706" s="1"/>
      <c r="M706" s="1"/>
      <c r="N706" s="1"/>
      <c r="O706" s="1"/>
      <c r="P706" s="1"/>
      <c r="Q706" s="1"/>
      <c r="R706" s="1"/>
      <c r="S706" s="1"/>
      <c r="T706" s="1"/>
      <c r="U706" s="1"/>
      <c r="V706" s="1"/>
      <c r="W706" s="1"/>
      <c r="X706" s="1"/>
      <c r="Y706" s="1"/>
      <c r="Z706" s="1"/>
    </row>
    <row r="707">
      <c r="A707" s="1"/>
      <c r="B707" s="1"/>
      <c r="C707" s="54" t="str">
        <f>IFERROR(__xludf.DUMMYFUNCTION("""COMPUTED_VALUE"""),"CABO DE CAIXA DE SOM PRIVILEGE 2X2MM PURO COBRE BLINDAGEM DE NYLON (1 METRO)")</f>
        <v>CABO DE CAIXA DE SOM PRIVILEGE 2X2MM PURO COBRE BLINDAGEM DE NYLON (1 METRO)</v>
      </c>
      <c r="D707" s="55" t="str">
        <f>IFERROR(__xludf.DUMMYFUNCTION("""COMPUTED_VALUE"""),"WAVE")</f>
        <v>WAVE</v>
      </c>
      <c r="E707" s="56">
        <v>0.0</v>
      </c>
      <c r="F707" s="57">
        <v>0.0</v>
      </c>
      <c r="G707" s="58">
        <f t="shared" si="18"/>
        <v>0</v>
      </c>
      <c r="H707" s="57">
        <f>IFERROR(__xludf.DUMMYFUNCTION("""COMPUTED_VALUE"""),23.0)</f>
        <v>23</v>
      </c>
      <c r="I707" s="59">
        <f t="shared" si="14"/>
        <v>0</v>
      </c>
      <c r="J707" s="12"/>
      <c r="K707" s="1"/>
      <c r="L707" s="1"/>
      <c r="M707" s="1"/>
      <c r="N707" s="1"/>
      <c r="O707" s="1"/>
      <c r="P707" s="1"/>
      <c r="Q707" s="1"/>
      <c r="R707" s="1"/>
      <c r="S707" s="1"/>
      <c r="T707" s="1"/>
      <c r="U707" s="1"/>
      <c r="V707" s="1"/>
      <c r="W707" s="1"/>
      <c r="X707" s="1"/>
      <c r="Y707" s="1"/>
      <c r="Z707" s="1"/>
    </row>
    <row r="708">
      <c r="A708" s="1"/>
      <c r="B708" s="1"/>
      <c r="C708" s="48" t="str">
        <f>IFERROR(__xludf.DUMMYFUNCTION("""COMPUTED_VALUE"""),"CABO PARA AUTOMAÇÃO KNX (1 METRO)")</f>
        <v>CABO PARA AUTOMAÇÃO KNX (1 METRO)</v>
      </c>
      <c r="D708" s="49" t="str">
        <f>IFERROR(__xludf.DUMMYFUNCTION("""COMPUTED_VALUE"""),"WAVE")</f>
        <v>WAVE</v>
      </c>
      <c r="E708" s="50">
        <v>0.0</v>
      </c>
      <c r="F708" s="51">
        <v>0.0</v>
      </c>
      <c r="G708" s="52">
        <f t="shared" si="18"/>
        <v>0</v>
      </c>
      <c r="H708" s="51">
        <f>IFERROR(__xludf.DUMMYFUNCTION("""COMPUTED_VALUE"""),14.5)</f>
        <v>14.5</v>
      </c>
      <c r="I708" s="53">
        <f t="shared" si="14"/>
        <v>0</v>
      </c>
      <c r="J708" s="12"/>
      <c r="K708" s="1"/>
      <c r="L708" s="1"/>
      <c r="M708" s="1"/>
      <c r="N708" s="1"/>
      <c r="O708" s="1"/>
      <c r="P708" s="1"/>
      <c r="Q708" s="1"/>
      <c r="R708" s="1"/>
      <c r="S708" s="1"/>
      <c r="T708" s="1"/>
      <c r="U708" s="1"/>
      <c r="V708" s="1"/>
      <c r="W708" s="1"/>
      <c r="X708" s="1"/>
      <c r="Y708" s="1"/>
      <c r="Z708" s="1"/>
    </row>
    <row r="709">
      <c r="A709" s="1"/>
      <c r="B709" s="1"/>
      <c r="C709" s="54" t="str">
        <f>IFERROR(__xludf.DUMMYFUNCTION("""COMPUTED_VALUE"""),"CABO PARA AUTOMAÇÃO AUTONET (1 METRO)")</f>
        <v>CABO PARA AUTOMAÇÃO AUTONET (1 METRO)</v>
      </c>
      <c r="D709" s="55" t="str">
        <f>IFERROR(__xludf.DUMMYFUNCTION("""COMPUTED_VALUE"""),"WAVE")</f>
        <v>WAVE</v>
      </c>
      <c r="E709" s="56">
        <v>0.0</v>
      </c>
      <c r="F709" s="57">
        <v>0.0</v>
      </c>
      <c r="G709" s="58">
        <f t="shared" si="18"/>
        <v>0</v>
      </c>
      <c r="H709" s="57">
        <f>IFERROR(__xludf.DUMMYFUNCTION("""COMPUTED_VALUE"""),13.1)</f>
        <v>13.1</v>
      </c>
      <c r="I709" s="59">
        <f t="shared" si="14"/>
        <v>0</v>
      </c>
      <c r="J709" s="12"/>
      <c r="K709" s="1"/>
      <c r="L709" s="1"/>
      <c r="M709" s="1"/>
      <c r="N709" s="1"/>
      <c r="O709" s="1"/>
      <c r="P709" s="1"/>
      <c r="Q709" s="1"/>
      <c r="R709" s="1"/>
      <c r="S709" s="1"/>
      <c r="T709" s="1"/>
      <c r="U709" s="1"/>
      <c r="V709" s="1"/>
      <c r="W709" s="1"/>
      <c r="X709" s="1"/>
      <c r="Y709" s="1"/>
      <c r="Z709" s="1"/>
    </row>
    <row r="710">
      <c r="A710" s="1"/>
      <c r="B710" s="1"/>
      <c r="C710" s="48" t="str">
        <f>IFERROR(__xludf.DUMMYFUNCTION("""COMPUTED_VALUE"""),"CABO ACTION 2X1,5MM (1 METRO)")</f>
        <v>CABO ACTION 2X1,5MM (1 METRO)</v>
      </c>
      <c r="D710" s="49" t="str">
        <f>IFERROR(__xludf.DUMMYFUNCTION("""COMPUTED_VALUE"""),"WAVE")</f>
        <v>WAVE</v>
      </c>
      <c r="E710" s="50">
        <v>0.0</v>
      </c>
      <c r="F710" s="51">
        <v>0.0</v>
      </c>
      <c r="G710" s="52">
        <f t="shared" si="18"/>
        <v>0</v>
      </c>
      <c r="H710" s="51">
        <f>IFERROR(__xludf.DUMMYFUNCTION("""COMPUTED_VALUE"""),12.2)</f>
        <v>12.2</v>
      </c>
      <c r="I710" s="53">
        <f t="shared" si="14"/>
        <v>0</v>
      </c>
      <c r="J710" s="12"/>
      <c r="K710" s="1"/>
      <c r="L710" s="1"/>
      <c r="M710" s="1"/>
      <c r="N710" s="1"/>
      <c r="O710" s="1"/>
      <c r="P710" s="1"/>
      <c r="Q710" s="1"/>
      <c r="R710" s="1"/>
      <c r="S710" s="1"/>
      <c r="T710" s="1"/>
      <c r="U710" s="1"/>
      <c r="V710" s="1"/>
      <c r="W710" s="1"/>
      <c r="X710" s="1"/>
      <c r="Y710" s="1"/>
      <c r="Z710" s="1"/>
    </row>
    <row r="711">
      <c r="A711" s="1"/>
      <c r="B711" s="1"/>
      <c r="C711" s="54" t="str">
        <f>IFERROR(__xludf.DUMMYFUNCTION("""COMPUTED_VALUE"""),"CABO PLUS 2X1,5MM (1 METRO)")</f>
        <v>CABO PLUS 2X1,5MM (1 METRO)</v>
      </c>
      <c r="D711" s="55" t="str">
        <f>IFERROR(__xludf.DUMMYFUNCTION("""COMPUTED_VALUE"""),"WAVE")</f>
        <v>WAVE</v>
      </c>
      <c r="E711" s="56">
        <v>0.0</v>
      </c>
      <c r="F711" s="57">
        <v>0.0</v>
      </c>
      <c r="G711" s="58">
        <f t="shared" si="18"/>
        <v>0</v>
      </c>
      <c r="H711" s="57">
        <f>IFERROR(__xludf.DUMMYFUNCTION("""COMPUTED_VALUE"""),9.45)</f>
        <v>9.45</v>
      </c>
      <c r="I711" s="59">
        <f t="shared" si="14"/>
        <v>0</v>
      </c>
      <c r="J711" s="12"/>
      <c r="K711" s="1"/>
      <c r="L711" s="1"/>
      <c r="M711" s="1"/>
      <c r="N711" s="1"/>
      <c r="O711" s="1"/>
      <c r="P711" s="1"/>
      <c r="Q711" s="1"/>
      <c r="R711" s="1"/>
      <c r="S711" s="1"/>
      <c r="T711" s="1"/>
      <c r="U711" s="1"/>
      <c r="V711" s="1"/>
      <c r="W711" s="1"/>
      <c r="X711" s="1"/>
      <c r="Y711" s="1"/>
      <c r="Z711" s="1"/>
    </row>
    <row r="712">
      <c r="A712" s="1"/>
      <c r="B712" s="1"/>
      <c r="C712" s="48" t="str">
        <f>IFERROR(__xludf.DUMMYFUNCTION("""COMPUTED_VALUE"""),"CABO PLUS 2X2,5MM (1 METRO)")</f>
        <v>CABO PLUS 2X2,5MM (1 METRO)</v>
      </c>
      <c r="D712" s="49" t="str">
        <f>IFERROR(__xludf.DUMMYFUNCTION("""COMPUTED_VALUE"""),"WAVE")</f>
        <v>WAVE</v>
      </c>
      <c r="E712" s="50">
        <v>0.0</v>
      </c>
      <c r="F712" s="51">
        <v>0.0</v>
      </c>
      <c r="G712" s="52">
        <f t="shared" si="18"/>
        <v>0</v>
      </c>
      <c r="H712" s="51">
        <f>IFERROR(__xludf.DUMMYFUNCTION("""COMPUTED_VALUE"""),12.2)</f>
        <v>12.2</v>
      </c>
      <c r="I712" s="53">
        <f t="shared" si="14"/>
        <v>0</v>
      </c>
      <c r="J712" s="12"/>
      <c r="K712" s="1"/>
      <c r="L712" s="1"/>
      <c r="M712" s="1"/>
      <c r="N712" s="1"/>
      <c r="O712" s="1"/>
      <c r="P712" s="1"/>
      <c r="Q712" s="1"/>
      <c r="R712" s="1"/>
      <c r="S712" s="1"/>
      <c r="T712" s="1"/>
      <c r="U712" s="1"/>
      <c r="V712" s="1"/>
      <c r="W712" s="1"/>
      <c r="X712" s="1"/>
      <c r="Y712" s="1"/>
      <c r="Z712" s="1"/>
    </row>
    <row r="713">
      <c r="A713" s="1"/>
      <c r="B713" s="1"/>
      <c r="C713" s="54" t="str">
        <f>IFERROR(__xludf.DUMMYFUNCTION("""COMPUTED_VALUE"""),"CABO MANGA 4X22AWG (1 METRO)")</f>
        <v>CABO MANGA 4X22AWG (1 METRO)</v>
      </c>
      <c r="D713" s="55" t="str">
        <f>IFERROR(__xludf.DUMMYFUNCTION("""COMPUTED_VALUE"""),"WAVE")</f>
        <v>WAVE</v>
      </c>
      <c r="E713" s="56">
        <v>0.0</v>
      </c>
      <c r="F713" s="57">
        <v>0.0</v>
      </c>
      <c r="G713" s="58">
        <f t="shared" si="18"/>
        <v>0</v>
      </c>
      <c r="H713" s="57">
        <f>IFERROR(__xludf.DUMMYFUNCTION("""COMPUTED_VALUE"""),8.8)</f>
        <v>8.8</v>
      </c>
      <c r="I713" s="59">
        <f t="shared" si="14"/>
        <v>0</v>
      </c>
      <c r="J713" s="12"/>
      <c r="K713" s="1"/>
      <c r="L713" s="1"/>
      <c r="M713" s="1"/>
      <c r="N713" s="1"/>
      <c r="O713" s="1"/>
      <c r="P713" s="1"/>
      <c r="Q713" s="1"/>
      <c r="R713" s="1"/>
      <c r="S713" s="1"/>
      <c r="T713" s="1"/>
      <c r="U713" s="1"/>
      <c r="V713" s="1"/>
      <c r="W713" s="1"/>
      <c r="X713" s="1"/>
      <c r="Y713" s="1"/>
      <c r="Z713" s="1"/>
    </row>
    <row r="714">
      <c r="A714" s="1"/>
      <c r="B714" s="1"/>
      <c r="C714" s="48" t="str">
        <f>IFERROR(__xludf.DUMMYFUNCTION("""COMPUTED_VALUE"""),"CABO FAST CAT 6e (1 METRO)")</f>
        <v>CABO FAST CAT 6e (1 METRO)</v>
      </c>
      <c r="D714" s="49" t="str">
        <f>IFERROR(__xludf.DUMMYFUNCTION("""COMPUTED_VALUE"""),"WAVE")</f>
        <v>WAVE</v>
      </c>
      <c r="E714" s="50">
        <v>0.0</v>
      </c>
      <c r="F714" s="51">
        <v>0.0</v>
      </c>
      <c r="G714" s="52">
        <f t="shared" si="18"/>
        <v>0</v>
      </c>
      <c r="H714" s="51">
        <f>IFERROR(__xludf.DUMMYFUNCTION("""COMPUTED_VALUE"""),7.95)</f>
        <v>7.95</v>
      </c>
      <c r="I714" s="53">
        <f t="shared" si="14"/>
        <v>0</v>
      </c>
      <c r="J714" s="12"/>
      <c r="K714" s="1"/>
      <c r="L714" s="1"/>
      <c r="M714" s="1"/>
      <c r="N714" s="1"/>
      <c r="O714" s="1"/>
      <c r="P714" s="1"/>
      <c r="Q714" s="1"/>
      <c r="R714" s="1"/>
      <c r="S714" s="1"/>
      <c r="T714" s="1"/>
      <c r="U714" s="1"/>
      <c r="V714" s="1"/>
      <c r="W714" s="1"/>
      <c r="X714" s="1"/>
      <c r="Y714" s="1"/>
      <c r="Z714" s="1"/>
    </row>
    <row r="715">
      <c r="A715" s="1"/>
      <c r="B715" s="1"/>
      <c r="C715" s="54" t="str">
        <f>IFERROR(__xludf.DUMMYFUNCTION("""COMPUTED_VALUE"""),"CABO MARINE 2X 2MM (1 METRO)")</f>
        <v>CABO MARINE 2X 2MM (1 METRO)</v>
      </c>
      <c r="D715" s="55" t="str">
        <f>IFERROR(__xludf.DUMMYFUNCTION("""COMPUTED_VALUE"""),"WAVE")</f>
        <v>WAVE</v>
      </c>
      <c r="E715" s="56">
        <v>0.0</v>
      </c>
      <c r="F715" s="57">
        <v>0.0</v>
      </c>
      <c r="G715" s="58">
        <f t="shared" si="18"/>
        <v>0</v>
      </c>
      <c r="H715" s="57">
        <f>IFERROR(__xludf.DUMMYFUNCTION("""COMPUTED_VALUE"""),14.5)</f>
        <v>14.5</v>
      </c>
      <c r="I715" s="59">
        <f t="shared" si="14"/>
        <v>0</v>
      </c>
      <c r="J715" s="12"/>
      <c r="K715" s="1"/>
      <c r="L715" s="1"/>
      <c r="M715" s="1"/>
      <c r="N715" s="1"/>
      <c r="O715" s="1"/>
      <c r="P715" s="1"/>
      <c r="Q715" s="1"/>
      <c r="R715" s="1"/>
      <c r="S715" s="1"/>
      <c r="T715" s="1"/>
      <c r="U715" s="1"/>
      <c r="V715" s="1"/>
      <c r="W715" s="1"/>
      <c r="X715" s="1"/>
      <c r="Y715" s="1"/>
      <c r="Z715" s="1"/>
    </row>
    <row r="716">
      <c r="A716" s="1"/>
      <c r="B716" s="1"/>
      <c r="C716" s="48" t="str">
        <f>IFERROR(__xludf.DUMMYFUNCTION("""COMPUTED_VALUE"""),"CABO MARINE 2X4MM (1 METRO)")</f>
        <v>CABO MARINE 2X4MM (1 METRO)</v>
      </c>
      <c r="D716" s="49" t="str">
        <f>IFERROR(__xludf.DUMMYFUNCTION("""COMPUTED_VALUE"""),"WAVE")</f>
        <v>WAVE</v>
      </c>
      <c r="E716" s="50">
        <v>0.0</v>
      </c>
      <c r="F716" s="51">
        <v>0.0</v>
      </c>
      <c r="G716" s="52">
        <f t="shared" si="18"/>
        <v>0</v>
      </c>
      <c r="H716" s="51">
        <f>IFERROR(__xludf.DUMMYFUNCTION("""COMPUTED_VALUE"""),31.0)</f>
        <v>31</v>
      </c>
      <c r="I716" s="53">
        <f t="shared" si="14"/>
        <v>0</v>
      </c>
      <c r="J716" s="12"/>
      <c r="K716" s="1"/>
      <c r="L716" s="1"/>
      <c r="M716" s="1"/>
      <c r="N716" s="1"/>
      <c r="O716" s="1"/>
      <c r="P716" s="1"/>
      <c r="Q716" s="1"/>
      <c r="R716" s="1"/>
      <c r="S716" s="1"/>
      <c r="T716" s="1"/>
      <c r="U716" s="1"/>
      <c r="V716" s="1"/>
      <c r="W716" s="1"/>
      <c r="X716" s="1"/>
      <c r="Y716" s="1"/>
      <c r="Z716" s="1"/>
    </row>
    <row r="717">
      <c r="A717" s="1"/>
      <c r="B717" s="1"/>
      <c r="C717" s="54" t="str">
        <f>IFERROR(__xludf.DUMMYFUNCTION("""COMPUTED_VALUE"""),"CABO RCA 2X0,35 (1 METRO)")</f>
        <v>CABO RCA 2X0,35 (1 METRO)</v>
      </c>
      <c r="D717" s="55" t="str">
        <f>IFERROR(__xludf.DUMMYFUNCTION("""COMPUTED_VALUE"""),"WAVE")</f>
        <v>WAVE</v>
      </c>
      <c r="E717" s="56">
        <v>0.0</v>
      </c>
      <c r="F717" s="57">
        <v>0.0</v>
      </c>
      <c r="G717" s="58">
        <f t="shared" si="18"/>
        <v>0</v>
      </c>
      <c r="H717" s="57">
        <f>IFERROR(__xludf.DUMMYFUNCTION("""COMPUTED_VALUE"""),16.6)</f>
        <v>16.6</v>
      </c>
      <c r="I717" s="59">
        <f t="shared" si="14"/>
        <v>0</v>
      </c>
      <c r="J717" s="12"/>
      <c r="K717" s="1"/>
      <c r="L717" s="1"/>
      <c r="M717" s="1"/>
      <c r="N717" s="1"/>
      <c r="O717" s="1"/>
      <c r="P717" s="1"/>
      <c r="Q717" s="1"/>
      <c r="R717" s="1"/>
      <c r="S717" s="1"/>
      <c r="T717" s="1"/>
      <c r="U717" s="1"/>
      <c r="V717" s="1"/>
      <c r="W717" s="1"/>
      <c r="X717" s="1"/>
      <c r="Y717" s="1"/>
      <c r="Z717" s="1"/>
    </row>
    <row r="718">
      <c r="A718" s="1"/>
      <c r="B718" s="1"/>
      <c r="C718" s="48" t="str">
        <f>IFERROR(__xludf.DUMMYFUNCTION("""COMPUTED_VALUE"""),"CABO PHILIPS 2XO,20BT (1 METRO)")</f>
        <v>CABO PHILIPS 2XO,20BT (1 METRO)</v>
      </c>
      <c r="D718" s="49" t="str">
        <f>IFERROR(__xludf.DUMMYFUNCTION("""COMPUTED_VALUE"""),"WAVE")</f>
        <v>WAVE</v>
      </c>
      <c r="E718" s="50">
        <v>0.0</v>
      </c>
      <c r="F718" s="51">
        <v>0.0</v>
      </c>
      <c r="G718" s="52">
        <f t="shared" si="18"/>
        <v>0</v>
      </c>
      <c r="H718" s="51">
        <f>IFERROR(__xludf.DUMMYFUNCTION("""COMPUTED_VALUE"""),8.2)</f>
        <v>8.2</v>
      </c>
      <c r="I718" s="53">
        <f t="shared" si="14"/>
        <v>0</v>
      </c>
      <c r="J718" s="12"/>
      <c r="K718" s="1"/>
      <c r="L718" s="1"/>
      <c r="M718" s="1"/>
      <c r="N718" s="1"/>
      <c r="O718" s="1"/>
      <c r="P718" s="1"/>
      <c r="Q718" s="1"/>
      <c r="R718" s="1"/>
      <c r="S718" s="1"/>
      <c r="T718" s="1"/>
      <c r="U718" s="1"/>
      <c r="V718" s="1"/>
      <c r="W718" s="1"/>
      <c r="X718" s="1"/>
      <c r="Y718" s="1"/>
      <c r="Z718" s="1"/>
    </row>
    <row r="719">
      <c r="A719" s="1"/>
      <c r="B719" s="1"/>
      <c r="C719" s="54" t="str">
        <f>IFERROR(__xludf.DUMMYFUNCTION("""COMPUTED_VALUE"""),"CABO PHILIPS 2XO,20BT SN-CR (1 METRO)")</f>
        <v>CABO PHILIPS 2XO,20BT SN-CR (1 METRO)</v>
      </c>
      <c r="D719" s="55" t="str">
        <f>IFERROR(__xludf.DUMMYFUNCTION("""COMPUTED_VALUE"""),"WAVE")</f>
        <v>WAVE</v>
      </c>
      <c r="E719" s="56">
        <v>0.0</v>
      </c>
      <c r="F719" s="57">
        <v>0.0</v>
      </c>
      <c r="G719" s="58">
        <f t="shared" si="18"/>
        <v>0</v>
      </c>
      <c r="H719" s="57">
        <f>IFERROR(__xludf.DUMMYFUNCTION("""COMPUTED_VALUE"""),12.2)</f>
        <v>12.2</v>
      </c>
      <c r="I719" s="59">
        <f t="shared" si="14"/>
        <v>0</v>
      </c>
      <c r="J719" s="12"/>
      <c r="K719" s="1"/>
      <c r="L719" s="1"/>
      <c r="M719" s="1"/>
      <c r="N719" s="1"/>
      <c r="O719" s="1"/>
      <c r="P719" s="1"/>
      <c r="Q719" s="1"/>
      <c r="R719" s="1"/>
      <c r="S719" s="1"/>
      <c r="T719" s="1"/>
      <c r="U719" s="1"/>
      <c r="V719" s="1"/>
      <c r="W719" s="1"/>
      <c r="X719" s="1"/>
      <c r="Y719" s="1"/>
      <c r="Z719" s="1"/>
    </row>
    <row r="720">
      <c r="A720" s="1"/>
      <c r="B720" s="1"/>
      <c r="C720" s="48" t="str">
        <f>IFERROR(__xludf.DUMMYFUNCTION("""COMPUTED_VALUE"""),"CABO COAXIAL SUBWOOFER 50 OHMS (1 METRO)")</f>
        <v>CABO COAXIAL SUBWOOFER 50 OHMS (1 METRO)</v>
      </c>
      <c r="D720" s="49" t="str">
        <f>IFERROR(__xludf.DUMMYFUNCTION("""COMPUTED_VALUE"""),"WAVE")</f>
        <v>WAVE</v>
      </c>
      <c r="E720" s="50">
        <v>0.0</v>
      </c>
      <c r="F720" s="51">
        <v>0.0</v>
      </c>
      <c r="G720" s="52">
        <f t="shared" si="18"/>
        <v>0</v>
      </c>
      <c r="H720" s="51">
        <f>IFERROR(__xludf.DUMMYFUNCTION("""COMPUTED_VALUE"""),11.2)</f>
        <v>11.2</v>
      </c>
      <c r="I720" s="53">
        <f t="shared" si="14"/>
        <v>0</v>
      </c>
      <c r="J720" s="12"/>
      <c r="K720" s="1"/>
      <c r="L720" s="1"/>
      <c r="M720" s="1"/>
      <c r="N720" s="1"/>
      <c r="O720" s="1"/>
      <c r="P720" s="1"/>
      <c r="Q720" s="1"/>
      <c r="R720" s="1"/>
      <c r="S720" s="1"/>
      <c r="T720" s="1"/>
      <c r="U720" s="1"/>
      <c r="V720" s="1"/>
      <c r="W720" s="1"/>
      <c r="X720" s="1"/>
      <c r="Y720" s="1"/>
      <c r="Z720" s="1"/>
    </row>
    <row r="721">
      <c r="A721" s="1"/>
      <c r="B721" s="1"/>
      <c r="C721" s="54" t="str">
        <f>IFERROR(__xludf.DUMMYFUNCTION("""COMPUTED_VALUE"""),"CABO COAXIAL VIDEO COMPOSTO 75 OHMS (1 METRO)")</f>
        <v>CABO COAXIAL VIDEO COMPOSTO 75 OHMS (1 METRO)</v>
      </c>
      <c r="D721" s="55" t="str">
        <f>IFERROR(__xludf.DUMMYFUNCTION("""COMPUTED_VALUE"""),"WAVE")</f>
        <v>WAVE</v>
      </c>
      <c r="E721" s="56">
        <v>0.0</v>
      </c>
      <c r="F721" s="57">
        <v>0.0</v>
      </c>
      <c r="G721" s="58">
        <f t="shared" si="18"/>
        <v>0</v>
      </c>
      <c r="H721" s="57">
        <f>IFERROR(__xludf.DUMMYFUNCTION("""COMPUTED_VALUE"""),11.8)</f>
        <v>11.8</v>
      </c>
      <c r="I721" s="59">
        <f t="shared" si="14"/>
        <v>0</v>
      </c>
      <c r="J721" s="12"/>
      <c r="K721" s="1"/>
      <c r="L721" s="1"/>
      <c r="M721" s="1"/>
      <c r="N721" s="1"/>
      <c r="O721" s="1"/>
      <c r="P721" s="1"/>
      <c r="Q721" s="1"/>
      <c r="R721" s="1"/>
      <c r="S721" s="1"/>
      <c r="T721" s="1"/>
      <c r="U721" s="1"/>
      <c r="V721" s="1"/>
      <c r="W721" s="1"/>
      <c r="X721" s="1"/>
      <c r="Y721" s="1"/>
      <c r="Z721" s="1"/>
    </row>
    <row r="722">
      <c r="A722" s="1"/>
      <c r="B722" s="1"/>
      <c r="C722" s="48" t="str">
        <f>IFERROR(__xludf.DUMMYFUNCTION("""COMPUTED_VALUE"""),"CABO STEREO AUDIO 2X0,30 (1 METRO)")</f>
        <v>CABO STEREO AUDIO 2X0,30 (1 METRO)</v>
      </c>
      <c r="D722" s="49" t="str">
        <f>IFERROR(__xludf.DUMMYFUNCTION("""COMPUTED_VALUE"""),"WAVE")</f>
        <v>WAVE</v>
      </c>
      <c r="E722" s="50">
        <v>0.0</v>
      </c>
      <c r="F722" s="51">
        <v>0.0</v>
      </c>
      <c r="G722" s="52">
        <f t="shared" si="18"/>
        <v>0</v>
      </c>
      <c r="H722" s="51">
        <f>IFERROR(__xludf.DUMMYFUNCTION("""COMPUTED_VALUE"""),9.0)</f>
        <v>9</v>
      </c>
      <c r="I722" s="53">
        <f t="shared" si="14"/>
        <v>0</v>
      </c>
      <c r="J722" s="12"/>
      <c r="K722" s="1"/>
      <c r="L722" s="1"/>
      <c r="M722" s="1"/>
      <c r="N722" s="1"/>
      <c r="O722" s="1"/>
      <c r="P722" s="1"/>
      <c r="Q722" s="1"/>
      <c r="R722" s="1"/>
      <c r="S722" s="1"/>
      <c r="T722" s="1"/>
      <c r="U722" s="1"/>
      <c r="V722" s="1"/>
      <c r="W722" s="1"/>
      <c r="X722" s="1"/>
      <c r="Y722" s="1"/>
      <c r="Z722" s="1"/>
    </row>
    <row r="723">
      <c r="A723" s="1"/>
      <c r="B723" s="1"/>
      <c r="C723" s="54" t="str">
        <f>IFERROR(__xludf.DUMMYFUNCTION("""COMPUTED_VALUE"""),"CABO STEREO AUDIO 2X0,13 (1 METRO)")</f>
        <v>CABO STEREO AUDIO 2X0,13 (1 METRO)</v>
      </c>
      <c r="D723" s="55" t="str">
        <f>IFERROR(__xludf.DUMMYFUNCTION("""COMPUTED_VALUE"""),"WAVE")</f>
        <v>WAVE</v>
      </c>
      <c r="E723" s="56">
        <v>0.0</v>
      </c>
      <c r="F723" s="57">
        <v>0.0</v>
      </c>
      <c r="G723" s="58">
        <f t="shared" si="18"/>
        <v>0</v>
      </c>
      <c r="H723" s="57">
        <f>IFERROR(__xludf.DUMMYFUNCTION("""COMPUTED_VALUE"""),7.4)</f>
        <v>7.4</v>
      </c>
      <c r="I723" s="59">
        <f t="shared" si="14"/>
        <v>0</v>
      </c>
      <c r="J723" s="12"/>
      <c r="K723" s="1"/>
      <c r="L723" s="1"/>
      <c r="M723" s="1"/>
      <c r="N723" s="1"/>
      <c r="O723" s="1"/>
      <c r="P723" s="1"/>
      <c r="Q723" s="1"/>
      <c r="R723" s="1"/>
      <c r="S723" s="1"/>
      <c r="T723" s="1"/>
      <c r="U723" s="1"/>
      <c r="V723" s="1"/>
      <c r="W723" s="1"/>
      <c r="X723" s="1"/>
      <c r="Y723" s="1"/>
      <c r="Z723" s="1"/>
    </row>
    <row r="724">
      <c r="A724" s="1"/>
      <c r="B724" s="1"/>
      <c r="C724" s="48" t="str">
        <f>IFERROR(__xludf.DUMMYFUNCTION("""COMPUTED_VALUE"""),"CABO POWER COBRE NU 1MM PRETO (1 METRO)")</f>
        <v>CABO POWER COBRE NU 1MM PRETO (1 METRO)</v>
      </c>
      <c r="D724" s="49" t="str">
        <f>IFERROR(__xludf.DUMMYFUNCTION("""COMPUTED_VALUE"""),"WAVE")</f>
        <v>WAVE</v>
      </c>
      <c r="E724" s="50">
        <v>0.0</v>
      </c>
      <c r="F724" s="51">
        <v>0.0</v>
      </c>
      <c r="G724" s="52">
        <f t="shared" si="18"/>
        <v>0</v>
      </c>
      <c r="H724" s="51">
        <f>IFERROR(__xludf.DUMMYFUNCTION("""COMPUTED_VALUE"""),3.3)</f>
        <v>3.3</v>
      </c>
      <c r="I724" s="53">
        <f t="shared" si="14"/>
        <v>0</v>
      </c>
      <c r="J724" s="12"/>
      <c r="K724" s="1"/>
      <c r="L724" s="1"/>
      <c r="M724" s="1"/>
      <c r="N724" s="1"/>
      <c r="O724" s="1"/>
      <c r="P724" s="1"/>
      <c r="Q724" s="1"/>
      <c r="R724" s="1"/>
      <c r="S724" s="1"/>
      <c r="T724" s="1"/>
      <c r="U724" s="1"/>
      <c r="V724" s="1"/>
      <c r="W724" s="1"/>
      <c r="X724" s="1"/>
      <c r="Y724" s="1"/>
      <c r="Z724" s="1"/>
    </row>
    <row r="725">
      <c r="A725" s="1"/>
      <c r="B725" s="1"/>
      <c r="C725" s="54" t="str">
        <f>IFERROR(__xludf.DUMMYFUNCTION("""COMPUTED_VALUE"""),"CABO POWER COBRE NU 1MM VERMELHO (1 METRO)")</f>
        <v>CABO POWER COBRE NU 1MM VERMELHO (1 METRO)</v>
      </c>
      <c r="D725" s="55" t="str">
        <f>IFERROR(__xludf.DUMMYFUNCTION("""COMPUTED_VALUE"""),"WAVE")</f>
        <v>WAVE</v>
      </c>
      <c r="E725" s="56">
        <v>0.0</v>
      </c>
      <c r="F725" s="57">
        <v>0.0</v>
      </c>
      <c r="G725" s="58">
        <f t="shared" si="18"/>
        <v>0</v>
      </c>
      <c r="H725" s="57">
        <f>IFERROR(__xludf.DUMMYFUNCTION("""COMPUTED_VALUE"""),3.3)</f>
        <v>3.3</v>
      </c>
      <c r="I725" s="59">
        <f t="shared" si="14"/>
        <v>0</v>
      </c>
      <c r="J725" s="12"/>
      <c r="K725" s="1"/>
      <c r="L725" s="1"/>
      <c r="M725" s="1"/>
      <c r="N725" s="1"/>
      <c r="O725" s="1"/>
      <c r="P725" s="1"/>
      <c r="Q725" s="1"/>
      <c r="R725" s="1"/>
      <c r="S725" s="1"/>
      <c r="T725" s="1"/>
      <c r="U725" s="1"/>
      <c r="V725" s="1"/>
      <c r="W725" s="1"/>
      <c r="X725" s="1"/>
      <c r="Y725" s="1"/>
      <c r="Z725" s="1"/>
    </row>
    <row r="726">
      <c r="A726" s="1"/>
      <c r="B726" s="1"/>
      <c r="C726" s="48" t="str">
        <f>IFERROR(__xludf.DUMMYFUNCTION("""COMPUTED_VALUE"""),"CABO POWER COBRE NU 1,5 MM PRETO (1 METRO)")</f>
        <v>CABO POWER COBRE NU 1,5 MM PRETO (1 METRO)</v>
      </c>
      <c r="D726" s="49" t="str">
        <f>IFERROR(__xludf.DUMMYFUNCTION("""COMPUTED_VALUE"""),"WAVE")</f>
        <v>WAVE</v>
      </c>
      <c r="E726" s="50">
        <v>0.0</v>
      </c>
      <c r="F726" s="51">
        <v>0.0</v>
      </c>
      <c r="G726" s="52">
        <f t="shared" si="18"/>
        <v>0</v>
      </c>
      <c r="H726" s="51">
        <f>IFERROR(__xludf.DUMMYFUNCTION("""COMPUTED_VALUE"""),4.4)</f>
        <v>4.4</v>
      </c>
      <c r="I726" s="53">
        <f t="shared" si="14"/>
        <v>0</v>
      </c>
      <c r="J726" s="12"/>
      <c r="K726" s="1"/>
      <c r="L726" s="1"/>
      <c r="M726" s="1"/>
      <c r="N726" s="1"/>
      <c r="O726" s="1"/>
      <c r="P726" s="1"/>
      <c r="Q726" s="1"/>
      <c r="R726" s="1"/>
      <c r="S726" s="1"/>
      <c r="T726" s="1"/>
      <c r="U726" s="1"/>
      <c r="V726" s="1"/>
      <c r="W726" s="1"/>
      <c r="X726" s="1"/>
      <c r="Y726" s="1"/>
      <c r="Z726" s="1"/>
    </row>
    <row r="727">
      <c r="A727" s="1"/>
      <c r="B727" s="1"/>
      <c r="C727" s="54" t="str">
        <f>IFERROR(__xludf.DUMMYFUNCTION("""COMPUTED_VALUE"""),"CABO POWER COBRE NU 1,5 MM VERMELHO (1 METRO)")</f>
        <v>CABO POWER COBRE NU 1,5 MM VERMELHO (1 METRO)</v>
      </c>
      <c r="D727" s="55" t="str">
        <f>IFERROR(__xludf.DUMMYFUNCTION("""COMPUTED_VALUE"""),"WAVE")</f>
        <v>WAVE</v>
      </c>
      <c r="E727" s="56">
        <v>0.0</v>
      </c>
      <c r="F727" s="57">
        <v>0.0</v>
      </c>
      <c r="G727" s="58">
        <f t="shared" si="18"/>
        <v>0</v>
      </c>
      <c r="H727" s="57">
        <f>IFERROR(__xludf.DUMMYFUNCTION("""COMPUTED_VALUE"""),3.9)</f>
        <v>3.9</v>
      </c>
      <c r="I727" s="59">
        <f t="shared" si="14"/>
        <v>0</v>
      </c>
      <c r="J727" s="12"/>
      <c r="K727" s="1"/>
      <c r="L727" s="1"/>
      <c r="M727" s="1"/>
      <c r="N727" s="1"/>
      <c r="O727" s="1"/>
      <c r="P727" s="1"/>
      <c r="Q727" s="1"/>
      <c r="R727" s="1"/>
      <c r="S727" s="1"/>
      <c r="T727" s="1"/>
      <c r="U727" s="1"/>
      <c r="V727" s="1"/>
      <c r="W727" s="1"/>
      <c r="X727" s="1"/>
      <c r="Y727" s="1"/>
      <c r="Z727" s="1"/>
    </row>
    <row r="728">
      <c r="A728" s="1"/>
      <c r="B728" s="1"/>
      <c r="C728" s="48" t="str">
        <f>IFERROR(__xludf.DUMMYFUNCTION("""COMPUTED_VALUE"""),"CABO POWER COBRE NU 2,5 MM PRETO (1 METRO)")</f>
        <v>CABO POWER COBRE NU 2,5 MM PRETO (1 METRO)</v>
      </c>
      <c r="D728" s="49" t="str">
        <f>IFERROR(__xludf.DUMMYFUNCTION("""COMPUTED_VALUE"""),"WAVE")</f>
        <v>WAVE</v>
      </c>
      <c r="E728" s="50">
        <v>0.0</v>
      </c>
      <c r="F728" s="51">
        <v>0.0</v>
      </c>
      <c r="G728" s="52">
        <f t="shared" si="18"/>
        <v>0</v>
      </c>
      <c r="H728" s="51">
        <f>IFERROR(__xludf.DUMMYFUNCTION("""COMPUTED_VALUE"""),6.3)</f>
        <v>6.3</v>
      </c>
      <c r="I728" s="53">
        <f t="shared" si="14"/>
        <v>0</v>
      </c>
      <c r="J728" s="12"/>
      <c r="K728" s="1"/>
      <c r="L728" s="1"/>
      <c r="M728" s="1"/>
      <c r="N728" s="1"/>
      <c r="O728" s="1"/>
      <c r="P728" s="1"/>
      <c r="Q728" s="1"/>
      <c r="R728" s="1"/>
      <c r="S728" s="1"/>
      <c r="T728" s="1"/>
      <c r="U728" s="1"/>
      <c r="V728" s="1"/>
      <c r="W728" s="1"/>
      <c r="X728" s="1"/>
      <c r="Y728" s="1"/>
      <c r="Z728" s="1"/>
    </row>
    <row r="729">
      <c r="A729" s="1"/>
      <c r="B729" s="1"/>
      <c r="C729" s="54" t="str">
        <f>IFERROR(__xludf.DUMMYFUNCTION("""COMPUTED_VALUE"""),"CABO POWER COBRE NU 2,5 MM BRANCO (1 METRO)")</f>
        <v>CABO POWER COBRE NU 2,5 MM BRANCO (1 METRO)</v>
      </c>
      <c r="D729" s="55" t="str">
        <f>IFERROR(__xludf.DUMMYFUNCTION("""COMPUTED_VALUE"""),"WAVE")</f>
        <v>WAVE</v>
      </c>
      <c r="E729" s="56">
        <v>0.0</v>
      </c>
      <c r="F729" s="57">
        <v>0.0</v>
      </c>
      <c r="G729" s="58">
        <f t="shared" si="18"/>
        <v>0</v>
      </c>
      <c r="H729" s="57">
        <f>IFERROR(__xludf.DUMMYFUNCTION("""COMPUTED_VALUE"""),5.9)</f>
        <v>5.9</v>
      </c>
      <c r="I729" s="59">
        <f t="shared" si="14"/>
        <v>0</v>
      </c>
      <c r="J729" s="12"/>
      <c r="K729" s="1"/>
      <c r="L729" s="1"/>
      <c r="M729" s="1"/>
      <c r="N729" s="1"/>
      <c r="O729" s="1"/>
      <c r="P729" s="1"/>
      <c r="Q729" s="1"/>
      <c r="R729" s="1"/>
      <c r="S729" s="1"/>
      <c r="T729" s="1"/>
      <c r="U729" s="1"/>
      <c r="V729" s="1"/>
      <c r="W729" s="1"/>
      <c r="X729" s="1"/>
      <c r="Y729" s="1"/>
      <c r="Z729" s="1"/>
    </row>
    <row r="730">
      <c r="A730" s="1"/>
      <c r="B730" s="1"/>
      <c r="C730" s="48" t="str">
        <f>IFERROR(__xludf.DUMMYFUNCTION("""COMPUTED_VALUE"""),"CABO POWER COBRE NU 2,5 MM VERMELHO (1 METRO)")</f>
        <v>CABO POWER COBRE NU 2,5 MM VERMELHO (1 METRO)</v>
      </c>
      <c r="D730" s="49" t="str">
        <f>IFERROR(__xludf.DUMMYFUNCTION("""COMPUTED_VALUE"""),"WAVE")</f>
        <v>WAVE</v>
      </c>
      <c r="E730" s="50">
        <v>0.0</v>
      </c>
      <c r="F730" s="51">
        <v>0.0</v>
      </c>
      <c r="G730" s="52">
        <f t="shared" si="18"/>
        <v>0</v>
      </c>
      <c r="H730" s="51">
        <f>IFERROR(__xludf.DUMMYFUNCTION("""COMPUTED_VALUE"""),5.9)</f>
        <v>5.9</v>
      </c>
      <c r="I730" s="53">
        <f t="shared" si="14"/>
        <v>0</v>
      </c>
      <c r="J730" s="12"/>
      <c r="K730" s="1"/>
      <c r="L730" s="1"/>
      <c r="M730" s="1"/>
      <c r="N730" s="1"/>
      <c r="O730" s="1"/>
      <c r="P730" s="1"/>
      <c r="Q730" s="1"/>
      <c r="R730" s="1"/>
      <c r="S730" s="1"/>
      <c r="T730" s="1"/>
      <c r="U730" s="1"/>
      <c r="V730" s="1"/>
      <c r="W730" s="1"/>
      <c r="X730" s="1"/>
      <c r="Y730" s="1"/>
      <c r="Z730" s="1"/>
    </row>
    <row r="731">
      <c r="A731" s="1"/>
      <c r="B731" s="1"/>
      <c r="C731" s="54" t="str">
        <f>IFERROR(__xludf.DUMMYFUNCTION("""COMPUTED_VALUE"""),"CABO POWER COBRE NU 2,5 MM AZUL (1 METRO)")</f>
        <v>CABO POWER COBRE NU 2,5 MM AZUL (1 METRO)</v>
      </c>
      <c r="D731" s="55" t="str">
        <f>IFERROR(__xludf.DUMMYFUNCTION("""COMPUTED_VALUE"""),"WAVE")</f>
        <v>WAVE</v>
      </c>
      <c r="E731" s="56">
        <v>0.0</v>
      </c>
      <c r="F731" s="57">
        <v>0.0</v>
      </c>
      <c r="G731" s="58">
        <f t="shared" si="18"/>
        <v>0</v>
      </c>
      <c r="H731" s="57">
        <f>IFERROR(__xludf.DUMMYFUNCTION("""COMPUTED_VALUE"""),7.35)</f>
        <v>7.35</v>
      </c>
      <c r="I731" s="59">
        <f t="shared" si="14"/>
        <v>0</v>
      </c>
      <c r="J731" s="12"/>
      <c r="K731" s="1"/>
      <c r="L731" s="1"/>
      <c r="M731" s="1"/>
      <c r="N731" s="1"/>
      <c r="O731" s="1"/>
      <c r="P731" s="1"/>
      <c r="Q731" s="1"/>
      <c r="R731" s="1"/>
      <c r="S731" s="1"/>
      <c r="T731" s="1"/>
      <c r="U731" s="1"/>
      <c r="V731" s="1"/>
      <c r="W731" s="1"/>
      <c r="X731" s="1"/>
      <c r="Y731" s="1"/>
      <c r="Z731" s="1"/>
    </row>
    <row r="732">
      <c r="A732" s="1"/>
      <c r="B732" s="1"/>
      <c r="C732" s="48" t="str">
        <f>IFERROR(__xludf.DUMMYFUNCTION("""COMPUTED_VALUE"""),"CABO POWER COBRE NU 2,5 MM VERDE (1 METRO)")</f>
        <v>CABO POWER COBRE NU 2,5 MM VERDE (1 METRO)</v>
      </c>
      <c r="D732" s="49" t="str">
        <f>IFERROR(__xludf.DUMMYFUNCTION("""COMPUTED_VALUE"""),"WAVE")</f>
        <v>WAVE</v>
      </c>
      <c r="E732" s="50">
        <v>0.0</v>
      </c>
      <c r="F732" s="51">
        <v>0.0</v>
      </c>
      <c r="G732" s="52">
        <f t="shared" si="18"/>
        <v>0</v>
      </c>
      <c r="H732" s="51">
        <f>IFERROR(__xludf.DUMMYFUNCTION("""COMPUTED_VALUE"""),6.3)</f>
        <v>6.3</v>
      </c>
      <c r="I732" s="53">
        <f t="shared" si="14"/>
        <v>0</v>
      </c>
      <c r="J732" s="12"/>
      <c r="K732" s="1"/>
      <c r="L732" s="1"/>
      <c r="M732" s="1"/>
      <c r="N732" s="1"/>
      <c r="O732" s="1"/>
      <c r="P732" s="1"/>
      <c r="Q732" s="1"/>
      <c r="R732" s="1"/>
      <c r="S732" s="1"/>
      <c r="T732" s="1"/>
      <c r="U732" s="1"/>
      <c r="V732" s="1"/>
      <c r="W732" s="1"/>
      <c r="X732" s="1"/>
      <c r="Y732" s="1"/>
      <c r="Z732" s="1"/>
    </row>
    <row r="733">
      <c r="A733" s="1"/>
      <c r="B733" s="1"/>
      <c r="C733" s="54" t="str">
        <f>IFERROR(__xludf.DUMMYFUNCTION("""COMPUTED_VALUE"""),"CABO PP 2X1MM (1 METRO)")</f>
        <v>CABO PP 2X1MM (1 METRO)</v>
      </c>
      <c r="D733" s="55" t="str">
        <f>IFERROR(__xludf.DUMMYFUNCTION("""COMPUTED_VALUE"""),"WAVE")</f>
        <v>WAVE</v>
      </c>
      <c r="E733" s="56">
        <v>0.0</v>
      </c>
      <c r="F733" s="57">
        <v>0.0</v>
      </c>
      <c r="G733" s="58">
        <f t="shared" si="18"/>
        <v>0</v>
      </c>
      <c r="H733" s="57">
        <f>IFERROR(__xludf.DUMMYFUNCTION("""COMPUTED_VALUE"""),7.8)</f>
        <v>7.8</v>
      </c>
      <c r="I733" s="59">
        <f t="shared" si="14"/>
        <v>0</v>
      </c>
      <c r="J733" s="12"/>
      <c r="K733" s="1"/>
      <c r="L733" s="1"/>
      <c r="M733" s="1"/>
      <c r="N733" s="1"/>
      <c r="O733" s="1"/>
      <c r="P733" s="1"/>
      <c r="Q733" s="1"/>
      <c r="R733" s="1"/>
      <c r="S733" s="1"/>
      <c r="T733" s="1"/>
      <c r="U733" s="1"/>
      <c r="V733" s="1"/>
      <c r="W733" s="1"/>
      <c r="X733" s="1"/>
      <c r="Y733" s="1"/>
      <c r="Z733" s="1"/>
    </row>
    <row r="734">
      <c r="A734" s="1"/>
      <c r="B734" s="1"/>
      <c r="C734" s="48" t="str">
        <f>IFERROR(__xludf.DUMMYFUNCTION("""COMPUTED_VALUE"""),"CABO PP 2X1,5MM (1 METRO)")</f>
        <v>CABO PP 2X1,5MM (1 METRO)</v>
      </c>
      <c r="D734" s="49" t="str">
        <f>IFERROR(__xludf.DUMMYFUNCTION("""COMPUTED_VALUE"""),"WAVE")</f>
        <v>WAVE</v>
      </c>
      <c r="E734" s="50">
        <v>0.0</v>
      </c>
      <c r="F734" s="51">
        <v>0.0</v>
      </c>
      <c r="G734" s="52">
        <f t="shared" si="18"/>
        <v>0</v>
      </c>
      <c r="H734" s="51">
        <f>IFERROR(__xludf.DUMMYFUNCTION("""COMPUTED_VALUE"""),12.2)</f>
        <v>12.2</v>
      </c>
      <c r="I734" s="53">
        <f t="shared" si="14"/>
        <v>0</v>
      </c>
      <c r="J734" s="12"/>
      <c r="K734" s="1"/>
      <c r="L734" s="1"/>
      <c r="M734" s="1"/>
      <c r="N734" s="1"/>
      <c r="O734" s="1"/>
      <c r="P734" s="1"/>
      <c r="Q734" s="1"/>
      <c r="R734" s="1"/>
      <c r="S734" s="1"/>
      <c r="T734" s="1"/>
      <c r="U734" s="1"/>
      <c r="V734" s="1"/>
      <c r="W734" s="1"/>
      <c r="X734" s="1"/>
      <c r="Y734" s="1"/>
      <c r="Z734" s="1"/>
    </row>
    <row r="735">
      <c r="A735" s="1"/>
      <c r="B735" s="1"/>
      <c r="C735" s="54" t="str">
        <f>IFERROR(__xludf.DUMMYFUNCTION("""COMPUTED_VALUE"""),"CABO PP 2X2,5MM (1 METRO)")</f>
        <v>CABO PP 2X2,5MM (1 METRO)</v>
      </c>
      <c r="D735" s="55" t="str">
        <f>IFERROR(__xludf.DUMMYFUNCTION("""COMPUTED_VALUE"""),"WAVE")</f>
        <v>WAVE</v>
      </c>
      <c r="E735" s="56">
        <v>0.0</v>
      </c>
      <c r="F735" s="57">
        <v>0.0</v>
      </c>
      <c r="G735" s="58">
        <f t="shared" si="18"/>
        <v>0</v>
      </c>
      <c r="H735" s="57">
        <f>IFERROR(__xludf.DUMMYFUNCTION("""COMPUTED_VALUE"""),18.5)</f>
        <v>18.5</v>
      </c>
      <c r="I735" s="59">
        <f t="shared" si="14"/>
        <v>0</v>
      </c>
      <c r="J735" s="12"/>
      <c r="K735" s="1"/>
      <c r="L735" s="1"/>
      <c r="M735" s="1"/>
      <c r="N735" s="1"/>
      <c r="O735" s="1"/>
      <c r="P735" s="1"/>
      <c r="Q735" s="1"/>
      <c r="R735" s="1"/>
      <c r="S735" s="1"/>
      <c r="T735" s="1"/>
      <c r="U735" s="1"/>
      <c r="V735" s="1"/>
      <c r="W735" s="1"/>
      <c r="X735" s="1"/>
      <c r="Y735" s="1"/>
      <c r="Z735" s="1"/>
    </row>
    <row r="736">
      <c r="A736" s="1"/>
      <c r="B736" s="1"/>
      <c r="C736" s="48" t="str">
        <f>IFERROR(__xludf.DUMMYFUNCTION("""COMPUTED_VALUE"""),"CABO PP 3X1,5MM (1 METRO)")</f>
        <v>CABO PP 3X1,5MM (1 METRO)</v>
      </c>
      <c r="D736" s="49" t="str">
        <f>IFERROR(__xludf.DUMMYFUNCTION("""COMPUTED_VALUE"""),"WAVE")</f>
        <v>WAVE</v>
      </c>
      <c r="E736" s="50">
        <v>0.0</v>
      </c>
      <c r="F736" s="51">
        <v>0.0</v>
      </c>
      <c r="G736" s="52">
        <f t="shared" si="18"/>
        <v>0</v>
      </c>
      <c r="H736" s="51">
        <f>IFERROR(__xludf.DUMMYFUNCTION("""COMPUTED_VALUE"""),14.9)</f>
        <v>14.9</v>
      </c>
      <c r="I736" s="53">
        <f t="shared" si="14"/>
        <v>0</v>
      </c>
      <c r="J736" s="12"/>
      <c r="K736" s="1"/>
      <c r="L736" s="1"/>
      <c r="M736" s="1"/>
      <c r="N736" s="1"/>
      <c r="O736" s="1"/>
      <c r="P736" s="1"/>
      <c r="Q736" s="1"/>
      <c r="R736" s="1"/>
      <c r="S736" s="1"/>
      <c r="T736" s="1"/>
      <c r="U736" s="1"/>
      <c r="V736" s="1"/>
      <c r="W736" s="1"/>
      <c r="X736" s="1"/>
      <c r="Y736" s="1"/>
      <c r="Z736" s="1"/>
    </row>
    <row r="737">
      <c r="A737" s="1"/>
      <c r="B737" s="1"/>
      <c r="C737" s="54" t="str">
        <f>IFERROR(__xludf.DUMMYFUNCTION("""COMPUTED_VALUE"""),"CABO PP 4X1,5MM (1 METRO)")</f>
        <v>CABO PP 4X1,5MM (1 METRO)</v>
      </c>
      <c r="D737" s="55" t="str">
        <f>IFERROR(__xludf.DUMMYFUNCTION("""COMPUTED_VALUE"""),"WAVE")</f>
        <v>WAVE</v>
      </c>
      <c r="E737" s="56">
        <v>0.0</v>
      </c>
      <c r="F737" s="57">
        <v>0.0</v>
      </c>
      <c r="G737" s="58">
        <f t="shared" si="18"/>
        <v>0</v>
      </c>
      <c r="H737" s="57">
        <f>IFERROR(__xludf.DUMMYFUNCTION("""COMPUTED_VALUE"""),17.64)</f>
        <v>17.64</v>
      </c>
      <c r="I737" s="59">
        <f t="shared" si="14"/>
        <v>0</v>
      </c>
      <c r="J737" s="12"/>
      <c r="K737" s="1"/>
      <c r="L737" s="1"/>
      <c r="M737" s="1"/>
      <c r="N737" s="1"/>
      <c r="O737" s="1"/>
      <c r="P737" s="1"/>
      <c r="Q737" s="1"/>
      <c r="R737" s="1"/>
      <c r="S737" s="1"/>
      <c r="T737" s="1"/>
      <c r="U737" s="1"/>
      <c r="V737" s="1"/>
      <c r="W737" s="1"/>
      <c r="X737" s="1"/>
      <c r="Y737" s="1"/>
      <c r="Z737" s="1"/>
    </row>
    <row r="738">
      <c r="A738" s="1"/>
      <c r="B738" s="1"/>
      <c r="C738" s="48" t="str">
        <f>IFERROR(__xludf.DUMMYFUNCTION("""COMPUTED_VALUE"""),"Cabo HDMI v2.0 - Suporta 4k 0,8m")</f>
        <v>Cabo HDMI v2.0 - Suporta 4k 0,8m</v>
      </c>
      <c r="D738" s="49" t="str">
        <f>IFERROR(__xludf.DUMMYFUNCTION("""COMPUTED_VALUE"""),"WAVE")</f>
        <v>WAVE</v>
      </c>
      <c r="E738" s="50">
        <v>0.0</v>
      </c>
      <c r="F738" s="51">
        <v>0.0</v>
      </c>
      <c r="G738" s="52">
        <f t="shared" si="18"/>
        <v>0</v>
      </c>
      <c r="H738" s="51">
        <f>IFERROR(__xludf.DUMMYFUNCTION("""COMPUTED_VALUE"""),83.0)</f>
        <v>83</v>
      </c>
      <c r="I738" s="53">
        <f t="shared" si="14"/>
        <v>0</v>
      </c>
      <c r="J738" s="12"/>
      <c r="K738" s="1"/>
      <c r="L738" s="1"/>
      <c r="M738" s="1"/>
      <c r="N738" s="1"/>
      <c r="O738" s="1"/>
      <c r="P738" s="1"/>
      <c r="Q738" s="1"/>
      <c r="R738" s="1"/>
      <c r="S738" s="1"/>
      <c r="T738" s="1"/>
      <c r="U738" s="1"/>
      <c r="V738" s="1"/>
      <c r="W738" s="1"/>
      <c r="X738" s="1"/>
      <c r="Y738" s="1"/>
      <c r="Z738" s="1"/>
    </row>
    <row r="739">
      <c r="A739" s="1"/>
      <c r="B739" s="1"/>
      <c r="C739" s="54" t="str">
        <f>IFERROR(__xludf.DUMMYFUNCTION("""COMPUTED_VALUE"""),"Cabo HDMI v2.0 - Suporta 4k 1,8m")</f>
        <v>Cabo HDMI v2.0 - Suporta 4k 1,8m</v>
      </c>
      <c r="D739" s="55" t="str">
        <f>IFERROR(__xludf.DUMMYFUNCTION("""COMPUTED_VALUE"""),"WAVE")</f>
        <v>WAVE</v>
      </c>
      <c r="E739" s="56">
        <v>0.0</v>
      </c>
      <c r="F739" s="57">
        <v>0.0</v>
      </c>
      <c r="G739" s="58">
        <f t="shared" si="18"/>
        <v>0</v>
      </c>
      <c r="H739" s="57">
        <f>IFERROR(__xludf.DUMMYFUNCTION("""COMPUTED_VALUE"""),90.5)</f>
        <v>90.5</v>
      </c>
      <c r="I739" s="59">
        <f t="shared" si="14"/>
        <v>0</v>
      </c>
      <c r="J739" s="12"/>
      <c r="K739" s="1"/>
      <c r="L739" s="1"/>
      <c r="M739" s="1"/>
      <c r="N739" s="1"/>
      <c r="O739" s="1"/>
      <c r="P739" s="1"/>
      <c r="Q739" s="1"/>
      <c r="R739" s="1"/>
      <c r="S739" s="1"/>
      <c r="T739" s="1"/>
      <c r="U739" s="1"/>
      <c r="V739" s="1"/>
      <c r="W739" s="1"/>
      <c r="X739" s="1"/>
      <c r="Y739" s="1"/>
      <c r="Z739" s="1"/>
    </row>
    <row r="740">
      <c r="A740" s="1"/>
      <c r="B740" s="1"/>
      <c r="C740" s="48" t="str">
        <f>IFERROR(__xludf.DUMMYFUNCTION("""COMPUTED_VALUE"""),"Cabo HDMI v2.0 - Suporta 4k 2,8m")</f>
        <v>Cabo HDMI v2.0 - Suporta 4k 2,8m</v>
      </c>
      <c r="D740" s="49" t="str">
        <f>IFERROR(__xludf.DUMMYFUNCTION("""COMPUTED_VALUE"""),"WAVE")</f>
        <v>WAVE</v>
      </c>
      <c r="E740" s="50">
        <v>0.0</v>
      </c>
      <c r="F740" s="51">
        <v>0.0</v>
      </c>
      <c r="G740" s="52">
        <f t="shared" si="18"/>
        <v>0</v>
      </c>
      <c r="H740" s="51">
        <f>IFERROR(__xludf.DUMMYFUNCTION("""COMPUTED_VALUE"""),110.5)</f>
        <v>110.5</v>
      </c>
      <c r="I740" s="53">
        <f t="shared" si="14"/>
        <v>0</v>
      </c>
      <c r="J740" s="12"/>
      <c r="K740" s="1"/>
      <c r="L740" s="1"/>
      <c r="M740" s="1"/>
      <c r="N740" s="1"/>
      <c r="O740" s="1"/>
      <c r="P740" s="1"/>
      <c r="Q740" s="1"/>
      <c r="R740" s="1"/>
      <c r="S740" s="1"/>
      <c r="T740" s="1"/>
      <c r="U740" s="1"/>
      <c r="V740" s="1"/>
      <c r="W740" s="1"/>
      <c r="X740" s="1"/>
      <c r="Y740" s="1"/>
      <c r="Z740" s="1"/>
    </row>
    <row r="741">
      <c r="A741" s="1"/>
      <c r="B741" s="1"/>
      <c r="C741" s="54" t="str">
        <f>IFERROR(__xludf.DUMMYFUNCTION("""COMPUTED_VALUE"""),"Cabo HDMI v2.0 - Suporta 4k 4,8m")</f>
        <v>Cabo HDMI v2.0 - Suporta 4k 4,8m</v>
      </c>
      <c r="D741" s="55" t="str">
        <f>IFERROR(__xludf.DUMMYFUNCTION("""COMPUTED_VALUE"""),"WAVE")</f>
        <v>WAVE</v>
      </c>
      <c r="E741" s="56">
        <v>0.0</v>
      </c>
      <c r="F741" s="57">
        <v>0.0</v>
      </c>
      <c r="G741" s="58">
        <f t="shared" si="18"/>
        <v>0</v>
      </c>
      <c r="H741" s="57">
        <f>IFERROR(__xludf.DUMMYFUNCTION("""COMPUTED_VALUE"""),168.0)</f>
        <v>168</v>
      </c>
      <c r="I741" s="59">
        <f t="shared" si="14"/>
        <v>0</v>
      </c>
      <c r="J741" s="12"/>
      <c r="K741" s="1"/>
      <c r="L741" s="1"/>
      <c r="M741" s="1"/>
      <c r="N741" s="1"/>
      <c r="O741" s="1"/>
      <c r="P741" s="1"/>
      <c r="Q741" s="1"/>
      <c r="R741" s="1"/>
      <c r="S741" s="1"/>
      <c r="T741" s="1"/>
      <c r="U741" s="1"/>
      <c r="V741" s="1"/>
      <c r="W741" s="1"/>
      <c r="X741" s="1"/>
      <c r="Y741" s="1"/>
      <c r="Z741" s="1"/>
    </row>
    <row r="742">
      <c r="A742" s="1"/>
      <c r="B742" s="1"/>
      <c r="C742" s="48" t="str">
        <f>IFERROR(__xludf.DUMMYFUNCTION("""COMPUTED_VALUE"""),"Cabo Óptico Digital Toslink para áudio 1,5m")</f>
        <v>Cabo Óptico Digital Toslink para áudio 1,5m</v>
      </c>
      <c r="D742" s="49" t="str">
        <f>IFERROR(__xludf.DUMMYFUNCTION("""COMPUTED_VALUE"""),"WAVE")</f>
        <v>WAVE</v>
      </c>
      <c r="E742" s="50">
        <v>0.0</v>
      </c>
      <c r="F742" s="51">
        <v>0.0</v>
      </c>
      <c r="G742" s="52">
        <f t="shared" si="18"/>
        <v>0</v>
      </c>
      <c r="H742" s="51">
        <f>IFERROR(__xludf.DUMMYFUNCTION("""COMPUTED_VALUE"""),43.0)</f>
        <v>43</v>
      </c>
      <c r="I742" s="53">
        <f t="shared" si="14"/>
        <v>0</v>
      </c>
      <c r="J742" s="12"/>
      <c r="K742" s="1"/>
      <c r="L742" s="1"/>
      <c r="M742" s="1"/>
      <c r="N742" s="1"/>
      <c r="O742" s="1"/>
      <c r="P742" s="1"/>
      <c r="Q742" s="1"/>
      <c r="R742" s="1"/>
      <c r="S742" s="1"/>
      <c r="T742" s="1"/>
      <c r="U742" s="1"/>
      <c r="V742" s="1"/>
      <c r="W742" s="1"/>
      <c r="X742" s="1"/>
      <c r="Y742" s="1"/>
      <c r="Z742" s="1"/>
    </row>
    <row r="743">
      <c r="A743" s="1"/>
      <c r="B743" s="1"/>
      <c r="C743" s="54" t="str">
        <f>IFERROR(__xludf.DUMMYFUNCTION("""COMPUTED_VALUE"""),"Cabo Óptico Digital Toslink para áudio 3m")</f>
        <v>Cabo Óptico Digital Toslink para áudio 3m</v>
      </c>
      <c r="D743" s="55" t="str">
        <f>IFERROR(__xludf.DUMMYFUNCTION("""COMPUTED_VALUE"""),"WAVE")</f>
        <v>WAVE</v>
      </c>
      <c r="E743" s="56">
        <v>0.0</v>
      </c>
      <c r="F743" s="57">
        <v>0.0</v>
      </c>
      <c r="G743" s="58">
        <f t="shared" si="18"/>
        <v>0</v>
      </c>
      <c r="H743" s="57">
        <f>IFERROR(__xludf.DUMMYFUNCTION("""COMPUTED_VALUE"""),53.5)</f>
        <v>53.5</v>
      </c>
      <c r="I743" s="59">
        <f t="shared" si="14"/>
        <v>0</v>
      </c>
      <c r="J743" s="12"/>
      <c r="K743" s="1"/>
      <c r="L743" s="1"/>
      <c r="M743" s="1"/>
      <c r="N743" s="1"/>
      <c r="O743" s="1"/>
      <c r="P743" s="1"/>
      <c r="Q743" s="1"/>
      <c r="R743" s="1"/>
      <c r="S743" s="1"/>
      <c r="T743" s="1"/>
      <c r="U743" s="1"/>
      <c r="V743" s="1"/>
      <c r="W743" s="1"/>
      <c r="X743" s="1"/>
      <c r="Y743" s="1"/>
      <c r="Z743" s="1"/>
    </row>
    <row r="744">
      <c r="A744" s="1"/>
      <c r="B744" s="1"/>
      <c r="C744" s="48" t="str">
        <f>IFERROR(__xludf.DUMMYFUNCTION("""COMPUTED_VALUE"""),"Cabo Óptico Digital Toslink para áudio 5m")</f>
        <v>Cabo Óptico Digital Toslink para áudio 5m</v>
      </c>
      <c r="D744" s="49" t="str">
        <f>IFERROR(__xludf.DUMMYFUNCTION("""COMPUTED_VALUE"""),"WAVE")</f>
        <v>WAVE</v>
      </c>
      <c r="E744" s="50">
        <v>0.0</v>
      </c>
      <c r="F744" s="51">
        <v>0.0</v>
      </c>
      <c r="G744" s="52">
        <f t="shared" si="18"/>
        <v>0</v>
      </c>
      <c r="H744" s="51">
        <f>IFERROR(__xludf.DUMMYFUNCTION("""COMPUTED_VALUE"""),76.0)</f>
        <v>76</v>
      </c>
      <c r="I744" s="53">
        <f t="shared" si="14"/>
        <v>0</v>
      </c>
      <c r="J744" s="12"/>
      <c r="K744" s="1"/>
      <c r="L744" s="1"/>
      <c r="M744" s="1"/>
      <c r="N744" s="1"/>
      <c r="O744" s="1"/>
      <c r="P744" s="1"/>
      <c r="Q744" s="1"/>
      <c r="R744" s="1"/>
      <c r="S744" s="1"/>
      <c r="T744" s="1"/>
      <c r="U744" s="1"/>
      <c r="V744" s="1"/>
      <c r="W744" s="1"/>
      <c r="X744" s="1"/>
      <c r="Y744" s="1"/>
      <c r="Z744" s="1"/>
    </row>
    <row r="745">
      <c r="A745" s="1"/>
      <c r="B745" s="1"/>
      <c r="C745" s="54" t="str">
        <f>IFERROR(__xludf.DUMMYFUNCTION("""COMPUTED_VALUE"""),"Cabo Óptico Digital Toslink para áudio 10m")</f>
        <v>Cabo Óptico Digital Toslink para áudio 10m</v>
      </c>
      <c r="D745" s="55" t="str">
        <f>IFERROR(__xludf.DUMMYFUNCTION("""COMPUTED_VALUE"""),"WAVE")</f>
        <v>WAVE</v>
      </c>
      <c r="E745" s="56">
        <v>0.0</v>
      </c>
      <c r="F745" s="57">
        <v>0.0</v>
      </c>
      <c r="G745" s="58">
        <f t="shared" si="18"/>
        <v>0</v>
      </c>
      <c r="H745" s="57">
        <f>IFERROR(__xludf.DUMMYFUNCTION("""COMPUTED_VALUE"""),150.0)</f>
        <v>150</v>
      </c>
      <c r="I745" s="59">
        <f t="shared" si="14"/>
        <v>0</v>
      </c>
      <c r="J745" s="12"/>
      <c r="K745" s="1"/>
      <c r="L745" s="1"/>
      <c r="M745" s="1"/>
      <c r="N745" s="1"/>
      <c r="O745" s="1"/>
      <c r="P745" s="1"/>
      <c r="Q745" s="1"/>
      <c r="R745" s="1"/>
      <c r="S745" s="1"/>
      <c r="T745" s="1"/>
      <c r="U745" s="1"/>
      <c r="V745" s="1"/>
      <c r="W745" s="1"/>
      <c r="X745" s="1"/>
      <c r="Y745" s="1"/>
      <c r="Z745" s="1"/>
    </row>
    <row r="746">
      <c r="A746" s="1"/>
      <c r="B746" s="1"/>
      <c r="C746" s="48" t="str">
        <f>IFERROR(__xludf.DUMMYFUNCTION("""COMPUTED_VALUE"""),"Cabo Óptico Digital Toslink para áudio 12m")</f>
        <v>Cabo Óptico Digital Toslink para áudio 12m</v>
      </c>
      <c r="D746" s="49" t="str">
        <f>IFERROR(__xludf.DUMMYFUNCTION("""COMPUTED_VALUE"""),"WAVE")</f>
        <v>WAVE</v>
      </c>
      <c r="E746" s="50">
        <v>0.0</v>
      </c>
      <c r="F746" s="51">
        <v>0.0</v>
      </c>
      <c r="G746" s="52">
        <f t="shared" si="18"/>
        <v>0</v>
      </c>
      <c r="H746" s="51">
        <f>IFERROR(__xludf.DUMMYFUNCTION("""COMPUTED_VALUE"""),158.0)</f>
        <v>158</v>
      </c>
      <c r="I746" s="53">
        <f t="shared" si="14"/>
        <v>0</v>
      </c>
      <c r="J746" s="12"/>
      <c r="K746" s="1"/>
      <c r="L746" s="1"/>
      <c r="M746" s="1"/>
      <c r="N746" s="1"/>
      <c r="O746" s="1"/>
      <c r="P746" s="1"/>
      <c r="Q746" s="1"/>
      <c r="R746" s="1"/>
      <c r="S746" s="1"/>
      <c r="T746" s="1"/>
      <c r="U746" s="1"/>
      <c r="V746" s="1"/>
      <c r="W746" s="1"/>
      <c r="X746" s="1"/>
      <c r="Y746" s="1"/>
      <c r="Z746" s="1"/>
    </row>
    <row r="747">
      <c r="A747" s="1"/>
      <c r="B747" s="1"/>
      <c r="C747" s="54" t="str">
        <f>IFERROR(__xludf.DUMMYFUNCTION("""COMPUTED_VALUE"""),"Cabo Óptico Digital Toslink para áudio 15m")</f>
        <v>Cabo Óptico Digital Toslink para áudio 15m</v>
      </c>
      <c r="D747" s="55" t="str">
        <f>IFERROR(__xludf.DUMMYFUNCTION("""COMPUTED_VALUE"""),"WAVE")</f>
        <v>WAVE</v>
      </c>
      <c r="E747" s="56">
        <v>0.0</v>
      </c>
      <c r="F747" s="57">
        <v>0.0</v>
      </c>
      <c r="G747" s="58">
        <f t="shared" si="18"/>
        <v>0</v>
      </c>
      <c r="H747" s="57">
        <f>IFERROR(__xludf.DUMMYFUNCTION("""COMPUTED_VALUE"""),162.0)</f>
        <v>162</v>
      </c>
      <c r="I747" s="59">
        <f t="shared" si="14"/>
        <v>0</v>
      </c>
      <c r="J747" s="12"/>
      <c r="K747" s="1"/>
      <c r="L747" s="1"/>
      <c r="M747" s="1"/>
      <c r="N747" s="1"/>
      <c r="O747" s="1"/>
      <c r="P747" s="1"/>
      <c r="Q747" s="1"/>
      <c r="R747" s="1"/>
      <c r="S747" s="1"/>
      <c r="T747" s="1"/>
      <c r="U747" s="1"/>
      <c r="V747" s="1"/>
      <c r="W747" s="1"/>
      <c r="X747" s="1"/>
      <c r="Y747" s="1"/>
      <c r="Z747" s="1"/>
    </row>
    <row r="748">
      <c r="A748" s="1"/>
      <c r="B748" s="1"/>
      <c r="C748" s="48" t="str">
        <f>IFERROR(__xludf.DUMMYFUNCTION("""COMPUTED_VALUE"""),"Cabo Óptico Digital Toslink para áudio 20m")</f>
        <v>Cabo Óptico Digital Toslink para áudio 20m</v>
      </c>
      <c r="D748" s="49" t="str">
        <f>IFERROR(__xludf.DUMMYFUNCTION("""COMPUTED_VALUE"""),"WAVE")</f>
        <v>WAVE</v>
      </c>
      <c r="E748" s="50">
        <v>0.0</v>
      </c>
      <c r="F748" s="51">
        <v>0.0</v>
      </c>
      <c r="G748" s="52">
        <f t="shared" si="18"/>
        <v>0</v>
      </c>
      <c r="H748" s="51">
        <f>IFERROR(__xludf.DUMMYFUNCTION("""COMPUTED_VALUE"""),249.0)</f>
        <v>249</v>
      </c>
      <c r="I748" s="53">
        <f t="shared" si="14"/>
        <v>0</v>
      </c>
      <c r="J748" s="12"/>
      <c r="K748" s="1"/>
      <c r="L748" s="1"/>
      <c r="M748" s="1"/>
      <c r="N748" s="1"/>
      <c r="O748" s="1"/>
      <c r="P748" s="1"/>
      <c r="Q748" s="1"/>
      <c r="R748" s="1"/>
      <c r="S748" s="1"/>
      <c r="T748" s="1"/>
      <c r="U748" s="1"/>
      <c r="V748" s="1"/>
      <c r="W748" s="1"/>
      <c r="X748" s="1"/>
      <c r="Y748" s="1"/>
      <c r="Z748" s="1"/>
    </row>
    <row r="749">
      <c r="A749" s="1"/>
      <c r="B749" s="1"/>
      <c r="C749" s="54" t="str">
        <f>IFERROR(__xludf.DUMMYFUNCTION("""COMPUTED_VALUE"""),"WCRI030 MAIN BOARD")</f>
        <v>WCRI030 MAIN BOARD</v>
      </c>
      <c r="D749" s="55" t="str">
        <f>IFERROR(__xludf.DUMMYFUNCTION("""COMPUTED_VALUE"""),"WAVE")</f>
        <v>WAVE</v>
      </c>
      <c r="E749" s="56">
        <v>0.0</v>
      </c>
      <c r="F749" s="57">
        <v>0.0</v>
      </c>
      <c r="G749" s="58">
        <f t="shared" si="18"/>
        <v>0</v>
      </c>
      <c r="H749" s="57">
        <f>IFERROR(__xludf.DUMMYFUNCTION("""COMPUTED_VALUE"""),4420.0)</f>
        <v>4420</v>
      </c>
      <c r="I749" s="59">
        <f t="shared" si="14"/>
        <v>0</v>
      </c>
      <c r="J749" s="12"/>
      <c r="K749" s="1"/>
      <c r="L749" s="1"/>
      <c r="M749" s="1"/>
      <c r="N749" s="1"/>
      <c r="O749" s="1"/>
      <c r="P749" s="1"/>
      <c r="Q749" s="1"/>
      <c r="R749" s="1"/>
      <c r="S749" s="1"/>
      <c r="T749" s="1"/>
      <c r="U749" s="1"/>
      <c r="V749" s="1"/>
      <c r="W749" s="1"/>
      <c r="X749" s="1"/>
      <c r="Y749" s="1"/>
      <c r="Z749" s="1"/>
    </row>
    <row r="750">
      <c r="A750" s="1"/>
      <c r="B750" s="1"/>
      <c r="C750" s="48" t="str">
        <f>IFERROR(__xludf.DUMMYFUNCTION("""COMPUTED_VALUE"""),"WCRCOM MÓDULO DE COMUNICAÇÃO CAN")</f>
        <v>WCRCOM MÓDULO DE COMUNICAÇÃO CAN</v>
      </c>
      <c r="D750" s="49" t="str">
        <f>IFERROR(__xludf.DUMMYFUNCTION("""COMPUTED_VALUE"""),"WAVE")</f>
        <v>WAVE</v>
      </c>
      <c r="E750" s="50">
        <v>0.0</v>
      </c>
      <c r="F750" s="51">
        <v>0.0</v>
      </c>
      <c r="G750" s="52">
        <f t="shared" si="18"/>
        <v>0</v>
      </c>
      <c r="H750" s="51">
        <f>IFERROR(__xludf.DUMMYFUNCTION("""COMPUTED_VALUE"""),1980.0)</f>
        <v>1980</v>
      </c>
      <c r="I750" s="53">
        <f t="shared" si="14"/>
        <v>0</v>
      </c>
      <c r="J750" s="12"/>
      <c r="K750" s="1"/>
      <c r="L750" s="1"/>
      <c r="M750" s="1"/>
      <c r="N750" s="1"/>
      <c r="O750" s="1"/>
      <c r="P750" s="1"/>
      <c r="Q750" s="1"/>
      <c r="R750" s="1"/>
      <c r="S750" s="1"/>
      <c r="T750" s="1"/>
      <c r="U750" s="1"/>
      <c r="V750" s="1"/>
      <c r="W750" s="1"/>
      <c r="X750" s="1"/>
      <c r="Y750" s="1"/>
      <c r="Z750" s="1"/>
    </row>
    <row r="751">
      <c r="A751" s="1"/>
      <c r="B751" s="1"/>
      <c r="C751" s="54" t="str">
        <f>IFERROR(__xludf.DUMMYFUNCTION("""COMPUTED_VALUE"""),"WCRR6 MÓDULO RELÉ")</f>
        <v>WCRR6 MÓDULO RELÉ</v>
      </c>
      <c r="D751" s="55" t="str">
        <f>IFERROR(__xludf.DUMMYFUNCTION("""COMPUTED_VALUE"""),"WAVE")</f>
        <v>WAVE</v>
      </c>
      <c r="E751" s="56">
        <v>0.0</v>
      </c>
      <c r="F751" s="57">
        <v>0.0</v>
      </c>
      <c r="G751" s="58">
        <f t="shared" si="18"/>
        <v>0</v>
      </c>
      <c r="H751" s="57">
        <f>IFERROR(__xludf.DUMMYFUNCTION("""COMPUTED_VALUE"""),1780.0)</f>
        <v>1780</v>
      </c>
      <c r="I751" s="59">
        <f t="shared" si="14"/>
        <v>0</v>
      </c>
      <c r="J751" s="12"/>
      <c r="K751" s="1"/>
      <c r="L751" s="1"/>
      <c r="M751" s="1"/>
      <c r="N751" s="1"/>
      <c r="O751" s="1"/>
      <c r="P751" s="1"/>
      <c r="Q751" s="1"/>
      <c r="R751" s="1"/>
      <c r="S751" s="1"/>
      <c r="T751" s="1"/>
      <c r="U751" s="1"/>
      <c r="V751" s="1"/>
      <c r="W751" s="1"/>
      <c r="X751" s="1"/>
      <c r="Y751" s="1"/>
      <c r="Z751" s="1"/>
    </row>
    <row r="752">
      <c r="A752" s="1"/>
      <c r="B752" s="1"/>
      <c r="C752" s="48" t="str">
        <f>IFERROR(__xludf.DUMMYFUNCTION("""COMPUTED_VALUE"""),"WCRM3 MÓDULO MOTOR")</f>
        <v>WCRM3 MÓDULO MOTOR</v>
      </c>
      <c r="D752" s="49" t="str">
        <f>IFERROR(__xludf.DUMMYFUNCTION("""COMPUTED_VALUE"""),"WAVE")</f>
        <v>WAVE</v>
      </c>
      <c r="E752" s="50">
        <v>0.0</v>
      </c>
      <c r="F752" s="51">
        <v>0.0</v>
      </c>
      <c r="G752" s="52">
        <f t="shared" si="18"/>
        <v>0</v>
      </c>
      <c r="H752" s="51">
        <f>IFERROR(__xludf.DUMMYFUNCTION("""COMPUTED_VALUE"""),1780.0)</f>
        <v>1780</v>
      </c>
      <c r="I752" s="53">
        <f t="shared" si="14"/>
        <v>0</v>
      </c>
      <c r="J752" s="12"/>
      <c r="K752" s="1"/>
      <c r="L752" s="1"/>
      <c r="M752" s="1"/>
      <c r="N752" s="1"/>
      <c r="O752" s="1"/>
      <c r="P752" s="1"/>
      <c r="Q752" s="1"/>
      <c r="R752" s="1"/>
      <c r="S752" s="1"/>
      <c r="T752" s="1"/>
      <c r="U752" s="1"/>
      <c r="V752" s="1"/>
      <c r="W752" s="1"/>
      <c r="X752" s="1"/>
      <c r="Y752" s="1"/>
      <c r="Z752" s="1"/>
    </row>
    <row r="753">
      <c r="A753" s="1"/>
      <c r="B753" s="1"/>
      <c r="C753" s="54" t="str">
        <f>IFERROR(__xludf.DUMMYFUNCTION("""COMPUTED_VALUE"""),"WCRD6 MÓDULO DIMMER ")</f>
        <v>WCRD6 MÓDULO DIMMER </v>
      </c>
      <c r="D753" s="55" t="str">
        <f>IFERROR(__xludf.DUMMYFUNCTION("""COMPUTED_VALUE"""),"WAVE")</f>
        <v>WAVE</v>
      </c>
      <c r="E753" s="56">
        <v>0.0</v>
      </c>
      <c r="F753" s="57">
        <v>0.0</v>
      </c>
      <c r="G753" s="58">
        <f t="shared" si="18"/>
        <v>0</v>
      </c>
      <c r="H753" s="57">
        <f>IFERROR(__xludf.DUMMYFUNCTION("""COMPUTED_VALUE"""),1780.0)</f>
        <v>1780</v>
      </c>
      <c r="I753" s="59">
        <f t="shared" si="14"/>
        <v>0</v>
      </c>
      <c r="J753" s="12"/>
      <c r="K753" s="1"/>
      <c r="L753" s="1"/>
      <c r="M753" s="1"/>
      <c r="N753" s="1"/>
      <c r="O753" s="1"/>
      <c r="P753" s="1"/>
      <c r="Q753" s="1"/>
      <c r="R753" s="1"/>
      <c r="S753" s="1"/>
      <c r="T753" s="1"/>
      <c r="U753" s="1"/>
      <c r="V753" s="1"/>
      <c r="W753" s="1"/>
      <c r="X753" s="1"/>
      <c r="Y753" s="1"/>
      <c r="Z753" s="1"/>
    </row>
    <row r="754">
      <c r="A754" s="1"/>
      <c r="B754" s="1"/>
      <c r="C754" s="48" t="str">
        <f>IFERROR(__xludf.DUMMYFUNCTION("""COMPUTED_VALUE"""),"WCR10DC MÓDULO DIMMER 0-10v")</f>
        <v>WCR10DC MÓDULO DIMMER 0-10v</v>
      </c>
      <c r="D754" s="49" t="str">
        <f>IFERROR(__xludf.DUMMYFUNCTION("""COMPUTED_VALUE"""),"WAVE")</f>
        <v>WAVE</v>
      </c>
      <c r="E754" s="50">
        <v>0.0</v>
      </c>
      <c r="F754" s="51">
        <v>0.0</v>
      </c>
      <c r="G754" s="52">
        <f t="shared" si="18"/>
        <v>0</v>
      </c>
      <c r="H754" s="51">
        <f>IFERROR(__xludf.DUMMYFUNCTION("""COMPUTED_VALUE"""),1780.0)</f>
        <v>1780</v>
      </c>
      <c r="I754" s="53">
        <f t="shared" si="14"/>
        <v>0</v>
      </c>
      <c r="J754" s="12"/>
      <c r="K754" s="1"/>
      <c r="L754" s="1"/>
      <c r="M754" s="1"/>
      <c r="N754" s="1"/>
      <c r="O754" s="1"/>
      <c r="P754" s="1"/>
      <c r="Q754" s="1"/>
      <c r="R754" s="1"/>
      <c r="S754" s="1"/>
      <c r="T754" s="1"/>
      <c r="U754" s="1"/>
      <c r="V754" s="1"/>
      <c r="W754" s="1"/>
      <c r="X754" s="1"/>
      <c r="Y754" s="1"/>
      <c r="Z754" s="1"/>
    </row>
    <row r="755">
      <c r="A755" s="1"/>
      <c r="B755" s="1"/>
      <c r="C755" s="63" t="str">
        <f>IFERROR(__xludf.DUMMYFUNCTION("IMPORTRANGE(""https://docs.google.com/spreadsheets/d/18erHWAtQlDhZdPtiht7R8dPfUf_VnToKCYfgC0_TtUU/edit?gid=0#gid=0"",""YAMAHA!a2:a16"")"),"RX-V385 RECEIVER YAMAHA AV de 5.1 CANAIS COMPATIVEL COM BLUETOOTH")</f>
        <v>RX-V385 RECEIVER YAMAHA AV de 5.1 CANAIS COMPATIVEL COM BLUETOOTH</v>
      </c>
      <c r="D755" s="67" t="str">
        <f>IFERROR(__xludf.DUMMYFUNCTION("IMPORTRANGE(""https://docs.google.com/spreadsheets/d/18erHWAtQlDhZdPtiht7R8dPfUf_VnToKCYfgC0_TtUU/edit?gid=0#gid=0"",""YAMAHA!C1"")"),"YAMAHA")</f>
        <v>YAMAHA</v>
      </c>
      <c r="E755" s="56">
        <v>0.0</v>
      </c>
      <c r="F755" s="57">
        <v>0.0</v>
      </c>
      <c r="G755" s="58">
        <f t="shared" si="18"/>
        <v>0</v>
      </c>
      <c r="H755" s="65">
        <f>IFERROR(__xludf.DUMMYFUNCTION("IMPORTRANGE(""https://docs.google.com/spreadsheets/d/18erHWAtQlDhZdPtiht7R8dPfUf_VnToKCYfgC0_TtUU/edit?gid=0#gid=0"",""YAMAHA!B2:B16"")"),5060.0)</f>
        <v>5060</v>
      </c>
      <c r="I755" s="59">
        <f t="shared" si="14"/>
        <v>0</v>
      </c>
      <c r="J755" s="12"/>
      <c r="K755" s="1"/>
      <c r="L755" s="1"/>
      <c r="M755" s="1"/>
      <c r="N755" s="1"/>
      <c r="O755" s="1"/>
      <c r="P755" s="1"/>
      <c r="Q755" s="1"/>
      <c r="R755" s="1"/>
      <c r="S755" s="1"/>
      <c r="T755" s="1"/>
      <c r="U755" s="1"/>
      <c r="V755" s="1"/>
      <c r="W755" s="1"/>
      <c r="X755" s="1"/>
      <c r="Y755" s="1"/>
      <c r="Z755" s="1"/>
    </row>
    <row r="756">
      <c r="A756" s="1"/>
      <c r="B756" s="1"/>
      <c r="C756" s="48" t="str">
        <f>IFERROR(__xludf.DUMMYFUNCTION("""COMPUTED_VALUE"""),"RX-V4A RECEIVER YAMAHA 8K AV de 5.2 CANAIS COMPATIVEL COM BLUETOOTH E WIFI")</f>
        <v>RX-V4A RECEIVER YAMAHA 8K AV de 5.2 CANAIS COMPATIVEL COM BLUETOOTH E WIFI</v>
      </c>
      <c r="D756" s="68" t="str">
        <f>IFERROR(__xludf.DUMMYFUNCTION("IMPORTRANGE(""https://docs.google.com/spreadsheets/d/18erHWAtQlDhZdPtiht7R8dPfUf_VnToKCYfgC0_TtUU/edit?gid=0#gid=0"",""YAMAHA!C1"")"),"YAMAHA")</f>
        <v>YAMAHA</v>
      </c>
      <c r="E756" s="50">
        <v>0.0</v>
      </c>
      <c r="F756" s="51">
        <v>0.0</v>
      </c>
      <c r="G756" s="52">
        <f t="shared" si="18"/>
        <v>0</v>
      </c>
      <c r="H756" s="52">
        <f>IFERROR(__xludf.DUMMYFUNCTION("""COMPUTED_VALUE"""),6600.0)</f>
        <v>6600</v>
      </c>
      <c r="I756" s="53">
        <f t="shared" si="14"/>
        <v>0</v>
      </c>
      <c r="J756" s="12"/>
      <c r="K756" s="1"/>
      <c r="L756" s="1"/>
      <c r="M756" s="1"/>
      <c r="N756" s="1"/>
      <c r="O756" s="1"/>
      <c r="P756" s="1"/>
      <c r="Q756" s="1"/>
      <c r="R756" s="1"/>
      <c r="S756" s="1"/>
      <c r="T756" s="1"/>
      <c r="U756" s="1"/>
      <c r="V756" s="1"/>
      <c r="W756" s="1"/>
      <c r="X756" s="1"/>
      <c r="Y756" s="1"/>
      <c r="Z756" s="1"/>
    </row>
    <row r="757">
      <c r="A757" s="1"/>
      <c r="B757" s="1"/>
      <c r="C757" s="54" t="str">
        <f>IFERROR(__xludf.DUMMYFUNCTION("""COMPUTED_VALUE"""),"RX-V6A RECEIVER YAMAHA 8K AV de 7.2 CANAIS COMPATIVEL COM DOBY ATMOS")</f>
        <v>RX-V6A RECEIVER YAMAHA 8K AV de 7.2 CANAIS COMPATIVEL COM DOBY ATMOS</v>
      </c>
      <c r="D757" s="67" t="str">
        <f>IFERROR(__xludf.DUMMYFUNCTION("IMPORTRANGE(""https://docs.google.com/spreadsheets/d/18erHWAtQlDhZdPtiht7R8dPfUf_VnToKCYfgC0_TtUU/edit?gid=0#gid=0"",""YAMAHA!C1"")"),"YAMAHA")</f>
        <v>YAMAHA</v>
      </c>
      <c r="E757" s="56">
        <v>0.0</v>
      </c>
      <c r="F757" s="57">
        <v>0.0</v>
      </c>
      <c r="G757" s="58">
        <f t="shared" si="18"/>
        <v>0</v>
      </c>
      <c r="H757" s="58">
        <f>IFERROR(__xludf.DUMMYFUNCTION("""COMPUTED_VALUE"""),9040.0)</f>
        <v>9040</v>
      </c>
      <c r="I757" s="59">
        <f t="shared" si="14"/>
        <v>0</v>
      </c>
      <c r="J757" s="12"/>
      <c r="K757" s="1"/>
      <c r="L757" s="1"/>
      <c r="M757" s="1"/>
      <c r="N757" s="1"/>
      <c r="O757" s="1"/>
      <c r="P757" s="1"/>
      <c r="Q757" s="1"/>
      <c r="R757" s="1"/>
      <c r="S757" s="1"/>
      <c r="T757" s="1"/>
      <c r="U757" s="1"/>
      <c r="V757" s="1"/>
      <c r="W757" s="1"/>
      <c r="X757" s="1"/>
      <c r="Y757" s="1"/>
      <c r="Z757" s="1"/>
    </row>
    <row r="758">
      <c r="A758" s="1"/>
      <c r="B758" s="1"/>
      <c r="C758" s="48" t="str">
        <f>IFERROR(__xludf.DUMMYFUNCTION("""COMPUTED_VALUE"""),"RX-A4A RECEIVER YAMAHA 8K AV de 7.2 CANAIS COMPATIVEL COM BLUETOOTH")</f>
        <v>RX-A4A RECEIVER YAMAHA 8K AV de 7.2 CANAIS COMPATIVEL COM BLUETOOTH</v>
      </c>
      <c r="D758" s="68" t="str">
        <f>IFERROR(__xludf.DUMMYFUNCTION("IMPORTRANGE(""https://docs.google.com/spreadsheets/d/18erHWAtQlDhZdPtiht7R8dPfUf_VnToKCYfgC0_TtUU/edit?gid=0#gid=0"",""YAMAHA!C1"")"),"YAMAHA")</f>
        <v>YAMAHA</v>
      </c>
      <c r="E758" s="50">
        <v>0.0</v>
      </c>
      <c r="F758" s="51">
        <v>0.0</v>
      </c>
      <c r="G758" s="52">
        <f t="shared" si="18"/>
        <v>0</v>
      </c>
      <c r="H758" s="52">
        <f>IFERROR(__xludf.DUMMYFUNCTION("""COMPUTED_VALUE"""),15710.0)</f>
        <v>15710</v>
      </c>
      <c r="I758" s="53">
        <f t="shared" si="14"/>
        <v>0</v>
      </c>
      <c r="J758" s="12"/>
      <c r="K758" s="1"/>
      <c r="L758" s="1"/>
      <c r="M758" s="1"/>
      <c r="N758" s="1"/>
      <c r="O758" s="1"/>
      <c r="P758" s="1"/>
      <c r="Q758" s="1"/>
      <c r="R758" s="1"/>
      <c r="S758" s="1"/>
      <c r="T758" s="1"/>
      <c r="U758" s="1"/>
      <c r="V758" s="1"/>
      <c r="W758" s="1"/>
      <c r="X758" s="1"/>
      <c r="Y758" s="1"/>
      <c r="Z758" s="1"/>
    </row>
    <row r="759">
      <c r="A759" s="1"/>
      <c r="B759" s="1"/>
      <c r="C759" s="54" t="str">
        <f>IFERROR(__xludf.DUMMYFUNCTION("""COMPUTED_VALUE"""),"RX-A4A RECEIVER YAMAHA AV de 9.2 CANAIS 8K 60hz/ 4K 120hz COMPATIVEL COM DOLBY ATMOS, DOLBY VISION, HDR10+")</f>
        <v>RX-A4A RECEIVER YAMAHA AV de 9.2 CANAIS 8K 60hz/ 4K 120hz COMPATIVEL COM DOLBY ATMOS, DOLBY VISION, HDR10+</v>
      </c>
      <c r="D759" s="67" t="str">
        <f>IFERROR(__xludf.DUMMYFUNCTION("IMPORTRANGE(""https://docs.google.com/spreadsheets/d/18erHWAtQlDhZdPtiht7R8dPfUf_VnToKCYfgC0_TtUU/edit?gid=0#gid=0"",""YAMAHA!C1"")"),"YAMAHA")</f>
        <v>YAMAHA</v>
      </c>
      <c r="E759" s="56">
        <v>0.0</v>
      </c>
      <c r="F759" s="57">
        <v>0.0</v>
      </c>
      <c r="G759" s="58">
        <f t="shared" si="18"/>
        <v>0</v>
      </c>
      <c r="H759" s="58">
        <f>IFERROR(__xludf.DUMMYFUNCTION("""COMPUTED_VALUE"""),24790.0)</f>
        <v>24790</v>
      </c>
      <c r="I759" s="59">
        <f t="shared" si="14"/>
        <v>0</v>
      </c>
      <c r="J759" s="12"/>
      <c r="K759" s="1"/>
      <c r="L759" s="1"/>
      <c r="M759" s="1"/>
      <c r="N759" s="1"/>
      <c r="O759" s="1"/>
      <c r="P759" s="1"/>
      <c r="Q759" s="1"/>
      <c r="R759" s="1"/>
      <c r="S759" s="1"/>
      <c r="T759" s="1"/>
      <c r="U759" s="1"/>
      <c r="V759" s="1"/>
      <c r="W759" s="1"/>
      <c r="X759" s="1"/>
      <c r="Y759" s="1"/>
      <c r="Z759" s="1"/>
    </row>
    <row r="760">
      <c r="A760" s="1"/>
      <c r="B760" s="1"/>
      <c r="C760" s="48" t="str">
        <f>IFERROR(__xludf.DUMMYFUNCTION("""COMPUTED_VALUE"""),"RX-A8A RECEIVER YAMAHA AV de 11.2 CANAIS 8K 60hz/ 4K 120hz COMPATIVEL COM DOLBY ATMOS, DOLBY VISION, HDR10+")</f>
        <v>RX-A8A RECEIVER YAMAHA AV de 11.2 CANAIS 8K 60hz/ 4K 120hz COMPATIVEL COM DOLBY ATMOS, DOLBY VISION, HDR10+</v>
      </c>
      <c r="D760" s="68" t="str">
        <f>IFERROR(__xludf.DUMMYFUNCTION("IMPORTRANGE(""https://docs.google.com/spreadsheets/d/18erHWAtQlDhZdPtiht7R8dPfUf_VnToKCYfgC0_TtUU/edit?gid=0#gid=0"",""YAMAHA!C1"")"),"YAMAHA")</f>
        <v>YAMAHA</v>
      </c>
      <c r="E760" s="50">
        <v>0.0</v>
      </c>
      <c r="F760" s="51">
        <v>0.0</v>
      </c>
      <c r="G760" s="52">
        <f t="shared" si="18"/>
        <v>0</v>
      </c>
      <c r="H760" s="52">
        <f>IFERROR(__xludf.DUMMYFUNCTION("""COMPUTED_VALUE"""),32890.0)</f>
        <v>32890</v>
      </c>
      <c r="I760" s="53">
        <f t="shared" si="14"/>
        <v>0</v>
      </c>
      <c r="J760" s="12"/>
      <c r="K760" s="1"/>
      <c r="L760" s="1"/>
      <c r="M760" s="1"/>
      <c r="N760" s="1"/>
      <c r="O760" s="1"/>
      <c r="P760" s="1"/>
      <c r="Q760" s="1"/>
      <c r="R760" s="1"/>
      <c r="S760" s="1"/>
      <c r="T760" s="1"/>
      <c r="U760" s="1"/>
      <c r="V760" s="1"/>
      <c r="W760" s="1"/>
      <c r="X760" s="1"/>
      <c r="Y760" s="1"/>
      <c r="Z760" s="1"/>
    </row>
    <row r="761">
      <c r="A761" s="1"/>
      <c r="B761" s="1"/>
      <c r="C761" s="54" t="str">
        <f>IFERROR(__xludf.DUMMYFUNCTION("""COMPUTED_VALUE"""),"NS-555 CAIXA DE SOM DE 3 VIAS EM TORRE BASS REFLEX")</f>
        <v>NS-555 CAIXA DE SOM DE 3 VIAS EM TORRE BASS REFLEX</v>
      </c>
      <c r="D761" s="67" t="str">
        <f>IFERROR(__xludf.DUMMYFUNCTION("IMPORTRANGE(""https://docs.google.com/spreadsheets/d/18erHWAtQlDhZdPtiht7R8dPfUf_VnToKCYfgC0_TtUU/edit?gid=0#gid=0"",""YAMAHA!C1"")"),"YAMAHA")</f>
        <v>YAMAHA</v>
      </c>
      <c r="E761" s="56">
        <v>0.0</v>
      </c>
      <c r="F761" s="57">
        <v>0.0</v>
      </c>
      <c r="G761" s="58">
        <f t="shared" si="18"/>
        <v>0</v>
      </c>
      <c r="H761" s="58">
        <f>IFERROR(__xludf.DUMMYFUNCTION("""COMPUTED_VALUE"""),4205.0)</f>
        <v>4205</v>
      </c>
      <c r="I761" s="59">
        <f t="shared" si="14"/>
        <v>0</v>
      </c>
      <c r="J761" s="12"/>
      <c r="K761" s="1"/>
      <c r="L761" s="1"/>
      <c r="M761" s="1"/>
      <c r="N761" s="1"/>
      <c r="O761" s="1"/>
      <c r="P761" s="1"/>
      <c r="Q761" s="1"/>
      <c r="R761" s="1"/>
      <c r="S761" s="1"/>
      <c r="T761" s="1"/>
      <c r="U761" s="1"/>
      <c r="V761" s="1"/>
      <c r="W761" s="1"/>
      <c r="X761" s="1"/>
      <c r="Y761" s="1"/>
      <c r="Z761" s="1"/>
    </row>
    <row r="762">
      <c r="A762" s="1"/>
      <c r="B762" s="1"/>
      <c r="C762" s="48" t="str">
        <f>IFERROR(__xludf.DUMMYFUNCTION("""COMPUTED_VALUE"""),"NS-777 CAIXA DE SOM DE 3 VIAS EM TORRE BASS REFLEX")</f>
        <v>NS-777 CAIXA DE SOM DE 3 VIAS EM TORRE BASS REFLEX</v>
      </c>
      <c r="D762" s="68" t="str">
        <f>IFERROR(__xludf.DUMMYFUNCTION("IMPORTRANGE(""https://docs.google.com/spreadsheets/d/18erHWAtQlDhZdPtiht7R8dPfUf_VnToKCYfgC0_TtUU/edit?gid=0#gid=0"",""YAMAHA!C1"")"),"YAMAHA")</f>
        <v>YAMAHA</v>
      </c>
      <c r="E762" s="50">
        <v>0.0</v>
      </c>
      <c r="F762" s="51">
        <v>0.0</v>
      </c>
      <c r="G762" s="52">
        <f t="shared" si="18"/>
        <v>0</v>
      </c>
      <c r="H762" s="52">
        <f>IFERROR(__xludf.DUMMYFUNCTION("""COMPUTED_VALUE"""),4820.0)</f>
        <v>4820</v>
      </c>
      <c r="I762" s="53">
        <f t="shared" si="14"/>
        <v>0</v>
      </c>
      <c r="J762" s="12"/>
      <c r="K762" s="1"/>
      <c r="L762" s="1"/>
      <c r="M762" s="1"/>
      <c r="N762" s="1"/>
      <c r="O762" s="1"/>
      <c r="P762" s="1"/>
      <c r="Q762" s="1"/>
      <c r="R762" s="1"/>
      <c r="S762" s="1"/>
      <c r="T762" s="1"/>
      <c r="U762" s="1"/>
      <c r="V762" s="1"/>
      <c r="W762" s="1"/>
      <c r="X762" s="1"/>
      <c r="Y762" s="1"/>
      <c r="Z762" s="1"/>
    </row>
    <row r="763">
      <c r="A763" s="1"/>
      <c r="B763" s="1"/>
      <c r="C763" s="54" t="str">
        <f>IFERROR(__xludf.DUMMYFUNCTION("""COMPUTED_VALUE"""),"NS-C444 CAIXA CENTRAL DE 2 VIAS BASS-REFLEX")</f>
        <v>NS-C444 CAIXA CENTRAL DE 2 VIAS BASS-REFLEX</v>
      </c>
      <c r="D763" s="67" t="str">
        <f>IFERROR(__xludf.DUMMYFUNCTION("IMPORTRANGE(""https://docs.google.com/spreadsheets/d/18erHWAtQlDhZdPtiht7R8dPfUf_VnToKCYfgC0_TtUU/edit?gid=0#gid=0"",""YAMAHA!C1"")"),"YAMAHA")</f>
        <v>YAMAHA</v>
      </c>
      <c r="E763" s="56">
        <v>0.0</v>
      </c>
      <c r="F763" s="57">
        <v>0.0</v>
      </c>
      <c r="G763" s="58">
        <f t="shared" si="18"/>
        <v>0</v>
      </c>
      <c r="H763" s="58">
        <f>IFERROR(__xludf.DUMMYFUNCTION("""COMPUTED_VALUE"""),2540.0)</f>
        <v>2540</v>
      </c>
      <c r="I763" s="59">
        <f t="shared" si="14"/>
        <v>0</v>
      </c>
      <c r="J763" s="12"/>
      <c r="K763" s="1"/>
      <c r="L763" s="1"/>
      <c r="M763" s="1"/>
      <c r="N763" s="1"/>
      <c r="O763" s="1"/>
      <c r="P763" s="1"/>
      <c r="Q763" s="1"/>
      <c r="R763" s="1"/>
      <c r="S763" s="1"/>
      <c r="T763" s="1"/>
      <c r="U763" s="1"/>
      <c r="V763" s="1"/>
      <c r="W763" s="1"/>
      <c r="X763" s="1"/>
      <c r="Y763" s="1"/>
      <c r="Z763" s="1"/>
    </row>
    <row r="764">
      <c r="A764" s="1"/>
      <c r="B764" s="1"/>
      <c r="C764" s="48" t="str">
        <f>IFERROR(__xludf.DUMMYFUNCTION("""COMPUTED_VALUE"""),"NS-333 CAIXA BOOKSHELF DE 2 VIAS BASS-REFLEX")</f>
        <v>NS-333 CAIXA BOOKSHELF DE 2 VIAS BASS-REFLEX</v>
      </c>
      <c r="D764" s="68" t="str">
        <f>IFERROR(__xludf.DUMMYFUNCTION("IMPORTRANGE(""https://docs.google.com/spreadsheets/d/18erHWAtQlDhZdPtiht7R8dPfUf_VnToKCYfgC0_TtUU/edit?gid=0#gid=0"",""YAMAHA!C1"")"),"YAMAHA")</f>
        <v>YAMAHA</v>
      </c>
      <c r="E764" s="50">
        <v>0.0</v>
      </c>
      <c r="F764" s="51">
        <v>0.0</v>
      </c>
      <c r="G764" s="52">
        <f t="shared" si="18"/>
        <v>0</v>
      </c>
      <c r="H764" s="52">
        <f>IFERROR(__xludf.DUMMYFUNCTION("""COMPUTED_VALUE"""),1725.0)</f>
        <v>1725</v>
      </c>
      <c r="I764" s="53">
        <f t="shared" si="14"/>
        <v>0</v>
      </c>
      <c r="J764" s="12"/>
      <c r="K764" s="1"/>
      <c r="L764" s="1"/>
      <c r="M764" s="1"/>
      <c r="N764" s="1"/>
      <c r="O764" s="1"/>
      <c r="P764" s="1"/>
      <c r="Q764" s="1"/>
      <c r="R764" s="1"/>
      <c r="S764" s="1"/>
      <c r="T764" s="1"/>
      <c r="U764" s="1"/>
      <c r="V764" s="1"/>
      <c r="W764" s="1"/>
      <c r="X764" s="1"/>
      <c r="Y764" s="1"/>
      <c r="Z764" s="1"/>
    </row>
    <row r="765">
      <c r="A765" s="1"/>
      <c r="B765" s="1"/>
      <c r="C765" s="54" t="str">
        <f>IFERROR(__xludf.DUMMYFUNCTION("""COMPUTED_VALUE"""),"NS-P51 SISTEMA CAIXAS DE SOM 3.0")</f>
        <v>NS-P51 SISTEMA CAIXAS DE SOM 3.0</v>
      </c>
      <c r="D765" s="67" t="str">
        <f>IFERROR(__xludf.DUMMYFUNCTION("IMPORTRANGE(""https://docs.google.com/spreadsheets/d/18erHWAtQlDhZdPtiht7R8dPfUf_VnToKCYfgC0_TtUU/edit?gid=0#gid=0"",""YAMAHA!C1"")"),"YAMAHA")</f>
        <v>YAMAHA</v>
      </c>
      <c r="E765" s="56">
        <v>0.0</v>
      </c>
      <c r="F765" s="57">
        <v>0.0</v>
      </c>
      <c r="G765" s="58">
        <f t="shared" si="18"/>
        <v>0</v>
      </c>
      <c r="H765" s="58">
        <f>IFERROR(__xludf.DUMMYFUNCTION("""COMPUTED_VALUE"""),1925.0)</f>
        <v>1925</v>
      </c>
      <c r="I765" s="59">
        <f t="shared" si="14"/>
        <v>0</v>
      </c>
      <c r="J765" s="12"/>
      <c r="K765" s="1"/>
      <c r="L765" s="1"/>
      <c r="M765" s="1"/>
      <c r="N765" s="1"/>
      <c r="O765" s="1"/>
      <c r="P765" s="1"/>
      <c r="Q765" s="1"/>
      <c r="R765" s="1"/>
      <c r="S765" s="1"/>
      <c r="T765" s="1"/>
      <c r="U765" s="1"/>
      <c r="V765" s="1"/>
      <c r="W765" s="1"/>
      <c r="X765" s="1"/>
      <c r="Y765" s="1"/>
      <c r="Z765" s="1"/>
    </row>
    <row r="766">
      <c r="A766" s="1"/>
      <c r="B766" s="1"/>
      <c r="C766" s="48" t="str">
        <f>IFERROR(__xludf.DUMMYFUNCTION("""COMPUTED_VALUE"""),"NS-SW050 SUBWOOFER 8"" TWISTED FLARE PORT")</f>
        <v>NS-SW050 SUBWOOFER 8" TWISTED FLARE PORT</v>
      </c>
      <c r="D766" s="68" t="str">
        <f>IFERROR(__xludf.DUMMYFUNCTION("IMPORTRANGE(""https://docs.google.com/spreadsheets/d/18erHWAtQlDhZdPtiht7R8dPfUf_VnToKCYfgC0_TtUU/edit?gid=0#gid=0"",""YAMAHA!C1"")"),"YAMAHA")</f>
        <v>YAMAHA</v>
      </c>
      <c r="E766" s="50">
        <v>0.0</v>
      </c>
      <c r="F766" s="51">
        <v>0.0</v>
      </c>
      <c r="G766" s="52">
        <f t="shared" si="18"/>
        <v>0</v>
      </c>
      <c r="H766" s="52">
        <f>IFERROR(__xludf.DUMMYFUNCTION("""COMPUTED_VALUE"""),1925.0)</f>
        <v>1925</v>
      </c>
      <c r="I766" s="53">
        <f t="shared" si="14"/>
        <v>0</v>
      </c>
      <c r="J766" s="12"/>
      <c r="K766" s="1"/>
      <c r="L766" s="1"/>
      <c r="M766" s="1"/>
      <c r="N766" s="1"/>
      <c r="O766" s="1"/>
      <c r="P766" s="1"/>
      <c r="Q766" s="1"/>
      <c r="R766" s="1"/>
      <c r="S766" s="1"/>
      <c r="T766" s="1"/>
      <c r="U766" s="1"/>
      <c r="V766" s="1"/>
      <c r="W766" s="1"/>
      <c r="X766" s="1"/>
      <c r="Y766" s="1"/>
      <c r="Z766" s="1"/>
    </row>
    <row r="767">
      <c r="A767" s="1"/>
      <c r="B767" s="1"/>
      <c r="C767" s="54" t="str">
        <f>IFERROR(__xludf.DUMMYFUNCTION("""COMPUTED_VALUE"""),"NS-SW100 SUBWOOFER 10"" TWISTED FLARE PORT ")</f>
        <v>NS-SW100 SUBWOOFER 10" TWISTED FLARE PORT </v>
      </c>
      <c r="D767" s="67" t="str">
        <f>IFERROR(__xludf.DUMMYFUNCTION("IMPORTRANGE(""https://docs.google.com/spreadsheets/d/18erHWAtQlDhZdPtiht7R8dPfUf_VnToKCYfgC0_TtUU/edit?gid=0#gid=0"",""YAMAHA!C1"")"),"YAMAHA")</f>
        <v>YAMAHA</v>
      </c>
      <c r="E767" s="56">
        <v>0.0</v>
      </c>
      <c r="F767" s="57">
        <v>0.0</v>
      </c>
      <c r="G767" s="58">
        <f t="shared" si="18"/>
        <v>0</v>
      </c>
      <c r="H767" s="58">
        <f>IFERROR(__xludf.DUMMYFUNCTION("""COMPUTED_VALUE"""),2390.0)</f>
        <v>2390</v>
      </c>
      <c r="I767" s="59">
        <f t="shared" si="14"/>
        <v>0</v>
      </c>
      <c r="J767" s="12"/>
      <c r="K767" s="1"/>
      <c r="L767" s="1"/>
      <c r="M767" s="1"/>
      <c r="N767" s="1"/>
      <c r="O767" s="1"/>
      <c r="P767" s="1"/>
      <c r="Q767" s="1"/>
      <c r="R767" s="1"/>
      <c r="S767" s="1"/>
      <c r="T767" s="1"/>
      <c r="U767" s="1"/>
      <c r="V767" s="1"/>
      <c r="W767" s="1"/>
      <c r="X767" s="1"/>
      <c r="Y767" s="1"/>
      <c r="Z767" s="1"/>
    </row>
    <row r="768">
      <c r="A768" s="1"/>
      <c r="B768" s="1"/>
      <c r="C768" s="48" t="str">
        <f>IFERROR(__xludf.DUMMYFUNCTION("""COMPUTED_VALUE"""),"NS-IC800 CAIXA ACÚSTICA DE EMBUTIR 8""")</f>
        <v>NS-IC800 CAIXA ACÚSTICA DE EMBUTIR 8"</v>
      </c>
      <c r="D768" s="68" t="str">
        <f>IFERROR(__xludf.DUMMYFUNCTION("IMPORTRANGE(""https://docs.google.com/spreadsheets/d/18erHWAtQlDhZdPtiht7R8dPfUf_VnToKCYfgC0_TtUU/edit?gid=0#gid=0"",""YAMAHA!C1"")"),"YAMAHA")</f>
        <v>YAMAHA</v>
      </c>
      <c r="E768" s="50">
        <v>0.0</v>
      </c>
      <c r="F768" s="51">
        <v>0.0</v>
      </c>
      <c r="G768" s="52">
        <f t="shared" si="18"/>
        <v>0</v>
      </c>
      <c r="H768" s="52">
        <f>IFERROR(__xludf.DUMMYFUNCTION("""COMPUTED_VALUE"""),2305.0)</f>
        <v>2305</v>
      </c>
      <c r="I768" s="53">
        <f t="shared" si="14"/>
        <v>0</v>
      </c>
      <c r="J768" s="12"/>
      <c r="K768" s="1"/>
      <c r="L768" s="1"/>
      <c r="M768" s="1"/>
      <c r="N768" s="1"/>
      <c r="O768" s="1"/>
      <c r="P768" s="1"/>
      <c r="Q768" s="1"/>
      <c r="R768" s="1"/>
      <c r="S768" s="1"/>
      <c r="T768" s="1"/>
      <c r="U768" s="1"/>
      <c r="V768" s="1"/>
      <c r="W768" s="1"/>
      <c r="X768" s="1"/>
      <c r="Y768" s="1"/>
      <c r="Z768" s="1"/>
    </row>
    <row r="769">
      <c r="A769" s="1"/>
      <c r="B769" s="1"/>
      <c r="C769" s="54" t="str">
        <f>IFERROR(__xludf.DUMMYFUNCTION("""COMPUTED_VALUE"""),"SOUDBAR YAS 109BL COM ALEXA BULT IN 2.0")</f>
        <v>SOUDBAR YAS 109BL COM ALEXA BULT IN 2.0</v>
      </c>
      <c r="D769" s="67" t="str">
        <f>IFERROR(__xludf.DUMMYFUNCTION("IMPORTRANGE(""https://docs.google.com/spreadsheets/d/18erHWAtQlDhZdPtiht7R8dPfUf_VnToKCYfgC0_TtUU/edit?gid=0#gid=0"",""YAMAHA!C1"")"),"YAMAHA")</f>
        <v>YAMAHA</v>
      </c>
      <c r="E769" s="56">
        <v>0.0</v>
      </c>
      <c r="F769" s="57">
        <v>0.0</v>
      </c>
      <c r="G769" s="58">
        <f t="shared" si="18"/>
        <v>0</v>
      </c>
      <c r="H769" s="58">
        <f>IFERROR(__xludf.DUMMYFUNCTION("""COMPUTED_VALUE"""),3250.0)</f>
        <v>3250</v>
      </c>
      <c r="I769" s="59">
        <f t="shared" si="14"/>
        <v>0</v>
      </c>
      <c r="J769" s="12"/>
      <c r="K769" s="1"/>
      <c r="L769" s="1"/>
      <c r="M769" s="1"/>
      <c r="N769" s="1"/>
      <c r="O769" s="1"/>
      <c r="P769" s="1"/>
      <c r="Q769" s="1"/>
      <c r="R769" s="1"/>
      <c r="S769" s="1"/>
      <c r="T769" s="1"/>
      <c r="U769" s="1"/>
      <c r="V769" s="1"/>
      <c r="W769" s="1"/>
      <c r="X769" s="1"/>
      <c r="Y769" s="1"/>
      <c r="Z769" s="1"/>
    </row>
    <row r="770">
      <c r="A770" s="1"/>
      <c r="B770" s="1"/>
      <c r="C770" s="60" t="str">
        <f>IFERROR(__xludf.DUMMYFUNCTION("IMPORTRANGE(""https://docs.google.com/spreadsheets/d/18erHWAtQlDhZdPtiht7R8dPfUf_VnToKCYfgC0_TtUU/edit?gid=0#gid=0"",""DENON!a2:a6"")"),"AVR-S660H RECEIVER MULTICANAL 5.2, WIFI E BLUETOOTH COM CONEXÃO SPORIFY E OUTRAS PLATAFORMAS DE STREAMING")</f>
        <v>AVR-S660H RECEIVER MULTICANAL 5.2, WIFI E BLUETOOTH COM CONEXÃO SPORIFY E OUTRAS PLATAFORMAS DE STREAMING</v>
      </c>
      <c r="D770" s="68" t="str">
        <f>IFERROR(__xludf.DUMMYFUNCTION("IMPORTRANGE(""https://docs.google.com/spreadsheets/d/18erHWAtQlDhZdPtiht7R8dPfUf_VnToKCYfgC0_TtUU/edit?gid=0#gid=0"",""DENON!C1"")"),"DENON")</f>
        <v>DENON</v>
      </c>
      <c r="E770" s="50">
        <v>0.0</v>
      </c>
      <c r="F770" s="51">
        <v>0.0</v>
      </c>
      <c r="G770" s="51">
        <v>0.0</v>
      </c>
      <c r="H770" s="62">
        <v>0.0</v>
      </c>
      <c r="I770" s="53">
        <f t="shared" si="14"/>
        <v>0</v>
      </c>
      <c r="J770" s="12"/>
      <c r="K770" s="1"/>
      <c r="L770" s="1"/>
      <c r="M770" s="1"/>
      <c r="N770" s="1"/>
      <c r="O770" s="1"/>
      <c r="P770" s="1"/>
      <c r="Q770" s="1"/>
      <c r="R770" s="1"/>
      <c r="S770" s="1"/>
      <c r="T770" s="1"/>
      <c r="U770" s="1"/>
      <c r="V770" s="1"/>
      <c r="W770" s="1"/>
      <c r="X770" s="1"/>
      <c r="Y770" s="1"/>
      <c r="Z770" s="1"/>
    </row>
    <row r="771">
      <c r="A771" s="1"/>
      <c r="B771" s="1"/>
      <c r="C771" s="54" t="str">
        <f>IFERROR(__xludf.DUMMYFUNCTION("""COMPUTED_VALUE"""),"AVR-S760H RECEIVER MULTICANAL 7.2, WIFI E BLUETOOTH COM CONEXÃO SPORIFY E OUTRAS PLATAFORMAS DE STREAMING")</f>
        <v>AVR-S760H RECEIVER MULTICANAL 7.2, WIFI E BLUETOOTH COM CONEXÃO SPORIFY E OUTRAS PLATAFORMAS DE STREAMING</v>
      </c>
      <c r="D771" s="67" t="str">
        <f>IFERROR(__xludf.DUMMYFUNCTION("IMPORTRANGE(""https://docs.google.com/spreadsheets/d/18erHWAtQlDhZdPtiht7R8dPfUf_VnToKCYfgC0_TtUU/edit?gid=0#gid=0"",""DENON!C1"")"),"DENON")</f>
        <v>DENON</v>
      </c>
      <c r="E771" s="56">
        <v>0.0</v>
      </c>
      <c r="F771" s="57">
        <v>0.0</v>
      </c>
      <c r="G771" s="57">
        <v>0.0</v>
      </c>
      <c r="H771" s="57">
        <v>0.0</v>
      </c>
      <c r="I771" s="59">
        <f t="shared" si="14"/>
        <v>0</v>
      </c>
      <c r="J771" s="12"/>
      <c r="K771" s="1"/>
      <c r="L771" s="1"/>
      <c r="M771" s="1"/>
      <c r="N771" s="1"/>
      <c r="O771" s="1"/>
      <c r="P771" s="1"/>
      <c r="Q771" s="1"/>
      <c r="R771" s="1"/>
      <c r="S771" s="1"/>
      <c r="T771" s="1"/>
      <c r="U771" s="1"/>
      <c r="V771" s="1"/>
      <c r="W771" s="1"/>
      <c r="X771" s="1"/>
      <c r="Y771" s="1"/>
      <c r="Z771" s="1"/>
    </row>
    <row r="772">
      <c r="A772" s="1"/>
      <c r="B772" s="1"/>
      <c r="C772" s="48" t="str">
        <f>IFERROR(__xludf.DUMMYFUNCTION("""COMPUTED_VALUE"""),"AVR-X1700H RECEIVER MULTICANAL 7.2, WIFI E BLUETOOTH COM CONEXÃO SPORIFY E OUTRAS PLATAFORMAS DE STREAMING")</f>
        <v>AVR-X1700H RECEIVER MULTICANAL 7.2, WIFI E BLUETOOTH COM CONEXÃO SPORIFY E OUTRAS PLATAFORMAS DE STREAMING</v>
      </c>
      <c r="D772" s="68" t="str">
        <f>IFERROR(__xludf.DUMMYFUNCTION("IMPORTRANGE(""https://docs.google.com/spreadsheets/d/18erHWAtQlDhZdPtiht7R8dPfUf_VnToKCYfgC0_TtUU/edit?gid=0#gid=0"",""DENON!C1"")"),"DENON")</f>
        <v>DENON</v>
      </c>
      <c r="E772" s="50">
        <v>0.0</v>
      </c>
      <c r="F772" s="51">
        <v>0.0</v>
      </c>
      <c r="G772" s="51">
        <v>0.0</v>
      </c>
      <c r="H772" s="51">
        <v>0.0</v>
      </c>
      <c r="I772" s="53">
        <f t="shared" si="14"/>
        <v>0</v>
      </c>
      <c r="J772" s="12"/>
      <c r="K772" s="1"/>
      <c r="L772" s="1"/>
      <c r="M772" s="1"/>
      <c r="N772" s="1"/>
      <c r="O772" s="1"/>
      <c r="P772" s="1"/>
      <c r="Q772" s="1"/>
      <c r="R772" s="1"/>
      <c r="S772" s="1"/>
      <c r="T772" s="1"/>
      <c r="U772" s="1"/>
      <c r="V772" s="1"/>
      <c r="W772" s="1"/>
      <c r="X772" s="1"/>
      <c r="Y772" s="1"/>
      <c r="Z772" s="1"/>
    </row>
    <row r="773">
      <c r="A773" s="1"/>
      <c r="B773" s="1"/>
      <c r="C773" s="54" t="str">
        <f>IFERROR(__xludf.DUMMYFUNCTION("""COMPUTED_VALUE"""),"AVR-X2700H RECEIVER MULTICANAL 7.2, WIFI E BLUETOOTH COM CONEXÃO SPORIFY E OUTRAS PLATAFORMAS DE STREAMING")</f>
        <v>AVR-X2700H RECEIVER MULTICANAL 7.2, WIFI E BLUETOOTH COM CONEXÃO SPORIFY E OUTRAS PLATAFORMAS DE STREAMING</v>
      </c>
      <c r="D773" s="67" t="str">
        <f>IFERROR(__xludf.DUMMYFUNCTION("IMPORTRANGE(""https://docs.google.com/spreadsheets/d/18erHWAtQlDhZdPtiht7R8dPfUf_VnToKCYfgC0_TtUU/edit?gid=0#gid=0"",""DENON!C1"")"),"DENON")</f>
        <v>DENON</v>
      </c>
      <c r="E773" s="56">
        <v>0.0</v>
      </c>
      <c r="F773" s="57">
        <v>0.0</v>
      </c>
      <c r="G773" s="57">
        <v>0.0</v>
      </c>
      <c r="H773" s="57">
        <v>0.0</v>
      </c>
      <c r="I773" s="59">
        <f t="shared" si="14"/>
        <v>0</v>
      </c>
      <c r="J773" s="12"/>
      <c r="K773" s="1"/>
      <c r="L773" s="1"/>
      <c r="M773" s="1"/>
      <c r="N773" s="1"/>
      <c r="O773" s="1"/>
      <c r="P773" s="1"/>
      <c r="Q773" s="1"/>
      <c r="R773" s="1"/>
      <c r="S773" s="1"/>
      <c r="T773" s="1"/>
      <c r="U773" s="1"/>
      <c r="V773" s="1"/>
      <c r="W773" s="1"/>
      <c r="X773" s="1"/>
      <c r="Y773" s="1"/>
      <c r="Z773" s="1"/>
    </row>
    <row r="774">
      <c r="A774" s="1"/>
      <c r="B774" s="1"/>
      <c r="C774" s="48" t="str">
        <f>IFERROR(__xludf.DUMMYFUNCTION("""COMPUTED_VALUE"""),"DRA-800H RECEIVER WI-FI E BLUETOOH COM CONEXÃO SPOTIFY E OUTRAS PLATAFORMAS DE STREAMING ")</f>
        <v>DRA-800H RECEIVER WI-FI E BLUETOOH COM CONEXÃO SPOTIFY E OUTRAS PLATAFORMAS DE STREAMING </v>
      </c>
      <c r="D774" s="68" t="str">
        <f>IFERROR(__xludf.DUMMYFUNCTION("IMPORTRANGE(""https://docs.google.com/spreadsheets/d/18erHWAtQlDhZdPtiht7R8dPfUf_VnToKCYfgC0_TtUU/edit?gid=0#gid=0"",""DENON!C1"")"),"DENON")</f>
        <v>DENON</v>
      </c>
      <c r="E774" s="50">
        <v>0.0</v>
      </c>
      <c r="F774" s="51">
        <v>0.0</v>
      </c>
      <c r="G774" s="51">
        <v>0.0</v>
      </c>
      <c r="H774" s="51">
        <v>0.0</v>
      </c>
      <c r="I774" s="53">
        <f t="shared" si="14"/>
        <v>0</v>
      </c>
      <c r="J774" s="12"/>
      <c r="K774" s="1"/>
      <c r="L774" s="1"/>
      <c r="M774" s="1"/>
      <c r="N774" s="1"/>
      <c r="O774" s="1"/>
      <c r="P774" s="1"/>
      <c r="Q774" s="1"/>
      <c r="R774" s="1"/>
      <c r="S774" s="1"/>
      <c r="T774" s="1"/>
      <c r="U774" s="1"/>
      <c r="V774" s="1"/>
      <c r="W774" s="1"/>
      <c r="X774" s="1"/>
      <c r="Y774" s="1"/>
      <c r="Z774" s="1"/>
    </row>
    <row r="775">
      <c r="A775" s="1"/>
      <c r="B775" s="1"/>
      <c r="C775" s="54"/>
      <c r="D775" s="55"/>
      <c r="E775" s="69"/>
      <c r="F775" s="58"/>
      <c r="G775" s="58" t="str">
        <f t="shared" ref="G775:G999" si="19">IF(F775&gt;0,F775*E775+F775,"")</f>
        <v/>
      </c>
      <c r="H775" s="58"/>
      <c r="I775" s="59" t="str">
        <f t="shared" ref="I775:I999" si="20">IF(H775&gt;0,(H775-G775)/G775,"")</f>
        <v/>
      </c>
      <c r="J775" s="12"/>
      <c r="K775" s="1"/>
      <c r="L775" s="1"/>
      <c r="M775" s="1"/>
      <c r="N775" s="1"/>
      <c r="O775" s="1"/>
      <c r="P775" s="1"/>
      <c r="Q775" s="1"/>
      <c r="R775" s="1"/>
      <c r="S775" s="1"/>
      <c r="T775" s="1"/>
      <c r="U775" s="1"/>
      <c r="V775" s="1"/>
      <c r="W775" s="1"/>
      <c r="X775" s="1"/>
      <c r="Y775" s="1"/>
      <c r="Z775" s="1"/>
    </row>
    <row r="776">
      <c r="A776" s="1"/>
      <c r="B776" s="1"/>
      <c r="C776" s="48"/>
      <c r="D776" s="49"/>
      <c r="E776" s="70"/>
      <c r="F776" s="52"/>
      <c r="G776" s="52" t="str">
        <f t="shared" si="19"/>
        <v/>
      </c>
      <c r="H776" s="52"/>
      <c r="I776" s="53" t="str">
        <f t="shared" si="20"/>
        <v/>
      </c>
      <c r="J776" s="12"/>
      <c r="K776" s="1"/>
      <c r="L776" s="1"/>
      <c r="M776" s="1"/>
      <c r="N776" s="1"/>
      <c r="O776" s="1"/>
      <c r="P776" s="1"/>
      <c r="Q776" s="1"/>
      <c r="R776" s="1"/>
      <c r="S776" s="1"/>
      <c r="T776" s="1"/>
      <c r="U776" s="1"/>
      <c r="V776" s="1"/>
      <c r="W776" s="1"/>
      <c r="X776" s="1"/>
      <c r="Y776" s="1"/>
      <c r="Z776" s="1"/>
    </row>
    <row r="777">
      <c r="A777" s="1"/>
      <c r="B777" s="1"/>
      <c r="C777" s="54"/>
      <c r="D777" s="55"/>
      <c r="E777" s="69"/>
      <c r="F777" s="58"/>
      <c r="G777" s="58" t="str">
        <f t="shared" si="19"/>
        <v/>
      </c>
      <c r="H777" s="58"/>
      <c r="I777" s="59" t="str">
        <f t="shared" si="20"/>
        <v/>
      </c>
      <c r="J777" s="12"/>
      <c r="K777" s="1"/>
      <c r="L777" s="1"/>
      <c r="M777" s="1"/>
      <c r="N777" s="1"/>
      <c r="O777" s="1"/>
      <c r="P777" s="1"/>
      <c r="Q777" s="1"/>
      <c r="R777" s="1"/>
      <c r="S777" s="1"/>
      <c r="T777" s="1"/>
      <c r="U777" s="1"/>
      <c r="V777" s="1"/>
      <c r="W777" s="1"/>
      <c r="X777" s="1"/>
      <c r="Y777" s="1"/>
      <c r="Z777" s="1"/>
    </row>
    <row r="778">
      <c r="A778" s="1"/>
      <c r="B778" s="1"/>
      <c r="C778" s="48"/>
      <c r="D778" s="49"/>
      <c r="E778" s="70"/>
      <c r="F778" s="52"/>
      <c r="G778" s="52" t="str">
        <f t="shared" si="19"/>
        <v/>
      </c>
      <c r="H778" s="52"/>
      <c r="I778" s="53" t="str">
        <f t="shared" si="20"/>
        <v/>
      </c>
      <c r="J778" s="12"/>
      <c r="K778" s="1"/>
      <c r="L778" s="1"/>
      <c r="M778" s="1"/>
      <c r="N778" s="1"/>
      <c r="O778" s="1"/>
      <c r="P778" s="1"/>
      <c r="Q778" s="1"/>
      <c r="R778" s="1"/>
      <c r="S778" s="1"/>
      <c r="T778" s="1"/>
      <c r="U778" s="1"/>
      <c r="V778" s="1"/>
      <c r="W778" s="1"/>
      <c r="X778" s="1"/>
      <c r="Y778" s="1"/>
      <c r="Z778" s="1"/>
    </row>
    <row r="779">
      <c r="A779" s="1"/>
      <c r="B779" s="1"/>
      <c r="C779" s="54"/>
      <c r="D779" s="55"/>
      <c r="E779" s="69"/>
      <c r="F779" s="58"/>
      <c r="G779" s="58" t="str">
        <f t="shared" si="19"/>
        <v/>
      </c>
      <c r="H779" s="58"/>
      <c r="I779" s="59" t="str">
        <f t="shared" si="20"/>
        <v/>
      </c>
      <c r="J779" s="12"/>
      <c r="K779" s="1"/>
      <c r="L779" s="1"/>
      <c r="M779" s="1"/>
      <c r="N779" s="1"/>
      <c r="O779" s="1"/>
      <c r="P779" s="1"/>
      <c r="Q779" s="1"/>
      <c r="R779" s="1"/>
      <c r="S779" s="1"/>
      <c r="T779" s="1"/>
      <c r="U779" s="1"/>
      <c r="V779" s="1"/>
      <c r="W779" s="1"/>
      <c r="X779" s="1"/>
      <c r="Y779" s="1"/>
      <c r="Z779" s="1"/>
    </row>
    <row r="780">
      <c r="A780" s="1"/>
      <c r="B780" s="1"/>
      <c r="C780" s="48"/>
      <c r="D780" s="49"/>
      <c r="E780" s="70"/>
      <c r="F780" s="52"/>
      <c r="G780" s="52" t="str">
        <f t="shared" si="19"/>
        <v/>
      </c>
      <c r="H780" s="52"/>
      <c r="I780" s="53" t="str">
        <f t="shared" si="20"/>
        <v/>
      </c>
      <c r="J780" s="12"/>
      <c r="K780" s="1"/>
      <c r="L780" s="1"/>
      <c r="M780" s="1"/>
      <c r="N780" s="1"/>
      <c r="O780" s="1"/>
      <c r="P780" s="1"/>
      <c r="Q780" s="1"/>
      <c r="R780" s="1"/>
      <c r="S780" s="1"/>
      <c r="T780" s="1"/>
      <c r="U780" s="1"/>
      <c r="V780" s="1"/>
      <c r="W780" s="1"/>
      <c r="X780" s="1"/>
      <c r="Y780" s="1"/>
      <c r="Z780" s="1"/>
    </row>
    <row r="781">
      <c r="A781" s="1"/>
      <c r="B781" s="1"/>
      <c r="C781" s="54"/>
      <c r="D781" s="55"/>
      <c r="E781" s="69"/>
      <c r="F781" s="58"/>
      <c r="G781" s="58" t="str">
        <f t="shared" si="19"/>
        <v/>
      </c>
      <c r="H781" s="58"/>
      <c r="I781" s="59" t="str">
        <f t="shared" si="20"/>
        <v/>
      </c>
      <c r="J781" s="12"/>
      <c r="K781" s="1"/>
      <c r="L781" s="1"/>
      <c r="M781" s="1"/>
      <c r="N781" s="1"/>
      <c r="O781" s="1"/>
      <c r="P781" s="1"/>
      <c r="Q781" s="1"/>
      <c r="R781" s="1"/>
      <c r="S781" s="1"/>
      <c r="T781" s="1"/>
      <c r="U781" s="1"/>
      <c r="V781" s="1"/>
      <c r="W781" s="1"/>
      <c r="X781" s="1"/>
      <c r="Y781" s="1"/>
      <c r="Z781" s="1"/>
    </row>
    <row r="782">
      <c r="A782" s="1"/>
      <c r="B782" s="1"/>
      <c r="C782" s="48"/>
      <c r="D782" s="49"/>
      <c r="E782" s="70"/>
      <c r="F782" s="52"/>
      <c r="G782" s="52" t="str">
        <f t="shared" si="19"/>
        <v/>
      </c>
      <c r="H782" s="52"/>
      <c r="I782" s="53" t="str">
        <f t="shared" si="20"/>
        <v/>
      </c>
      <c r="J782" s="12"/>
      <c r="K782" s="1"/>
      <c r="L782" s="1"/>
      <c r="M782" s="1"/>
      <c r="N782" s="1"/>
      <c r="O782" s="1"/>
      <c r="P782" s="1"/>
      <c r="Q782" s="1"/>
      <c r="R782" s="1"/>
      <c r="S782" s="1"/>
      <c r="T782" s="1"/>
      <c r="U782" s="1"/>
      <c r="V782" s="1"/>
      <c r="W782" s="1"/>
      <c r="X782" s="1"/>
      <c r="Y782" s="1"/>
      <c r="Z782" s="1"/>
    </row>
    <row r="783">
      <c r="A783" s="1"/>
      <c r="B783" s="1"/>
      <c r="C783" s="54"/>
      <c r="D783" s="55"/>
      <c r="E783" s="69"/>
      <c r="F783" s="58"/>
      <c r="G783" s="58" t="str">
        <f t="shared" si="19"/>
        <v/>
      </c>
      <c r="H783" s="58"/>
      <c r="I783" s="59" t="str">
        <f t="shared" si="20"/>
        <v/>
      </c>
      <c r="J783" s="12"/>
      <c r="K783" s="1"/>
      <c r="L783" s="1"/>
      <c r="M783" s="1"/>
      <c r="N783" s="1"/>
      <c r="O783" s="1"/>
      <c r="P783" s="1"/>
      <c r="Q783" s="1"/>
      <c r="R783" s="1"/>
      <c r="S783" s="1"/>
      <c r="T783" s="1"/>
      <c r="U783" s="1"/>
      <c r="V783" s="1"/>
      <c r="W783" s="1"/>
      <c r="X783" s="1"/>
      <c r="Y783" s="1"/>
      <c r="Z783" s="1"/>
    </row>
    <row r="784">
      <c r="A784" s="1"/>
      <c r="B784" s="1"/>
      <c r="C784" s="48"/>
      <c r="D784" s="49"/>
      <c r="E784" s="70"/>
      <c r="F784" s="52"/>
      <c r="G784" s="52" t="str">
        <f t="shared" si="19"/>
        <v/>
      </c>
      <c r="H784" s="52"/>
      <c r="I784" s="53" t="str">
        <f t="shared" si="20"/>
        <v/>
      </c>
      <c r="J784" s="12"/>
      <c r="K784" s="1"/>
      <c r="L784" s="1"/>
      <c r="M784" s="1"/>
      <c r="N784" s="1"/>
      <c r="O784" s="1"/>
      <c r="P784" s="1"/>
      <c r="Q784" s="1"/>
      <c r="R784" s="1"/>
      <c r="S784" s="1"/>
      <c r="T784" s="1"/>
      <c r="U784" s="1"/>
      <c r="V784" s="1"/>
      <c r="W784" s="1"/>
      <c r="X784" s="1"/>
      <c r="Y784" s="1"/>
      <c r="Z784" s="1"/>
    </row>
    <row r="785">
      <c r="A785" s="1"/>
      <c r="B785" s="1"/>
      <c r="C785" s="54"/>
      <c r="D785" s="55"/>
      <c r="E785" s="69"/>
      <c r="F785" s="58"/>
      <c r="G785" s="58" t="str">
        <f t="shared" si="19"/>
        <v/>
      </c>
      <c r="H785" s="58"/>
      <c r="I785" s="59" t="str">
        <f t="shared" si="20"/>
        <v/>
      </c>
      <c r="J785" s="12"/>
      <c r="K785" s="1"/>
      <c r="L785" s="1"/>
      <c r="M785" s="1"/>
      <c r="N785" s="1"/>
      <c r="O785" s="1"/>
      <c r="P785" s="1"/>
      <c r="Q785" s="1"/>
      <c r="R785" s="1"/>
      <c r="S785" s="1"/>
      <c r="T785" s="1"/>
      <c r="U785" s="1"/>
      <c r="V785" s="1"/>
      <c r="W785" s="1"/>
      <c r="X785" s="1"/>
      <c r="Y785" s="1"/>
      <c r="Z785" s="1"/>
    </row>
    <row r="786">
      <c r="A786" s="1"/>
      <c r="B786" s="1"/>
      <c r="C786" s="48"/>
      <c r="D786" s="49"/>
      <c r="E786" s="70"/>
      <c r="F786" s="52"/>
      <c r="G786" s="52" t="str">
        <f t="shared" si="19"/>
        <v/>
      </c>
      <c r="H786" s="52"/>
      <c r="I786" s="53" t="str">
        <f t="shared" si="20"/>
        <v/>
      </c>
      <c r="J786" s="12"/>
      <c r="K786" s="1"/>
      <c r="L786" s="1"/>
      <c r="M786" s="1"/>
      <c r="N786" s="1"/>
      <c r="O786" s="1"/>
      <c r="P786" s="1"/>
      <c r="Q786" s="1"/>
      <c r="R786" s="1"/>
      <c r="S786" s="1"/>
      <c r="T786" s="1"/>
      <c r="U786" s="1"/>
      <c r="V786" s="1"/>
      <c r="W786" s="1"/>
      <c r="X786" s="1"/>
      <c r="Y786" s="1"/>
      <c r="Z786" s="1"/>
    </row>
    <row r="787">
      <c r="A787" s="1"/>
      <c r="B787" s="1"/>
      <c r="C787" s="54"/>
      <c r="D787" s="55"/>
      <c r="E787" s="69"/>
      <c r="F787" s="58"/>
      <c r="G787" s="58" t="str">
        <f t="shared" si="19"/>
        <v/>
      </c>
      <c r="H787" s="58"/>
      <c r="I787" s="59" t="str">
        <f t="shared" si="20"/>
        <v/>
      </c>
      <c r="J787" s="12"/>
      <c r="K787" s="1"/>
      <c r="L787" s="1"/>
      <c r="M787" s="1"/>
      <c r="N787" s="1"/>
      <c r="O787" s="1"/>
      <c r="P787" s="1"/>
      <c r="Q787" s="1"/>
      <c r="R787" s="1"/>
      <c r="S787" s="1"/>
      <c r="T787" s="1"/>
      <c r="U787" s="1"/>
      <c r="V787" s="1"/>
      <c r="W787" s="1"/>
      <c r="X787" s="1"/>
      <c r="Y787" s="1"/>
      <c r="Z787" s="1"/>
    </row>
    <row r="788">
      <c r="A788" s="1"/>
      <c r="B788" s="1"/>
      <c r="C788" s="48"/>
      <c r="D788" s="49"/>
      <c r="E788" s="70"/>
      <c r="F788" s="52"/>
      <c r="G788" s="52" t="str">
        <f t="shared" si="19"/>
        <v/>
      </c>
      <c r="H788" s="52"/>
      <c r="I788" s="53" t="str">
        <f t="shared" si="20"/>
        <v/>
      </c>
      <c r="J788" s="12"/>
      <c r="K788" s="1"/>
      <c r="L788" s="1"/>
      <c r="M788" s="1"/>
      <c r="N788" s="1"/>
      <c r="O788" s="1"/>
      <c r="P788" s="1"/>
      <c r="Q788" s="1"/>
      <c r="R788" s="1"/>
      <c r="S788" s="1"/>
      <c r="T788" s="1"/>
      <c r="U788" s="1"/>
      <c r="V788" s="1"/>
      <c r="W788" s="1"/>
      <c r="X788" s="1"/>
      <c r="Y788" s="1"/>
      <c r="Z788" s="1"/>
    </row>
    <row r="789">
      <c r="A789" s="1"/>
      <c r="B789" s="1"/>
      <c r="C789" s="54"/>
      <c r="D789" s="55"/>
      <c r="E789" s="69"/>
      <c r="F789" s="58"/>
      <c r="G789" s="58" t="str">
        <f t="shared" si="19"/>
        <v/>
      </c>
      <c r="H789" s="58"/>
      <c r="I789" s="59" t="str">
        <f t="shared" si="20"/>
        <v/>
      </c>
      <c r="J789" s="12"/>
      <c r="K789" s="1"/>
      <c r="L789" s="1"/>
      <c r="M789" s="1"/>
      <c r="N789" s="1"/>
      <c r="O789" s="1"/>
      <c r="P789" s="1"/>
      <c r="Q789" s="1"/>
      <c r="R789" s="1"/>
      <c r="S789" s="1"/>
      <c r="T789" s="1"/>
      <c r="U789" s="1"/>
      <c r="V789" s="1"/>
      <c r="W789" s="1"/>
      <c r="X789" s="1"/>
      <c r="Y789" s="1"/>
      <c r="Z789" s="1"/>
    </row>
    <row r="790">
      <c r="A790" s="1"/>
      <c r="B790" s="1"/>
      <c r="C790" s="48"/>
      <c r="D790" s="49"/>
      <c r="E790" s="70"/>
      <c r="F790" s="52"/>
      <c r="G790" s="52" t="str">
        <f t="shared" si="19"/>
        <v/>
      </c>
      <c r="H790" s="52"/>
      <c r="I790" s="53" t="str">
        <f t="shared" si="20"/>
        <v/>
      </c>
      <c r="J790" s="12"/>
      <c r="K790" s="1"/>
      <c r="L790" s="1"/>
      <c r="M790" s="1"/>
      <c r="N790" s="1"/>
      <c r="O790" s="1"/>
      <c r="P790" s="1"/>
      <c r="Q790" s="1"/>
      <c r="R790" s="1"/>
      <c r="S790" s="1"/>
      <c r="T790" s="1"/>
      <c r="U790" s="1"/>
      <c r="V790" s="1"/>
      <c r="W790" s="1"/>
      <c r="X790" s="1"/>
      <c r="Y790" s="1"/>
      <c r="Z790" s="1"/>
    </row>
    <row r="791">
      <c r="A791" s="1"/>
      <c r="B791" s="1"/>
      <c r="C791" s="54"/>
      <c r="D791" s="55"/>
      <c r="E791" s="69"/>
      <c r="F791" s="58"/>
      <c r="G791" s="58" t="str">
        <f t="shared" si="19"/>
        <v/>
      </c>
      <c r="H791" s="58"/>
      <c r="I791" s="59" t="str">
        <f t="shared" si="20"/>
        <v/>
      </c>
      <c r="J791" s="12"/>
      <c r="K791" s="1"/>
      <c r="L791" s="1"/>
      <c r="M791" s="1"/>
      <c r="N791" s="1"/>
      <c r="O791" s="1"/>
      <c r="P791" s="1"/>
      <c r="Q791" s="1"/>
      <c r="R791" s="1"/>
      <c r="S791" s="1"/>
      <c r="T791" s="1"/>
      <c r="U791" s="1"/>
      <c r="V791" s="1"/>
      <c r="W791" s="1"/>
      <c r="X791" s="1"/>
      <c r="Y791" s="1"/>
      <c r="Z791" s="1"/>
    </row>
    <row r="792">
      <c r="A792" s="1"/>
      <c r="B792" s="1"/>
      <c r="C792" s="48"/>
      <c r="D792" s="49"/>
      <c r="E792" s="70"/>
      <c r="F792" s="52"/>
      <c r="G792" s="52" t="str">
        <f t="shared" si="19"/>
        <v/>
      </c>
      <c r="H792" s="52"/>
      <c r="I792" s="53" t="str">
        <f t="shared" si="20"/>
        <v/>
      </c>
      <c r="J792" s="12"/>
      <c r="K792" s="1"/>
      <c r="L792" s="1"/>
      <c r="M792" s="1"/>
      <c r="N792" s="1"/>
      <c r="O792" s="1"/>
      <c r="P792" s="1"/>
      <c r="Q792" s="1"/>
      <c r="R792" s="1"/>
      <c r="S792" s="1"/>
      <c r="T792" s="1"/>
      <c r="U792" s="1"/>
      <c r="V792" s="1"/>
      <c r="W792" s="1"/>
      <c r="X792" s="1"/>
      <c r="Y792" s="1"/>
      <c r="Z792" s="1"/>
    </row>
    <row r="793">
      <c r="A793" s="1"/>
      <c r="B793" s="1"/>
      <c r="C793" s="54"/>
      <c r="D793" s="55"/>
      <c r="E793" s="69"/>
      <c r="F793" s="58"/>
      <c r="G793" s="58" t="str">
        <f t="shared" si="19"/>
        <v/>
      </c>
      <c r="H793" s="58"/>
      <c r="I793" s="59" t="str">
        <f t="shared" si="20"/>
        <v/>
      </c>
      <c r="J793" s="12"/>
      <c r="K793" s="1"/>
      <c r="L793" s="1"/>
      <c r="M793" s="1"/>
      <c r="N793" s="1"/>
      <c r="O793" s="1"/>
      <c r="P793" s="1"/>
      <c r="Q793" s="1"/>
      <c r="R793" s="1"/>
      <c r="S793" s="1"/>
      <c r="T793" s="1"/>
      <c r="U793" s="1"/>
      <c r="V793" s="1"/>
      <c r="W793" s="1"/>
      <c r="X793" s="1"/>
      <c r="Y793" s="1"/>
      <c r="Z793" s="1"/>
    </row>
    <row r="794">
      <c r="A794" s="1"/>
      <c r="B794" s="1"/>
      <c r="C794" s="48"/>
      <c r="D794" s="49"/>
      <c r="E794" s="70"/>
      <c r="F794" s="52"/>
      <c r="G794" s="52" t="str">
        <f t="shared" si="19"/>
        <v/>
      </c>
      <c r="H794" s="52"/>
      <c r="I794" s="53" t="str">
        <f t="shared" si="20"/>
        <v/>
      </c>
      <c r="J794" s="12"/>
      <c r="K794" s="1"/>
      <c r="L794" s="1"/>
      <c r="M794" s="1"/>
      <c r="N794" s="1"/>
      <c r="O794" s="1"/>
      <c r="P794" s="1"/>
      <c r="Q794" s="1"/>
      <c r="R794" s="1"/>
      <c r="S794" s="1"/>
      <c r="T794" s="1"/>
      <c r="U794" s="1"/>
      <c r="V794" s="1"/>
      <c r="W794" s="1"/>
      <c r="X794" s="1"/>
      <c r="Y794" s="1"/>
      <c r="Z794" s="1"/>
    </row>
    <row r="795">
      <c r="A795" s="1"/>
      <c r="B795" s="1"/>
      <c r="C795" s="54"/>
      <c r="D795" s="55"/>
      <c r="E795" s="69"/>
      <c r="F795" s="58"/>
      <c r="G795" s="58" t="str">
        <f t="shared" si="19"/>
        <v/>
      </c>
      <c r="H795" s="58"/>
      <c r="I795" s="59" t="str">
        <f t="shared" si="20"/>
        <v/>
      </c>
      <c r="J795" s="12"/>
      <c r="K795" s="1"/>
      <c r="L795" s="1"/>
      <c r="M795" s="1"/>
      <c r="N795" s="1"/>
      <c r="O795" s="1"/>
      <c r="P795" s="1"/>
      <c r="Q795" s="1"/>
      <c r="R795" s="1"/>
      <c r="S795" s="1"/>
      <c r="T795" s="1"/>
      <c r="U795" s="1"/>
      <c r="V795" s="1"/>
      <c r="W795" s="1"/>
      <c r="X795" s="1"/>
      <c r="Y795" s="1"/>
      <c r="Z795" s="1"/>
    </row>
    <row r="796">
      <c r="A796" s="1"/>
      <c r="B796" s="1"/>
      <c r="C796" s="48"/>
      <c r="D796" s="49"/>
      <c r="E796" s="70"/>
      <c r="F796" s="52"/>
      <c r="G796" s="52" t="str">
        <f t="shared" si="19"/>
        <v/>
      </c>
      <c r="H796" s="52"/>
      <c r="I796" s="53" t="str">
        <f t="shared" si="20"/>
        <v/>
      </c>
      <c r="J796" s="12"/>
      <c r="K796" s="1"/>
      <c r="L796" s="1"/>
      <c r="M796" s="1"/>
      <c r="N796" s="1"/>
      <c r="O796" s="1"/>
      <c r="P796" s="1"/>
      <c r="Q796" s="1"/>
      <c r="R796" s="1"/>
      <c r="S796" s="1"/>
      <c r="T796" s="1"/>
      <c r="U796" s="1"/>
      <c r="V796" s="1"/>
      <c r="W796" s="1"/>
      <c r="X796" s="1"/>
      <c r="Y796" s="1"/>
      <c r="Z796" s="1"/>
    </row>
    <row r="797">
      <c r="A797" s="1"/>
      <c r="B797" s="1"/>
      <c r="C797" s="54"/>
      <c r="D797" s="55"/>
      <c r="E797" s="69"/>
      <c r="F797" s="58"/>
      <c r="G797" s="58" t="str">
        <f t="shared" si="19"/>
        <v/>
      </c>
      <c r="H797" s="58"/>
      <c r="I797" s="59" t="str">
        <f t="shared" si="20"/>
        <v/>
      </c>
      <c r="J797" s="12"/>
      <c r="K797" s="1"/>
      <c r="L797" s="1"/>
      <c r="M797" s="1"/>
      <c r="N797" s="1"/>
      <c r="O797" s="1"/>
      <c r="P797" s="1"/>
      <c r="Q797" s="1"/>
      <c r="R797" s="1"/>
      <c r="S797" s="1"/>
      <c r="T797" s="1"/>
      <c r="U797" s="1"/>
      <c r="V797" s="1"/>
      <c r="W797" s="1"/>
      <c r="X797" s="1"/>
      <c r="Y797" s="1"/>
      <c r="Z797" s="1"/>
    </row>
    <row r="798">
      <c r="A798" s="1"/>
      <c r="B798" s="1"/>
      <c r="C798" s="48"/>
      <c r="D798" s="49"/>
      <c r="E798" s="70"/>
      <c r="F798" s="52"/>
      <c r="G798" s="52" t="str">
        <f t="shared" si="19"/>
        <v/>
      </c>
      <c r="H798" s="52"/>
      <c r="I798" s="53" t="str">
        <f t="shared" si="20"/>
        <v/>
      </c>
      <c r="J798" s="12"/>
      <c r="K798" s="1"/>
      <c r="L798" s="1"/>
      <c r="M798" s="1"/>
      <c r="N798" s="1"/>
      <c r="O798" s="1"/>
      <c r="P798" s="1"/>
      <c r="Q798" s="1"/>
      <c r="R798" s="1"/>
      <c r="S798" s="1"/>
      <c r="T798" s="1"/>
      <c r="U798" s="1"/>
      <c r="V798" s="1"/>
      <c r="W798" s="1"/>
      <c r="X798" s="1"/>
      <c r="Y798" s="1"/>
      <c r="Z798" s="1"/>
    </row>
    <row r="799">
      <c r="A799" s="1"/>
      <c r="B799" s="1"/>
      <c r="C799" s="54"/>
      <c r="D799" s="55"/>
      <c r="E799" s="69"/>
      <c r="F799" s="58"/>
      <c r="G799" s="58" t="str">
        <f t="shared" si="19"/>
        <v/>
      </c>
      <c r="H799" s="58"/>
      <c r="I799" s="59" t="str">
        <f t="shared" si="20"/>
        <v/>
      </c>
      <c r="J799" s="12"/>
      <c r="K799" s="1"/>
      <c r="L799" s="1"/>
      <c r="M799" s="1"/>
      <c r="N799" s="1"/>
      <c r="O799" s="1"/>
      <c r="P799" s="1"/>
      <c r="Q799" s="1"/>
      <c r="R799" s="1"/>
      <c r="S799" s="1"/>
      <c r="T799" s="1"/>
      <c r="U799" s="1"/>
      <c r="V799" s="1"/>
      <c r="W799" s="1"/>
      <c r="X799" s="1"/>
      <c r="Y799" s="1"/>
      <c r="Z799" s="1"/>
    </row>
    <row r="800">
      <c r="A800" s="1"/>
      <c r="B800" s="1"/>
      <c r="C800" s="48"/>
      <c r="D800" s="49"/>
      <c r="E800" s="70"/>
      <c r="F800" s="52"/>
      <c r="G800" s="52" t="str">
        <f t="shared" si="19"/>
        <v/>
      </c>
      <c r="H800" s="52"/>
      <c r="I800" s="53" t="str">
        <f t="shared" si="20"/>
        <v/>
      </c>
      <c r="J800" s="12"/>
      <c r="K800" s="1"/>
      <c r="L800" s="1"/>
      <c r="M800" s="1"/>
      <c r="N800" s="1"/>
      <c r="O800" s="1"/>
      <c r="P800" s="1"/>
      <c r="Q800" s="1"/>
      <c r="R800" s="1"/>
      <c r="S800" s="1"/>
      <c r="T800" s="1"/>
      <c r="U800" s="1"/>
      <c r="V800" s="1"/>
      <c r="W800" s="1"/>
      <c r="X800" s="1"/>
      <c r="Y800" s="1"/>
      <c r="Z800" s="1"/>
    </row>
    <row r="801">
      <c r="A801" s="1"/>
      <c r="B801" s="1"/>
      <c r="C801" s="54"/>
      <c r="D801" s="55"/>
      <c r="E801" s="69"/>
      <c r="F801" s="58"/>
      <c r="G801" s="58" t="str">
        <f t="shared" si="19"/>
        <v/>
      </c>
      <c r="H801" s="58"/>
      <c r="I801" s="59" t="str">
        <f t="shared" si="20"/>
        <v/>
      </c>
      <c r="J801" s="12"/>
      <c r="K801" s="1"/>
      <c r="L801" s="1"/>
      <c r="M801" s="1"/>
      <c r="N801" s="1"/>
      <c r="O801" s="1"/>
      <c r="P801" s="1"/>
      <c r="Q801" s="1"/>
      <c r="R801" s="1"/>
      <c r="S801" s="1"/>
      <c r="T801" s="1"/>
      <c r="U801" s="1"/>
      <c r="V801" s="1"/>
      <c r="W801" s="1"/>
      <c r="X801" s="1"/>
      <c r="Y801" s="1"/>
      <c r="Z801" s="1"/>
    </row>
    <row r="802">
      <c r="A802" s="1"/>
      <c r="B802" s="1"/>
      <c r="C802" s="48"/>
      <c r="D802" s="49"/>
      <c r="E802" s="70"/>
      <c r="F802" s="52"/>
      <c r="G802" s="52" t="str">
        <f t="shared" si="19"/>
        <v/>
      </c>
      <c r="H802" s="52"/>
      <c r="I802" s="53" t="str">
        <f t="shared" si="20"/>
        <v/>
      </c>
      <c r="J802" s="12"/>
      <c r="K802" s="1"/>
      <c r="L802" s="1"/>
      <c r="M802" s="1"/>
      <c r="N802" s="1"/>
      <c r="O802" s="1"/>
      <c r="P802" s="1"/>
      <c r="Q802" s="1"/>
      <c r="R802" s="1"/>
      <c r="S802" s="1"/>
      <c r="T802" s="1"/>
      <c r="U802" s="1"/>
      <c r="V802" s="1"/>
      <c r="W802" s="1"/>
      <c r="X802" s="1"/>
      <c r="Y802" s="1"/>
      <c r="Z802" s="1"/>
    </row>
    <row r="803">
      <c r="A803" s="1"/>
      <c r="B803" s="1"/>
      <c r="C803" s="54"/>
      <c r="D803" s="55"/>
      <c r="E803" s="69"/>
      <c r="F803" s="58"/>
      <c r="G803" s="58" t="str">
        <f t="shared" si="19"/>
        <v/>
      </c>
      <c r="H803" s="58"/>
      <c r="I803" s="59" t="str">
        <f t="shared" si="20"/>
        <v/>
      </c>
      <c r="J803" s="12"/>
      <c r="K803" s="1"/>
      <c r="L803" s="1"/>
      <c r="M803" s="1"/>
      <c r="N803" s="1"/>
      <c r="O803" s="1"/>
      <c r="P803" s="1"/>
      <c r="Q803" s="1"/>
      <c r="R803" s="1"/>
      <c r="S803" s="1"/>
      <c r="T803" s="1"/>
      <c r="U803" s="1"/>
      <c r="V803" s="1"/>
      <c r="W803" s="1"/>
      <c r="X803" s="1"/>
      <c r="Y803" s="1"/>
      <c r="Z803" s="1"/>
    </row>
    <row r="804">
      <c r="A804" s="1"/>
      <c r="B804" s="1"/>
      <c r="C804" s="48"/>
      <c r="D804" s="49"/>
      <c r="E804" s="70"/>
      <c r="F804" s="52"/>
      <c r="G804" s="52" t="str">
        <f t="shared" si="19"/>
        <v/>
      </c>
      <c r="H804" s="52"/>
      <c r="I804" s="53" t="str">
        <f t="shared" si="20"/>
        <v/>
      </c>
      <c r="J804" s="12"/>
      <c r="K804" s="1"/>
      <c r="L804" s="1"/>
      <c r="M804" s="1"/>
      <c r="N804" s="1"/>
      <c r="O804" s="1"/>
      <c r="P804" s="1"/>
      <c r="Q804" s="1"/>
      <c r="R804" s="1"/>
      <c r="S804" s="1"/>
      <c r="T804" s="1"/>
      <c r="U804" s="1"/>
      <c r="V804" s="1"/>
      <c r="W804" s="1"/>
      <c r="X804" s="1"/>
      <c r="Y804" s="1"/>
      <c r="Z804" s="1"/>
    </row>
    <row r="805">
      <c r="A805" s="1"/>
      <c r="B805" s="1"/>
      <c r="C805" s="54"/>
      <c r="D805" s="55"/>
      <c r="E805" s="69"/>
      <c r="F805" s="58"/>
      <c r="G805" s="58" t="str">
        <f t="shared" si="19"/>
        <v/>
      </c>
      <c r="H805" s="58"/>
      <c r="I805" s="59" t="str">
        <f t="shared" si="20"/>
        <v/>
      </c>
      <c r="J805" s="12"/>
      <c r="K805" s="1"/>
      <c r="L805" s="1"/>
      <c r="M805" s="1"/>
      <c r="N805" s="1"/>
      <c r="O805" s="1"/>
      <c r="P805" s="1"/>
      <c r="Q805" s="1"/>
      <c r="R805" s="1"/>
      <c r="S805" s="1"/>
      <c r="T805" s="1"/>
      <c r="U805" s="1"/>
      <c r="V805" s="1"/>
      <c r="W805" s="1"/>
      <c r="X805" s="1"/>
      <c r="Y805" s="1"/>
      <c r="Z805" s="1"/>
    </row>
    <row r="806">
      <c r="A806" s="1"/>
      <c r="B806" s="1"/>
      <c r="C806" s="48"/>
      <c r="D806" s="49"/>
      <c r="E806" s="70"/>
      <c r="F806" s="52"/>
      <c r="G806" s="52" t="str">
        <f t="shared" si="19"/>
        <v/>
      </c>
      <c r="H806" s="52"/>
      <c r="I806" s="53" t="str">
        <f t="shared" si="20"/>
        <v/>
      </c>
      <c r="J806" s="12"/>
      <c r="K806" s="1"/>
      <c r="L806" s="1"/>
      <c r="M806" s="1"/>
      <c r="N806" s="1"/>
      <c r="O806" s="1"/>
      <c r="P806" s="1"/>
      <c r="Q806" s="1"/>
      <c r="R806" s="1"/>
      <c r="S806" s="1"/>
      <c r="T806" s="1"/>
      <c r="U806" s="1"/>
      <c r="V806" s="1"/>
      <c r="W806" s="1"/>
      <c r="X806" s="1"/>
      <c r="Y806" s="1"/>
      <c r="Z806" s="1"/>
    </row>
    <row r="807">
      <c r="A807" s="1"/>
      <c r="B807" s="1"/>
      <c r="C807" s="54"/>
      <c r="D807" s="55"/>
      <c r="E807" s="69"/>
      <c r="F807" s="58"/>
      <c r="G807" s="58" t="str">
        <f t="shared" si="19"/>
        <v/>
      </c>
      <c r="H807" s="58"/>
      <c r="I807" s="59" t="str">
        <f t="shared" si="20"/>
        <v/>
      </c>
      <c r="J807" s="12"/>
      <c r="K807" s="1"/>
      <c r="L807" s="1"/>
      <c r="M807" s="1"/>
      <c r="N807" s="1"/>
      <c r="O807" s="1"/>
      <c r="P807" s="1"/>
      <c r="Q807" s="1"/>
      <c r="R807" s="1"/>
      <c r="S807" s="1"/>
      <c r="T807" s="1"/>
      <c r="U807" s="1"/>
      <c r="V807" s="1"/>
      <c r="W807" s="1"/>
      <c r="X807" s="1"/>
      <c r="Y807" s="1"/>
      <c r="Z807" s="1"/>
    </row>
    <row r="808">
      <c r="A808" s="1"/>
      <c r="B808" s="1"/>
      <c r="C808" s="48"/>
      <c r="D808" s="49"/>
      <c r="E808" s="70"/>
      <c r="F808" s="52"/>
      <c r="G808" s="52" t="str">
        <f t="shared" si="19"/>
        <v/>
      </c>
      <c r="H808" s="52"/>
      <c r="I808" s="53" t="str">
        <f t="shared" si="20"/>
        <v/>
      </c>
      <c r="J808" s="12"/>
      <c r="K808" s="1"/>
      <c r="L808" s="1"/>
      <c r="M808" s="1"/>
      <c r="N808" s="1"/>
      <c r="O808" s="1"/>
      <c r="P808" s="1"/>
      <c r="Q808" s="1"/>
      <c r="R808" s="1"/>
      <c r="S808" s="1"/>
      <c r="T808" s="1"/>
      <c r="U808" s="1"/>
      <c r="V808" s="1"/>
      <c r="W808" s="1"/>
      <c r="X808" s="1"/>
      <c r="Y808" s="1"/>
      <c r="Z808" s="1"/>
    </row>
    <row r="809">
      <c r="A809" s="1"/>
      <c r="B809" s="1"/>
      <c r="C809" s="54"/>
      <c r="D809" s="55"/>
      <c r="E809" s="69"/>
      <c r="F809" s="58"/>
      <c r="G809" s="58" t="str">
        <f t="shared" si="19"/>
        <v/>
      </c>
      <c r="H809" s="58"/>
      <c r="I809" s="59" t="str">
        <f t="shared" si="20"/>
        <v/>
      </c>
      <c r="J809" s="12"/>
      <c r="K809" s="1"/>
      <c r="L809" s="1"/>
      <c r="M809" s="1"/>
      <c r="N809" s="1"/>
      <c r="O809" s="1"/>
      <c r="P809" s="1"/>
      <c r="Q809" s="1"/>
      <c r="R809" s="1"/>
      <c r="S809" s="1"/>
      <c r="T809" s="1"/>
      <c r="U809" s="1"/>
      <c r="V809" s="1"/>
      <c r="W809" s="1"/>
      <c r="X809" s="1"/>
      <c r="Y809" s="1"/>
      <c r="Z809" s="1"/>
    </row>
    <row r="810">
      <c r="A810" s="1"/>
      <c r="B810" s="1"/>
      <c r="C810" s="48"/>
      <c r="D810" s="49"/>
      <c r="E810" s="70"/>
      <c r="F810" s="52"/>
      <c r="G810" s="52" t="str">
        <f t="shared" si="19"/>
        <v/>
      </c>
      <c r="H810" s="52"/>
      <c r="I810" s="53" t="str">
        <f t="shared" si="20"/>
        <v/>
      </c>
      <c r="J810" s="12"/>
      <c r="K810" s="1"/>
      <c r="L810" s="1"/>
      <c r="M810" s="1"/>
      <c r="N810" s="1"/>
      <c r="O810" s="1"/>
      <c r="P810" s="1"/>
      <c r="Q810" s="1"/>
      <c r="R810" s="1"/>
      <c r="S810" s="1"/>
      <c r="T810" s="1"/>
      <c r="U810" s="1"/>
      <c r="V810" s="1"/>
      <c r="W810" s="1"/>
      <c r="X810" s="1"/>
      <c r="Y810" s="1"/>
      <c r="Z810" s="1"/>
    </row>
    <row r="811">
      <c r="A811" s="1"/>
      <c r="B811" s="1"/>
      <c r="C811" s="54"/>
      <c r="D811" s="55"/>
      <c r="E811" s="69"/>
      <c r="F811" s="58"/>
      <c r="G811" s="58" t="str">
        <f t="shared" si="19"/>
        <v/>
      </c>
      <c r="H811" s="58"/>
      <c r="I811" s="59" t="str">
        <f t="shared" si="20"/>
        <v/>
      </c>
      <c r="J811" s="12"/>
      <c r="K811" s="1"/>
      <c r="L811" s="1"/>
      <c r="M811" s="1"/>
      <c r="N811" s="1"/>
      <c r="O811" s="1"/>
      <c r="P811" s="1"/>
      <c r="Q811" s="1"/>
      <c r="R811" s="1"/>
      <c r="S811" s="1"/>
      <c r="T811" s="1"/>
      <c r="U811" s="1"/>
      <c r="V811" s="1"/>
      <c r="W811" s="1"/>
      <c r="X811" s="1"/>
      <c r="Y811" s="1"/>
      <c r="Z811" s="1"/>
    </row>
    <row r="812">
      <c r="A812" s="1"/>
      <c r="B812" s="1"/>
      <c r="C812" s="48"/>
      <c r="D812" s="49"/>
      <c r="E812" s="70"/>
      <c r="F812" s="52"/>
      <c r="G812" s="52" t="str">
        <f t="shared" si="19"/>
        <v/>
      </c>
      <c r="H812" s="52"/>
      <c r="I812" s="53" t="str">
        <f t="shared" si="20"/>
        <v/>
      </c>
      <c r="J812" s="12"/>
      <c r="K812" s="1"/>
      <c r="L812" s="1"/>
      <c r="M812" s="1"/>
      <c r="N812" s="1"/>
      <c r="O812" s="1"/>
      <c r="P812" s="1"/>
      <c r="Q812" s="1"/>
      <c r="R812" s="1"/>
      <c r="S812" s="1"/>
      <c r="T812" s="1"/>
      <c r="U812" s="1"/>
      <c r="V812" s="1"/>
      <c r="W812" s="1"/>
      <c r="X812" s="1"/>
      <c r="Y812" s="1"/>
      <c r="Z812" s="1"/>
    </row>
    <row r="813">
      <c r="A813" s="1"/>
      <c r="B813" s="1"/>
      <c r="C813" s="54"/>
      <c r="D813" s="55"/>
      <c r="E813" s="69"/>
      <c r="F813" s="58"/>
      <c r="G813" s="58" t="str">
        <f t="shared" si="19"/>
        <v/>
      </c>
      <c r="H813" s="58"/>
      <c r="I813" s="59" t="str">
        <f t="shared" si="20"/>
        <v/>
      </c>
      <c r="J813" s="12"/>
      <c r="K813" s="1"/>
      <c r="L813" s="1"/>
      <c r="M813" s="1"/>
      <c r="N813" s="1"/>
      <c r="O813" s="1"/>
      <c r="P813" s="1"/>
      <c r="Q813" s="1"/>
      <c r="R813" s="1"/>
      <c r="S813" s="1"/>
      <c r="T813" s="1"/>
      <c r="U813" s="1"/>
      <c r="V813" s="1"/>
      <c r="W813" s="1"/>
      <c r="X813" s="1"/>
      <c r="Y813" s="1"/>
      <c r="Z813" s="1"/>
    </row>
    <row r="814">
      <c r="A814" s="1"/>
      <c r="B814" s="1"/>
      <c r="C814" s="48"/>
      <c r="D814" s="49"/>
      <c r="E814" s="70"/>
      <c r="F814" s="52"/>
      <c r="G814" s="52" t="str">
        <f t="shared" si="19"/>
        <v/>
      </c>
      <c r="H814" s="52"/>
      <c r="I814" s="53" t="str">
        <f t="shared" si="20"/>
        <v/>
      </c>
      <c r="J814" s="12"/>
      <c r="K814" s="1"/>
      <c r="L814" s="1"/>
      <c r="M814" s="1"/>
      <c r="N814" s="1"/>
      <c r="O814" s="1"/>
      <c r="P814" s="1"/>
      <c r="Q814" s="1"/>
      <c r="R814" s="1"/>
      <c r="S814" s="1"/>
      <c r="T814" s="1"/>
      <c r="U814" s="1"/>
      <c r="V814" s="1"/>
      <c r="W814" s="1"/>
      <c r="X814" s="1"/>
      <c r="Y814" s="1"/>
      <c r="Z814" s="1"/>
    </row>
    <row r="815">
      <c r="A815" s="1"/>
      <c r="B815" s="1"/>
      <c r="C815" s="54"/>
      <c r="D815" s="55"/>
      <c r="E815" s="69"/>
      <c r="F815" s="58"/>
      <c r="G815" s="58" t="str">
        <f t="shared" si="19"/>
        <v/>
      </c>
      <c r="H815" s="58"/>
      <c r="I815" s="59" t="str">
        <f t="shared" si="20"/>
        <v/>
      </c>
      <c r="J815" s="12"/>
      <c r="K815" s="1"/>
      <c r="L815" s="1"/>
      <c r="M815" s="1"/>
      <c r="N815" s="1"/>
      <c r="O815" s="1"/>
      <c r="P815" s="1"/>
      <c r="Q815" s="1"/>
      <c r="R815" s="1"/>
      <c r="S815" s="1"/>
      <c r="T815" s="1"/>
      <c r="U815" s="1"/>
      <c r="V815" s="1"/>
      <c r="W815" s="1"/>
      <c r="X815" s="1"/>
      <c r="Y815" s="1"/>
      <c r="Z815" s="1"/>
    </row>
    <row r="816">
      <c r="A816" s="1"/>
      <c r="B816" s="1"/>
      <c r="C816" s="48"/>
      <c r="D816" s="49"/>
      <c r="E816" s="70"/>
      <c r="F816" s="52"/>
      <c r="G816" s="52" t="str">
        <f t="shared" si="19"/>
        <v/>
      </c>
      <c r="H816" s="52"/>
      <c r="I816" s="53" t="str">
        <f t="shared" si="20"/>
        <v/>
      </c>
      <c r="J816" s="12"/>
      <c r="K816" s="1"/>
      <c r="L816" s="1"/>
      <c r="M816" s="1"/>
      <c r="N816" s="1"/>
      <c r="O816" s="1"/>
      <c r="P816" s="1"/>
      <c r="Q816" s="1"/>
      <c r="R816" s="1"/>
      <c r="S816" s="1"/>
      <c r="T816" s="1"/>
      <c r="U816" s="1"/>
      <c r="V816" s="1"/>
      <c r="W816" s="1"/>
      <c r="X816" s="1"/>
      <c r="Y816" s="1"/>
      <c r="Z816" s="1"/>
    </row>
    <row r="817">
      <c r="A817" s="1"/>
      <c r="B817" s="1"/>
      <c r="C817" s="54"/>
      <c r="D817" s="55"/>
      <c r="E817" s="69"/>
      <c r="F817" s="58"/>
      <c r="G817" s="58" t="str">
        <f t="shared" si="19"/>
        <v/>
      </c>
      <c r="H817" s="58"/>
      <c r="I817" s="59" t="str">
        <f t="shared" si="20"/>
        <v/>
      </c>
      <c r="J817" s="12"/>
      <c r="K817" s="1"/>
      <c r="L817" s="1"/>
      <c r="M817" s="1"/>
      <c r="N817" s="1"/>
      <c r="O817" s="1"/>
      <c r="P817" s="1"/>
      <c r="Q817" s="1"/>
      <c r="R817" s="1"/>
      <c r="S817" s="1"/>
      <c r="T817" s="1"/>
      <c r="U817" s="1"/>
      <c r="V817" s="1"/>
      <c r="W817" s="1"/>
      <c r="X817" s="1"/>
      <c r="Y817" s="1"/>
      <c r="Z817" s="1"/>
    </row>
    <row r="818">
      <c r="A818" s="1"/>
      <c r="B818" s="1"/>
      <c r="C818" s="48"/>
      <c r="D818" s="49"/>
      <c r="E818" s="70"/>
      <c r="F818" s="52"/>
      <c r="G818" s="52" t="str">
        <f t="shared" si="19"/>
        <v/>
      </c>
      <c r="H818" s="52"/>
      <c r="I818" s="53" t="str">
        <f t="shared" si="20"/>
        <v/>
      </c>
      <c r="J818" s="12"/>
      <c r="K818" s="1"/>
      <c r="L818" s="1"/>
      <c r="M818" s="1"/>
      <c r="N818" s="1"/>
      <c r="O818" s="1"/>
      <c r="P818" s="1"/>
      <c r="Q818" s="1"/>
      <c r="R818" s="1"/>
      <c r="S818" s="1"/>
      <c r="T818" s="1"/>
      <c r="U818" s="1"/>
      <c r="V818" s="1"/>
      <c r="W818" s="1"/>
      <c r="X818" s="1"/>
      <c r="Y818" s="1"/>
      <c r="Z818" s="1"/>
    </row>
    <row r="819">
      <c r="A819" s="1"/>
      <c r="B819" s="1"/>
      <c r="C819" s="54"/>
      <c r="D819" s="55"/>
      <c r="E819" s="69"/>
      <c r="F819" s="58"/>
      <c r="G819" s="58" t="str">
        <f t="shared" si="19"/>
        <v/>
      </c>
      <c r="H819" s="58"/>
      <c r="I819" s="59" t="str">
        <f t="shared" si="20"/>
        <v/>
      </c>
      <c r="J819" s="12"/>
      <c r="K819" s="1"/>
      <c r="L819" s="1"/>
      <c r="M819" s="1"/>
      <c r="N819" s="1"/>
      <c r="O819" s="1"/>
      <c r="P819" s="1"/>
      <c r="Q819" s="1"/>
      <c r="R819" s="1"/>
      <c r="S819" s="1"/>
      <c r="T819" s="1"/>
      <c r="U819" s="1"/>
      <c r="V819" s="1"/>
      <c r="W819" s="1"/>
      <c r="X819" s="1"/>
      <c r="Y819" s="1"/>
      <c r="Z819" s="1"/>
    </row>
    <row r="820">
      <c r="A820" s="1"/>
      <c r="B820" s="1"/>
      <c r="C820" s="48"/>
      <c r="D820" s="49"/>
      <c r="E820" s="70"/>
      <c r="F820" s="52"/>
      <c r="G820" s="52" t="str">
        <f t="shared" si="19"/>
        <v/>
      </c>
      <c r="H820" s="52"/>
      <c r="I820" s="53" t="str">
        <f t="shared" si="20"/>
        <v/>
      </c>
      <c r="J820" s="12"/>
      <c r="K820" s="1"/>
      <c r="L820" s="1"/>
      <c r="M820" s="1"/>
      <c r="N820" s="1"/>
      <c r="O820" s="1"/>
      <c r="P820" s="1"/>
      <c r="Q820" s="1"/>
      <c r="R820" s="1"/>
      <c r="S820" s="1"/>
      <c r="T820" s="1"/>
      <c r="U820" s="1"/>
      <c r="V820" s="1"/>
      <c r="W820" s="1"/>
      <c r="X820" s="1"/>
      <c r="Y820" s="1"/>
      <c r="Z820" s="1"/>
    </row>
    <row r="821">
      <c r="A821" s="1"/>
      <c r="B821" s="1"/>
      <c r="C821" s="54"/>
      <c r="D821" s="55"/>
      <c r="E821" s="69"/>
      <c r="F821" s="58"/>
      <c r="G821" s="58" t="str">
        <f t="shared" si="19"/>
        <v/>
      </c>
      <c r="H821" s="58"/>
      <c r="I821" s="59" t="str">
        <f t="shared" si="20"/>
        <v/>
      </c>
      <c r="J821" s="12"/>
      <c r="K821" s="1"/>
      <c r="L821" s="1"/>
      <c r="M821" s="1"/>
      <c r="N821" s="1"/>
      <c r="O821" s="1"/>
      <c r="P821" s="1"/>
      <c r="Q821" s="1"/>
      <c r="R821" s="1"/>
      <c r="S821" s="1"/>
      <c r="T821" s="1"/>
      <c r="U821" s="1"/>
      <c r="V821" s="1"/>
      <c r="W821" s="1"/>
      <c r="X821" s="1"/>
      <c r="Y821" s="1"/>
      <c r="Z821" s="1"/>
    </row>
    <row r="822">
      <c r="A822" s="1"/>
      <c r="B822" s="1"/>
      <c r="C822" s="48"/>
      <c r="D822" s="49"/>
      <c r="E822" s="70"/>
      <c r="F822" s="52"/>
      <c r="G822" s="52" t="str">
        <f t="shared" si="19"/>
        <v/>
      </c>
      <c r="H822" s="52"/>
      <c r="I822" s="53" t="str">
        <f t="shared" si="20"/>
        <v/>
      </c>
      <c r="J822" s="12"/>
      <c r="K822" s="1"/>
      <c r="L822" s="1"/>
      <c r="M822" s="1"/>
      <c r="N822" s="1"/>
      <c r="O822" s="1"/>
      <c r="P822" s="1"/>
      <c r="Q822" s="1"/>
      <c r="R822" s="1"/>
      <c r="S822" s="1"/>
      <c r="T822" s="1"/>
      <c r="U822" s="1"/>
      <c r="V822" s="1"/>
      <c r="W822" s="1"/>
      <c r="X822" s="1"/>
      <c r="Y822" s="1"/>
      <c r="Z822" s="1"/>
    </row>
    <row r="823">
      <c r="A823" s="1"/>
      <c r="B823" s="1"/>
      <c r="C823" s="54"/>
      <c r="D823" s="55"/>
      <c r="E823" s="69"/>
      <c r="F823" s="58"/>
      <c r="G823" s="58" t="str">
        <f t="shared" si="19"/>
        <v/>
      </c>
      <c r="H823" s="58"/>
      <c r="I823" s="59" t="str">
        <f t="shared" si="20"/>
        <v/>
      </c>
      <c r="J823" s="12"/>
      <c r="K823" s="1"/>
      <c r="L823" s="1"/>
      <c r="M823" s="1"/>
      <c r="N823" s="1"/>
      <c r="O823" s="1"/>
      <c r="P823" s="1"/>
      <c r="Q823" s="1"/>
      <c r="R823" s="1"/>
      <c r="S823" s="1"/>
      <c r="T823" s="1"/>
      <c r="U823" s="1"/>
      <c r="V823" s="1"/>
      <c r="W823" s="1"/>
      <c r="X823" s="1"/>
      <c r="Y823" s="1"/>
      <c r="Z823" s="1"/>
    </row>
    <row r="824">
      <c r="A824" s="1"/>
      <c r="B824" s="1"/>
      <c r="C824" s="48"/>
      <c r="D824" s="49"/>
      <c r="E824" s="70"/>
      <c r="F824" s="52"/>
      <c r="G824" s="52" t="str">
        <f t="shared" si="19"/>
        <v/>
      </c>
      <c r="H824" s="52"/>
      <c r="I824" s="53" t="str">
        <f t="shared" si="20"/>
        <v/>
      </c>
      <c r="J824" s="12"/>
      <c r="K824" s="1"/>
      <c r="L824" s="1"/>
      <c r="M824" s="1"/>
      <c r="N824" s="1"/>
      <c r="O824" s="1"/>
      <c r="P824" s="1"/>
      <c r="Q824" s="1"/>
      <c r="R824" s="1"/>
      <c r="S824" s="1"/>
      <c r="T824" s="1"/>
      <c r="U824" s="1"/>
      <c r="V824" s="1"/>
      <c r="W824" s="1"/>
      <c r="X824" s="1"/>
      <c r="Y824" s="1"/>
      <c r="Z824" s="1"/>
    </row>
    <row r="825">
      <c r="A825" s="1"/>
      <c r="B825" s="1"/>
      <c r="C825" s="54"/>
      <c r="D825" s="55"/>
      <c r="E825" s="69"/>
      <c r="F825" s="58"/>
      <c r="G825" s="58" t="str">
        <f t="shared" si="19"/>
        <v/>
      </c>
      <c r="H825" s="58"/>
      <c r="I825" s="59" t="str">
        <f t="shared" si="20"/>
        <v/>
      </c>
      <c r="J825" s="12"/>
      <c r="K825" s="1"/>
      <c r="L825" s="1"/>
      <c r="M825" s="1"/>
      <c r="N825" s="1"/>
      <c r="O825" s="1"/>
      <c r="P825" s="1"/>
      <c r="Q825" s="1"/>
      <c r="R825" s="1"/>
      <c r="S825" s="1"/>
      <c r="T825" s="1"/>
      <c r="U825" s="1"/>
      <c r="V825" s="1"/>
      <c r="W825" s="1"/>
      <c r="X825" s="1"/>
      <c r="Y825" s="1"/>
      <c r="Z825" s="1"/>
    </row>
    <row r="826">
      <c r="A826" s="1"/>
      <c r="B826" s="1"/>
      <c r="C826" s="48"/>
      <c r="D826" s="49"/>
      <c r="E826" s="70"/>
      <c r="F826" s="52"/>
      <c r="G826" s="52" t="str">
        <f t="shared" si="19"/>
        <v/>
      </c>
      <c r="H826" s="52"/>
      <c r="I826" s="53" t="str">
        <f t="shared" si="20"/>
        <v/>
      </c>
      <c r="J826" s="12"/>
      <c r="K826" s="1"/>
      <c r="L826" s="1"/>
      <c r="M826" s="1"/>
      <c r="N826" s="1"/>
      <c r="O826" s="1"/>
      <c r="P826" s="1"/>
      <c r="Q826" s="1"/>
      <c r="R826" s="1"/>
      <c r="S826" s="1"/>
      <c r="T826" s="1"/>
      <c r="U826" s="1"/>
      <c r="V826" s="1"/>
      <c r="W826" s="1"/>
      <c r="X826" s="1"/>
      <c r="Y826" s="1"/>
      <c r="Z826" s="1"/>
    </row>
    <row r="827">
      <c r="A827" s="1"/>
      <c r="B827" s="1"/>
      <c r="C827" s="54"/>
      <c r="D827" s="55"/>
      <c r="E827" s="69"/>
      <c r="F827" s="58"/>
      <c r="G827" s="58" t="str">
        <f t="shared" si="19"/>
        <v/>
      </c>
      <c r="H827" s="58"/>
      <c r="I827" s="59" t="str">
        <f t="shared" si="20"/>
        <v/>
      </c>
      <c r="J827" s="12"/>
      <c r="K827" s="1"/>
      <c r="L827" s="1"/>
      <c r="M827" s="1"/>
      <c r="N827" s="1"/>
      <c r="O827" s="1"/>
      <c r="P827" s="1"/>
      <c r="Q827" s="1"/>
      <c r="R827" s="1"/>
      <c r="S827" s="1"/>
      <c r="T827" s="1"/>
      <c r="U827" s="1"/>
      <c r="V827" s="1"/>
      <c r="W827" s="1"/>
      <c r="X827" s="1"/>
      <c r="Y827" s="1"/>
      <c r="Z827" s="1"/>
    </row>
    <row r="828">
      <c r="A828" s="1"/>
      <c r="B828" s="1"/>
      <c r="C828" s="48"/>
      <c r="D828" s="49"/>
      <c r="E828" s="70"/>
      <c r="F828" s="52"/>
      <c r="G828" s="52" t="str">
        <f t="shared" si="19"/>
        <v/>
      </c>
      <c r="H828" s="52"/>
      <c r="I828" s="53" t="str">
        <f t="shared" si="20"/>
        <v/>
      </c>
      <c r="J828" s="12"/>
      <c r="K828" s="1"/>
      <c r="L828" s="1"/>
      <c r="M828" s="1"/>
      <c r="N828" s="1"/>
      <c r="O828" s="1"/>
      <c r="P828" s="1"/>
      <c r="Q828" s="1"/>
      <c r="R828" s="1"/>
      <c r="S828" s="1"/>
      <c r="T828" s="1"/>
      <c r="U828" s="1"/>
      <c r="V828" s="1"/>
      <c r="W828" s="1"/>
      <c r="X828" s="1"/>
      <c r="Y828" s="1"/>
      <c r="Z828" s="1"/>
    </row>
    <row r="829">
      <c r="A829" s="1"/>
      <c r="B829" s="1"/>
      <c r="C829" s="54"/>
      <c r="D829" s="55"/>
      <c r="E829" s="69"/>
      <c r="F829" s="58"/>
      <c r="G829" s="58" t="str">
        <f t="shared" si="19"/>
        <v/>
      </c>
      <c r="H829" s="58"/>
      <c r="I829" s="59" t="str">
        <f t="shared" si="20"/>
        <v/>
      </c>
      <c r="J829" s="12"/>
      <c r="K829" s="1"/>
      <c r="L829" s="1"/>
      <c r="M829" s="1"/>
      <c r="N829" s="1"/>
      <c r="O829" s="1"/>
      <c r="P829" s="1"/>
      <c r="Q829" s="1"/>
      <c r="R829" s="1"/>
      <c r="S829" s="1"/>
      <c r="T829" s="1"/>
      <c r="U829" s="1"/>
      <c r="V829" s="1"/>
      <c r="W829" s="1"/>
      <c r="X829" s="1"/>
      <c r="Y829" s="1"/>
      <c r="Z829" s="1"/>
    </row>
    <row r="830">
      <c r="A830" s="1"/>
      <c r="B830" s="1"/>
      <c r="C830" s="48"/>
      <c r="D830" s="49"/>
      <c r="E830" s="70"/>
      <c r="F830" s="52"/>
      <c r="G830" s="52" t="str">
        <f t="shared" si="19"/>
        <v/>
      </c>
      <c r="H830" s="52"/>
      <c r="I830" s="53" t="str">
        <f t="shared" si="20"/>
        <v/>
      </c>
      <c r="J830" s="12"/>
      <c r="K830" s="1"/>
      <c r="L830" s="1"/>
      <c r="M830" s="1"/>
      <c r="N830" s="1"/>
      <c r="O830" s="1"/>
      <c r="P830" s="1"/>
      <c r="Q830" s="1"/>
      <c r="R830" s="1"/>
      <c r="S830" s="1"/>
      <c r="T830" s="1"/>
      <c r="U830" s="1"/>
      <c r="V830" s="1"/>
      <c r="W830" s="1"/>
      <c r="X830" s="1"/>
      <c r="Y830" s="1"/>
      <c r="Z830" s="1"/>
    </row>
    <row r="831">
      <c r="A831" s="1"/>
      <c r="B831" s="1"/>
      <c r="C831" s="54"/>
      <c r="D831" s="55"/>
      <c r="E831" s="69"/>
      <c r="F831" s="58"/>
      <c r="G831" s="58" t="str">
        <f t="shared" si="19"/>
        <v/>
      </c>
      <c r="H831" s="58"/>
      <c r="I831" s="59" t="str">
        <f t="shared" si="20"/>
        <v/>
      </c>
      <c r="J831" s="12"/>
      <c r="K831" s="1"/>
      <c r="L831" s="1"/>
      <c r="M831" s="1"/>
      <c r="N831" s="1"/>
      <c r="O831" s="1"/>
      <c r="P831" s="1"/>
      <c r="Q831" s="1"/>
      <c r="R831" s="1"/>
      <c r="S831" s="1"/>
      <c r="T831" s="1"/>
      <c r="U831" s="1"/>
      <c r="V831" s="1"/>
      <c r="W831" s="1"/>
      <c r="X831" s="1"/>
      <c r="Y831" s="1"/>
      <c r="Z831" s="1"/>
    </row>
    <row r="832">
      <c r="A832" s="1"/>
      <c r="B832" s="1"/>
      <c r="C832" s="48"/>
      <c r="D832" s="49"/>
      <c r="E832" s="70"/>
      <c r="F832" s="52"/>
      <c r="G832" s="52" t="str">
        <f t="shared" si="19"/>
        <v/>
      </c>
      <c r="H832" s="52"/>
      <c r="I832" s="53" t="str">
        <f t="shared" si="20"/>
        <v/>
      </c>
      <c r="J832" s="12"/>
      <c r="K832" s="1"/>
      <c r="L832" s="1"/>
      <c r="M832" s="1"/>
      <c r="N832" s="1"/>
      <c r="O832" s="1"/>
      <c r="P832" s="1"/>
      <c r="Q832" s="1"/>
      <c r="R832" s="1"/>
      <c r="S832" s="1"/>
      <c r="T832" s="1"/>
      <c r="U832" s="1"/>
      <c r="V832" s="1"/>
      <c r="W832" s="1"/>
      <c r="X832" s="1"/>
      <c r="Y832" s="1"/>
      <c r="Z832" s="1"/>
    </row>
    <row r="833">
      <c r="A833" s="1"/>
      <c r="B833" s="1"/>
      <c r="C833" s="54"/>
      <c r="D833" s="55"/>
      <c r="E833" s="69"/>
      <c r="F833" s="58"/>
      <c r="G833" s="58" t="str">
        <f t="shared" si="19"/>
        <v/>
      </c>
      <c r="H833" s="58"/>
      <c r="I833" s="59" t="str">
        <f t="shared" si="20"/>
        <v/>
      </c>
      <c r="J833" s="12"/>
      <c r="K833" s="1"/>
      <c r="L833" s="1"/>
      <c r="M833" s="1"/>
      <c r="N833" s="1"/>
      <c r="O833" s="1"/>
      <c r="P833" s="1"/>
      <c r="Q833" s="1"/>
      <c r="R833" s="1"/>
      <c r="S833" s="1"/>
      <c r="T833" s="1"/>
      <c r="U833" s="1"/>
      <c r="V833" s="1"/>
      <c r="W833" s="1"/>
      <c r="X833" s="1"/>
      <c r="Y833" s="1"/>
      <c r="Z833" s="1"/>
    </row>
    <row r="834">
      <c r="A834" s="1"/>
      <c r="B834" s="1"/>
      <c r="C834" s="48"/>
      <c r="D834" s="49"/>
      <c r="E834" s="70"/>
      <c r="F834" s="52"/>
      <c r="G834" s="52" t="str">
        <f t="shared" si="19"/>
        <v/>
      </c>
      <c r="H834" s="52"/>
      <c r="I834" s="53" t="str">
        <f t="shared" si="20"/>
        <v/>
      </c>
      <c r="J834" s="12"/>
      <c r="K834" s="1"/>
      <c r="L834" s="1"/>
      <c r="M834" s="1"/>
      <c r="N834" s="1"/>
      <c r="O834" s="1"/>
      <c r="P834" s="1"/>
      <c r="Q834" s="1"/>
      <c r="R834" s="1"/>
      <c r="S834" s="1"/>
      <c r="T834" s="1"/>
      <c r="U834" s="1"/>
      <c r="V834" s="1"/>
      <c r="W834" s="1"/>
      <c r="X834" s="1"/>
      <c r="Y834" s="1"/>
      <c r="Z834" s="1"/>
    </row>
    <row r="835">
      <c r="A835" s="1"/>
      <c r="B835" s="1"/>
      <c r="C835" s="54"/>
      <c r="D835" s="55"/>
      <c r="E835" s="69"/>
      <c r="F835" s="58"/>
      <c r="G835" s="58" t="str">
        <f t="shared" si="19"/>
        <v/>
      </c>
      <c r="H835" s="58"/>
      <c r="I835" s="59" t="str">
        <f t="shared" si="20"/>
        <v/>
      </c>
      <c r="J835" s="12"/>
      <c r="K835" s="1"/>
      <c r="L835" s="1"/>
      <c r="M835" s="1"/>
      <c r="N835" s="1"/>
      <c r="O835" s="1"/>
      <c r="P835" s="1"/>
      <c r="Q835" s="1"/>
      <c r="R835" s="1"/>
      <c r="S835" s="1"/>
      <c r="T835" s="1"/>
      <c r="U835" s="1"/>
      <c r="V835" s="1"/>
      <c r="W835" s="1"/>
      <c r="X835" s="1"/>
      <c r="Y835" s="1"/>
      <c r="Z835" s="1"/>
    </row>
    <row r="836">
      <c r="A836" s="1"/>
      <c r="B836" s="1"/>
      <c r="C836" s="48"/>
      <c r="D836" s="49"/>
      <c r="E836" s="70"/>
      <c r="F836" s="52"/>
      <c r="G836" s="52" t="str">
        <f t="shared" si="19"/>
        <v/>
      </c>
      <c r="H836" s="52"/>
      <c r="I836" s="53" t="str">
        <f t="shared" si="20"/>
        <v/>
      </c>
      <c r="J836" s="12"/>
      <c r="K836" s="1"/>
      <c r="L836" s="1"/>
      <c r="M836" s="1"/>
      <c r="N836" s="1"/>
      <c r="O836" s="1"/>
      <c r="P836" s="1"/>
      <c r="Q836" s="1"/>
      <c r="R836" s="1"/>
      <c r="S836" s="1"/>
      <c r="T836" s="1"/>
      <c r="U836" s="1"/>
      <c r="V836" s="1"/>
      <c r="W836" s="1"/>
      <c r="X836" s="1"/>
      <c r="Y836" s="1"/>
      <c r="Z836" s="1"/>
    </row>
    <row r="837">
      <c r="A837" s="1"/>
      <c r="B837" s="1"/>
      <c r="C837" s="54"/>
      <c r="D837" s="55"/>
      <c r="E837" s="69"/>
      <c r="F837" s="58"/>
      <c r="G837" s="58" t="str">
        <f t="shared" si="19"/>
        <v/>
      </c>
      <c r="H837" s="58"/>
      <c r="I837" s="59" t="str">
        <f t="shared" si="20"/>
        <v/>
      </c>
      <c r="J837" s="12"/>
      <c r="K837" s="1"/>
      <c r="L837" s="1"/>
      <c r="M837" s="1"/>
      <c r="N837" s="1"/>
      <c r="O837" s="1"/>
      <c r="P837" s="1"/>
      <c r="Q837" s="1"/>
      <c r="R837" s="1"/>
      <c r="S837" s="1"/>
      <c r="T837" s="1"/>
      <c r="U837" s="1"/>
      <c r="V837" s="1"/>
      <c r="W837" s="1"/>
      <c r="X837" s="1"/>
      <c r="Y837" s="1"/>
      <c r="Z837" s="1"/>
    </row>
    <row r="838">
      <c r="A838" s="1"/>
      <c r="B838" s="1"/>
      <c r="C838" s="48"/>
      <c r="D838" s="49"/>
      <c r="E838" s="70"/>
      <c r="F838" s="52"/>
      <c r="G838" s="52" t="str">
        <f t="shared" si="19"/>
        <v/>
      </c>
      <c r="H838" s="52"/>
      <c r="I838" s="53" t="str">
        <f t="shared" si="20"/>
        <v/>
      </c>
      <c r="J838" s="12"/>
      <c r="K838" s="1"/>
      <c r="L838" s="1"/>
      <c r="M838" s="1"/>
      <c r="N838" s="1"/>
      <c r="O838" s="1"/>
      <c r="P838" s="1"/>
      <c r="Q838" s="1"/>
      <c r="R838" s="1"/>
      <c r="S838" s="1"/>
      <c r="T838" s="1"/>
      <c r="U838" s="1"/>
      <c r="V838" s="1"/>
      <c r="W838" s="1"/>
      <c r="X838" s="1"/>
      <c r="Y838" s="1"/>
      <c r="Z838" s="1"/>
    </row>
    <row r="839">
      <c r="A839" s="1"/>
      <c r="B839" s="1"/>
      <c r="C839" s="54"/>
      <c r="D839" s="55"/>
      <c r="E839" s="69"/>
      <c r="F839" s="58"/>
      <c r="G839" s="58" t="str">
        <f t="shared" si="19"/>
        <v/>
      </c>
      <c r="H839" s="58"/>
      <c r="I839" s="59" t="str">
        <f t="shared" si="20"/>
        <v/>
      </c>
      <c r="J839" s="12"/>
      <c r="K839" s="1"/>
      <c r="L839" s="1"/>
      <c r="M839" s="1"/>
      <c r="N839" s="1"/>
      <c r="O839" s="1"/>
      <c r="P839" s="1"/>
      <c r="Q839" s="1"/>
      <c r="R839" s="1"/>
      <c r="S839" s="1"/>
      <c r="T839" s="1"/>
      <c r="U839" s="1"/>
      <c r="V839" s="1"/>
      <c r="W839" s="1"/>
      <c r="X839" s="1"/>
      <c r="Y839" s="1"/>
      <c r="Z839" s="1"/>
    </row>
    <row r="840">
      <c r="A840" s="1"/>
      <c r="B840" s="1"/>
      <c r="C840" s="48"/>
      <c r="D840" s="49"/>
      <c r="E840" s="70"/>
      <c r="F840" s="52"/>
      <c r="G840" s="52" t="str">
        <f t="shared" si="19"/>
        <v/>
      </c>
      <c r="H840" s="52"/>
      <c r="I840" s="53" t="str">
        <f t="shared" si="20"/>
        <v/>
      </c>
      <c r="J840" s="12"/>
      <c r="K840" s="1"/>
      <c r="L840" s="1"/>
      <c r="M840" s="1"/>
      <c r="N840" s="1"/>
      <c r="O840" s="1"/>
      <c r="P840" s="1"/>
      <c r="Q840" s="1"/>
      <c r="R840" s="1"/>
      <c r="S840" s="1"/>
      <c r="T840" s="1"/>
      <c r="U840" s="1"/>
      <c r="V840" s="1"/>
      <c r="W840" s="1"/>
      <c r="X840" s="1"/>
      <c r="Y840" s="1"/>
      <c r="Z840" s="1"/>
    </row>
    <row r="841">
      <c r="A841" s="1"/>
      <c r="B841" s="1"/>
      <c r="C841" s="54"/>
      <c r="D841" s="55"/>
      <c r="E841" s="69"/>
      <c r="F841" s="58"/>
      <c r="G841" s="58" t="str">
        <f t="shared" si="19"/>
        <v/>
      </c>
      <c r="H841" s="58"/>
      <c r="I841" s="59" t="str">
        <f t="shared" si="20"/>
        <v/>
      </c>
      <c r="J841" s="12"/>
      <c r="K841" s="1"/>
      <c r="L841" s="1"/>
      <c r="M841" s="1"/>
      <c r="N841" s="1"/>
      <c r="O841" s="1"/>
      <c r="P841" s="1"/>
      <c r="Q841" s="1"/>
      <c r="R841" s="1"/>
      <c r="S841" s="1"/>
      <c r="T841" s="1"/>
      <c r="U841" s="1"/>
      <c r="V841" s="1"/>
      <c r="W841" s="1"/>
      <c r="X841" s="1"/>
      <c r="Y841" s="1"/>
      <c r="Z841" s="1"/>
    </row>
    <row r="842">
      <c r="A842" s="1"/>
      <c r="B842" s="1"/>
      <c r="C842" s="48"/>
      <c r="D842" s="49"/>
      <c r="E842" s="70"/>
      <c r="F842" s="52"/>
      <c r="G842" s="52" t="str">
        <f t="shared" si="19"/>
        <v/>
      </c>
      <c r="H842" s="52"/>
      <c r="I842" s="53" t="str">
        <f t="shared" si="20"/>
        <v/>
      </c>
      <c r="J842" s="12"/>
      <c r="K842" s="1"/>
      <c r="L842" s="1"/>
      <c r="M842" s="1"/>
      <c r="N842" s="1"/>
      <c r="O842" s="1"/>
      <c r="P842" s="1"/>
      <c r="Q842" s="1"/>
      <c r="R842" s="1"/>
      <c r="S842" s="1"/>
      <c r="T842" s="1"/>
      <c r="U842" s="1"/>
      <c r="V842" s="1"/>
      <c r="W842" s="1"/>
      <c r="X842" s="1"/>
      <c r="Y842" s="1"/>
      <c r="Z842" s="1"/>
    </row>
    <row r="843">
      <c r="A843" s="1"/>
      <c r="B843" s="1"/>
      <c r="C843" s="54"/>
      <c r="D843" s="55"/>
      <c r="E843" s="69"/>
      <c r="F843" s="58"/>
      <c r="G843" s="58" t="str">
        <f t="shared" si="19"/>
        <v/>
      </c>
      <c r="H843" s="58"/>
      <c r="I843" s="59" t="str">
        <f t="shared" si="20"/>
        <v/>
      </c>
      <c r="J843" s="12"/>
      <c r="K843" s="1"/>
      <c r="L843" s="1"/>
      <c r="M843" s="1"/>
      <c r="N843" s="1"/>
      <c r="O843" s="1"/>
      <c r="P843" s="1"/>
      <c r="Q843" s="1"/>
      <c r="R843" s="1"/>
      <c r="S843" s="1"/>
      <c r="T843" s="1"/>
      <c r="U843" s="1"/>
      <c r="V843" s="1"/>
      <c r="W843" s="1"/>
      <c r="X843" s="1"/>
      <c r="Y843" s="1"/>
      <c r="Z843" s="1"/>
    </row>
    <row r="844">
      <c r="A844" s="1"/>
      <c r="B844" s="1"/>
      <c r="C844" s="48"/>
      <c r="D844" s="49"/>
      <c r="E844" s="70"/>
      <c r="F844" s="52"/>
      <c r="G844" s="52" t="str">
        <f t="shared" si="19"/>
        <v/>
      </c>
      <c r="H844" s="52"/>
      <c r="I844" s="53" t="str">
        <f t="shared" si="20"/>
        <v/>
      </c>
      <c r="J844" s="12"/>
      <c r="K844" s="1"/>
      <c r="L844" s="1"/>
      <c r="M844" s="1"/>
      <c r="N844" s="1"/>
      <c r="O844" s="1"/>
      <c r="P844" s="1"/>
      <c r="Q844" s="1"/>
      <c r="R844" s="1"/>
      <c r="S844" s="1"/>
      <c r="T844" s="1"/>
      <c r="U844" s="1"/>
      <c r="V844" s="1"/>
      <c r="W844" s="1"/>
      <c r="X844" s="1"/>
      <c r="Y844" s="1"/>
      <c r="Z844" s="1"/>
    </row>
    <row r="845">
      <c r="A845" s="1"/>
      <c r="B845" s="1"/>
      <c r="C845" s="54"/>
      <c r="D845" s="55"/>
      <c r="E845" s="69"/>
      <c r="F845" s="58"/>
      <c r="G845" s="58" t="str">
        <f t="shared" si="19"/>
        <v/>
      </c>
      <c r="H845" s="58"/>
      <c r="I845" s="59" t="str">
        <f t="shared" si="20"/>
        <v/>
      </c>
      <c r="J845" s="12"/>
      <c r="K845" s="1"/>
      <c r="L845" s="1"/>
      <c r="M845" s="1"/>
      <c r="N845" s="1"/>
      <c r="O845" s="1"/>
      <c r="P845" s="1"/>
      <c r="Q845" s="1"/>
      <c r="R845" s="1"/>
      <c r="S845" s="1"/>
      <c r="T845" s="1"/>
      <c r="U845" s="1"/>
      <c r="V845" s="1"/>
      <c r="W845" s="1"/>
      <c r="X845" s="1"/>
      <c r="Y845" s="1"/>
      <c r="Z845" s="1"/>
    </row>
    <row r="846">
      <c r="A846" s="1"/>
      <c r="B846" s="1"/>
      <c r="C846" s="48"/>
      <c r="D846" s="49"/>
      <c r="E846" s="70"/>
      <c r="F846" s="52"/>
      <c r="G846" s="52" t="str">
        <f t="shared" si="19"/>
        <v/>
      </c>
      <c r="H846" s="52"/>
      <c r="I846" s="53" t="str">
        <f t="shared" si="20"/>
        <v/>
      </c>
      <c r="J846" s="12"/>
      <c r="K846" s="1"/>
      <c r="L846" s="1"/>
      <c r="M846" s="1"/>
      <c r="N846" s="1"/>
      <c r="O846" s="1"/>
      <c r="P846" s="1"/>
      <c r="Q846" s="1"/>
      <c r="R846" s="1"/>
      <c r="S846" s="1"/>
      <c r="T846" s="1"/>
      <c r="U846" s="1"/>
      <c r="V846" s="1"/>
      <c r="W846" s="1"/>
      <c r="X846" s="1"/>
      <c r="Y846" s="1"/>
      <c r="Z846" s="1"/>
    </row>
    <row r="847">
      <c r="A847" s="1"/>
      <c r="B847" s="1"/>
      <c r="C847" s="54"/>
      <c r="D847" s="55"/>
      <c r="E847" s="69"/>
      <c r="F847" s="58"/>
      <c r="G847" s="58" t="str">
        <f t="shared" si="19"/>
        <v/>
      </c>
      <c r="H847" s="58"/>
      <c r="I847" s="59" t="str">
        <f t="shared" si="20"/>
        <v/>
      </c>
      <c r="J847" s="12"/>
      <c r="K847" s="1"/>
      <c r="L847" s="1"/>
      <c r="M847" s="1"/>
      <c r="N847" s="1"/>
      <c r="O847" s="1"/>
      <c r="P847" s="1"/>
      <c r="Q847" s="1"/>
      <c r="R847" s="1"/>
      <c r="S847" s="1"/>
      <c r="T847" s="1"/>
      <c r="U847" s="1"/>
      <c r="V847" s="1"/>
      <c r="W847" s="1"/>
      <c r="X847" s="1"/>
      <c r="Y847" s="1"/>
      <c r="Z847" s="1"/>
    </row>
    <row r="848">
      <c r="A848" s="1"/>
      <c r="B848" s="1"/>
      <c r="C848" s="48"/>
      <c r="D848" s="49"/>
      <c r="E848" s="70"/>
      <c r="F848" s="52"/>
      <c r="G848" s="52" t="str">
        <f t="shared" si="19"/>
        <v/>
      </c>
      <c r="H848" s="52"/>
      <c r="I848" s="53" t="str">
        <f t="shared" si="20"/>
        <v/>
      </c>
      <c r="J848" s="12"/>
      <c r="K848" s="1"/>
      <c r="L848" s="1"/>
      <c r="M848" s="1"/>
      <c r="N848" s="1"/>
      <c r="O848" s="1"/>
      <c r="P848" s="1"/>
      <c r="Q848" s="1"/>
      <c r="R848" s="1"/>
      <c r="S848" s="1"/>
      <c r="T848" s="1"/>
      <c r="U848" s="1"/>
      <c r="V848" s="1"/>
      <c r="W848" s="1"/>
      <c r="X848" s="1"/>
      <c r="Y848" s="1"/>
      <c r="Z848" s="1"/>
    </row>
    <row r="849">
      <c r="A849" s="1"/>
      <c r="B849" s="1"/>
      <c r="C849" s="54"/>
      <c r="D849" s="55"/>
      <c r="E849" s="69"/>
      <c r="F849" s="58"/>
      <c r="G849" s="58" t="str">
        <f t="shared" si="19"/>
        <v/>
      </c>
      <c r="H849" s="58"/>
      <c r="I849" s="59" t="str">
        <f t="shared" si="20"/>
        <v/>
      </c>
      <c r="J849" s="12"/>
      <c r="K849" s="1"/>
      <c r="L849" s="1"/>
      <c r="M849" s="1"/>
      <c r="N849" s="1"/>
      <c r="O849" s="1"/>
      <c r="P849" s="1"/>
      <c r="Q849" s="1"/>
      <c r="R849" s="1"/>
      <c r="S849" s="1"/>
      <c r="T849" s="1"/>
      <c r="U849" s="1"/>
      <c r="V849" s="1"/>
      <c r="W849" s="1"/>
      <c r="X849" s="1"/>
      <c r="Y849" s="1"/>
      <c r="Z849" s="1"/>
    </row>
    <row r="850">
      <c r="A850" s="1"/>
      <c r="B850" s="1"/>
      <c r="C850" s="48"/>
      <c r="D850" s="49"/>
      <c r="E850" s="70"/>
      <c r="F850" s="52"/>
      <c r="G850" s="52" t="str">
        <f t="shared" si="19"/>
        <v/>
      </c>
      <c r="H850" s="52"/>
      <c r="I850" s="53" t="str">
        <f t="shared" si="20"/>
        <v/>
      </c>
      <c r="J850" s="12"/>
      <c r="K850" s="1"/>
      <c r="L850" s="1"/>
      <c r="M850" s="1"/>
      <c r="N850" s="1"/>
      <c r="O850" s="1"/>
      <c r="P850" s="1"/>
      <c r="Q850" s="1"/>
      <c r="R850" s="1"/>
      <c r="S850" s="1"/>
      <c r="T850" s="1"/>
      <c r="U850" s="1"/>
      <c r="V850" s="1"/>
      <c r="W850" s="1"/>
      <c r="X850" s="1"/>
      <c r="Y850" s="1"/>
      <c r="Z850" s="1"/>
    </row>
    <row r="851">
      <c r="A851" s="1"/>
      <c r="B851" s="1"/>
      <c r="C851" s="54"/>
      <c r="D851" s="55"/>
      <c r="E851" s="69"/>
      <c r="F851" s="58"/>
      <c r="G851" s="58" t="str">
        <f t="shared" si="19"/>
        <v/>
      </c>
      <c r="H851" s="58"/>
      <c r="I851" s="59" t="str">
        <f t="shared" si="20"/>
        <v/>
      </c>
      <c r="J851" s="12"/>
      <c r="K851" s="1"/>
      <c r="L851" s="1"/>
      <c r="M851" s="1"/>
      <c r="N851" s="1"/>
      <c r="O851" s="1"/>
      <c r="P851" s="1"/>
      <c r="Q851" s="1"/>
      <c r="R851" s="1"/>
      <c r="S851" s="1"/>
      <c r="T851" s="1"/>
      <c r="U851" s="1"/>
      <c r="V851" s="1"/>
      <c r="W851" s="1"/>
      <c r="X851" s="1"/>
      <c r="Y851" s="1"/>
      <c r="Z851" s="1"/>
    </row>
    <row r="852">
      <c r="A852" s="1"/>
      <c r="B852" s="1"/>
      <c r="C852" s="48"/>
      <c r="D852" s="49"/>
      <c r="E852" s="70"/>
      <c r="F852" s="52"/>
      <c r="G852" s="52" t="str">
        <f t="shared" si="19"/>
        <v/>
      </c>
      <c r="H852" s="52"/>
      <c r="I852" s="53" t="str">
        <f t="shared" si="20"/>
        <v/>
      </c>
      <c r="J852" s="12"/>
      <c r="K852" s="1"/>
      <c r="L852" s="1"/>
      <c r="M852" s="1"/>
      <c r="N852" s="1"/>
      <c r="O852" s="1"/>
      <c r="P852" s="1"/>
      <c r="Q852" s="1"/>
      <c r="R852" s="1"/>
      <c r="S852" s="1"/>
      <c r="T852" s="1"/>
      <c r="U852" s="1"/>
      <c r="V852" s="1"/>
      <c r="W852" s="1"/>
      <c r="X852" s="1"/>
      <c r="Y852" s="1"/>
      <c r="Z852" s="1"/>
    </row>
    <row r="853">
      <c r="A853" s="1"/>
      <c r="B853" s="1"/>
      <c r="C853" s="54"/>
      <c r="D853" s="55"/>
      <c r="E853" s="69"/>
      <c r="F853" s="58"/>
      <c r="G853" s="58" t="str">
        <f t="shared" si="19"/>
        <v/>
      </c>
      <c r="H853" s="58"/>
      <c r="I853" s="59" t="str">
        <f t="shared" si="20"/>
        <v/>
      </c>
      <c r="J853" s="12"/>
      <c r="K853" s="1"/>
      <c r="L853" s="1"/>
      <c r="M853" s="1"/>
      <c r="N853" s="1"/>
      <c r="O853" s="1"/>
      <c r="P853" s="1"/>
      <c r="Q853" s="1"/>
      <c r="R853" s="1"/>
      <c r="S853" s="1"/>
      <c r="T853" s="1"/>
      <c r="U853" s="1"/>
      <c r="V853" s="1"/>
      <c r="W853" s="1"/>
      <c r="X853" s="1"/>
      <c r="Y853" s="1"/>
      <c r="Z853" s="1"/>
    </row>
    <row r="854">
      <c r="A854" s="1"/>
      <c r="B854" s="1"/>
      <c r="C854" s="48"/>
      <c r="D854" s="49"/>
      <c r="E854" s="70"/>
      <c r="F854" s="52"/>
      <c r="G854" s="52" t="str">
        <f t="shared" si="19"/>
        <v/>
      </c>
      <c r="H854" s="52"/>
      <c r="I854" s="53" t="str">
        <f t="shared" si="20"/>
        <v/>
      </c>
      <c r="J854" s="12"/>
      <c r="K854" s="1"/>
      <c r="L854" s="1"/>
      <c r="M854" s="1"/>
      <c r="N854" s="1"/>
      <c r="O854" s="1"/>
      <c r="P854" s="1"/>
      <c r="Q854" s="1"/>
      <c r="R854" s="1"/>
      <c r="S854" s="1"/>
      <c r="T854" s="1"/>
      <c r="U854" s="1"/>
      <c r="V854" s="1"/>
      <c r="W854" s="1"/>
      <c r="X854" s="1"/>
      <c r="Y854" s="1"/>
      <c r="Z854" s="1"/>
    </row>
    <row r="855">
      <c r="A855" s="1"/>
      <c r="B855" s="1"/>
      <c r="C855" s="54"/>
      <c r="D855" s="55"/>
      <c r="E855" s="69"/>
      <c r="F855" s="58"/>
      <c r="G855" s="58" t="str">
        <f t="shared" si="19"/>
        <v/>
      </c>
      <c r="H855" s="58"/>
      <c r="I855" s="59" t="str">
        <f t="shared" si="20"/>
        <v/>
      </c>
      <c r="J855" s="12"/>
      <c r="K855" s="1"/>
      <c r="L855" s="1"/>
      <c r="M855" s="1"/>
      <c r="N855" s="1"/>
      <c r="O855" s="1"/>
      <c r="P855" s="1"/>
      <c r="Q855" s="1"/>
      <c r="R855" s="1"/>
      <c r="S855" s="1"/>
      <c r="T855" s="1"/>
      <c r="U855" s="1"/>
      <c r="V855" s="1"/>
      <c r="W855" s="1"/>
      <c r="X855" s="1"/>
      <c r="Y855" s="1"/>
      <c r="Z855" s="1"/>
    </row>
    <row r="856">
      <c r="A856" s="1"/>
      <c r="B856" s="1"/>
      <c r="C856" s="48"/>
      <c r="D856" s="49"/>
      <c r="E856" s="70"/>
      <c r="F856" s="52"/>
      <c r="G856" s="52" t="str">
        <f t="shared" si="19"/>
        <v/>
      </c>
      <c r="H856" s="52"/>
      <c r="I856" s="53" t="str">
        <f t="shared" si="20"/>
        <v/>
      </c>
      <c r="J856" s="12"/>
      <c r="K856" s="1"/>
      <c r="L856" s="1"/>
      <c r="M856" s="1"/>
      <c r="N856" s="1"/>
      <c r="O856" s="1"/>
      <c r="P856" s="1"/>
      <c r="Q856" s="1"/>
      <c r="R856" s="1"/>
      <c r="S856" s="1"/>
      <c r="T856" s="1"/>
      <c r="U856" s="1"/>
      <c r="V856" s="1"/>
      <c r="W856" s="1"/>
      <c r="X856" s="1"/>
      <c r="Y856" s="1"/>
      <c r="Z856" s="1"/>
    </row>
    <row r="857">
      <c r="A857" s="1"/>
      <c r="B857" s="1"/>
      <c r="C857" s="54"/>
      <c r="D857" s="55"/>
      <c r="E857" s="69"/>
      <c r="F857" s="58"/>
      <c r="G857" s="58" t="str">
        <f t="shared" si="19"/>
        <v/>
      </c>
      <c r="H857" s="58"/>
      <c r="I857" s="59" t="str">
        <f t="shared" si="20"/>
        <v/>
      </c>
      <c r="J857" s="12"/>
      <c r="K857" s="1"/>
      <c r="L857" s="1"/>
      <c r="M857" s="1"/>
      <c r="N857" s="1"/>
      <c r="O857" s="1"/>
      <c r="P857" s="1"/>
      <c r="Q857" s="1"/>
      <c r="R857" s="1"/>
      <c r="S857" s="1"/>
      <c r="T857" s="1"/>
      <c r="U857" s="1"/>
      <c r="V857" s="1"/>
      <c r="W857" s="1"/>
      <c r="X857" s="1"/>
      <c r="Y857" s="1"/>
      <c r="Z857" s="1"/>
    </row>
    <row r="858">
      <c r="A858" s="1"/>
      <c r="B858" s="1"/>
      <c r="C858" s="48"/>
      <c r="D858" s="49"/>
      <c r="E858" s="70"/>
      <c r="F858" s="52"/>
      <c r="G858" s="52" t="str">
        <f t="shared" si="19"/>
        <v/>
      </c>
      <c r="H858" s="52"/>
      <c r="I858" s="53" t="str">
        <f t="shared" si="20"/>
        <v/>
      </c>
      <c r="J858" s="12"/>
      <c r="K858" s="1"/>
      <c r="L858" s="1"/>
      <c r="M858" s="1"/>
      <c r="N858" s="1"/>
      <c r="O858" s="1"/>
      <c r="P858" s="1"/>
      <c r="Q858" s="1"/>
      <c r="R858" s="1"/>
      <c r="S858" s="1"/>
      <c r="T858" s="1"/>
      <c r="U858" s="1"/>
      <c r="V858" s="1"/>
      <c r="W858" s="1"/>
      <c r="X858" s="1"/>
      <c r="Y858" s="1"/>
      <c r="Z858" s="1"/>
    </row>
    <row r="859">
      <c r="A859" s="1"/>
      <c r="B859" s="1"/>
      <c r="C859" s="54"/>
      <c r="D859" s="55"/>
      <c r="E859" s="69"/>
      <c r="F859" s="58"/>
      <c r="G859" s="58" t="str">
        <f t="shared" si="19"/>
        <v/>
      </c>
      <c r="H859" s="58"/>
      <c r="I859" s="59" t="str">
        <f t="shared" si="20"/>
        <v/>
      </c>
      <c r="J859" s="12"/>
      <c r="K859" s="1"/>
      <c r="L859" s="1"/>
      <c r="M859" s="1"/>
      <c r="N859" s="1"/>
      <c r="O859" s="1"/>
      <c r="P859" s="1"/>
      <c r="Q859" s="1"/>
      <c r="R859" s="1"/>
      <c r="S859" s="1"/>
      <c r="T859" s="1"/>
      <c r="U859" s="1"/>
      <c r="V859" s="1"/>
      <c r="W859" s="1"/>
      <c r="X859" s="1"/>
      <c r="Y859" s="1"/>
      <c r="Z859" s="1"/>
    </row>
    <row r="860">
      <c r="A860" s="1"/>
      <c r="B860" s="1"/>
      <c r="C860" s="48"/>
      <c r="D860" s="49"/>
      <c r="E860" s="70"/>
      <c r="F860" s="52"/>
      <c r="G860" s="52" t="str">
        <f t="shared" si="19"/>
        <v/>
      </c>
      <c r="H860" s="52"/>
      <c r="I860" s="53" t="str">
        <f t="shared" si="20"/>
        <v/>
      </c>
      <c r="J860" s="12"/>
      <c r="K860" s="1"/>
      <c r="L860" s="1"/>
      <c r="M860" s="1"/>
      <c r="N860" s="1"/>
      <c r="O860" s="1"/>
      <c r="P860" s="1"/>
      <c r="Q860" s="1"/>
      <c r="R860" s="1"/>
      <c r="S860" s="1"/>
      <c r="T860" s="1"/>
      <c r="U860" s="1"/>
      <c r="V860" s="1"/>
      <c r="W860" s="1"/>
      <c r="X860" s="1"/>
      <c r="Y860" s="1"/>
      <c r="Z860" s="1"/>
    </row>
    <row r="861">
      <c r="A861" s="1"/>
      <c r="B861" s="1"/>
      <c r="C861" s="54"/>
      <c r="D861" s="55"/>
      <c r="E861" s="69"/>
      <c r="F861" s="58"/>
      <c r="G861" s="58" t="str">
        <f t="shared" si="19"/>
        <v/>
      </c>
      <c r="H861" s="58"/>
      <c r="I861" s="59" t="str">
        <f t="shared" si="20"/>
        <v/>
      </c>
      <c r="J861" s="12"/>
      <c r="K861" s="1"/>
      <c r="L861" s="1"/>
      <c r="M861" s="1"/>
      <c r="N861" s="1"/>
      <c r="O861" s="1"/>
      <c r="P861" s="1"/>
      <c r="Q861" s="1"/>
      <c r="R861" s="1"/>
      <c r="S861" s="1"/>
      <c r="T861" s="1"/>
      <c r="U861" s="1"/>
      <c r="V861" s="1"/>
      <c r="W861" s="1"/>
      <c r="X861" s="1"/>
      <c r="Y861" s="1"/>
      <c r="Z861" s="1"/>
    </row>
    <row r="862">
      <c r="A862" s="1"/>
      <c r="B862" s="1"/>
      <c r="C862" s="48"/>
      <c r="D862" s="49"/>
      <c r="E862" s="70"/>
      <c r="F862" s="52"/>
      <c r="G862" s="52" t="str">
        <f t="shared" si="19"/>
        <v/>
      </c>
      <c r="H862" s="52"/>
      <c r="I862" s="53" t="str">
        <f t="shared" si="20"/>
        <v/>
      </c>
      <c r="J862" s="12"/>
      <c r="K862" s="1"/>
      <c r="L862" s="1"/>
      <c r="M862" s="1"/>
      <c r="N862" s="1"/>
      <c r="O862" s="1"/>
      <c r="P862" s="1"/>
      <c r="Q862" s="1"/>
      <c r="R862" s="1"/>
      <c r="S862" s="1"/>
      <c r="T862" s="1"/>
      <c r="U862" s="1"/>
      <c r="V862" s="1"/>
      <c r="W862" s="1"/>
      <c r="X862" s="1"/>
      <c r="Y862" s="1"/>
      <c r="Z862" s="1"/>
    </row>
    <row r="863">
      <c r="A863" s="1"/>
      <c r="B863" s="1"/>
      <c r="C863" s="54"/>
      <c r="D863" s="55"/>
      <c r="E863" s="69"/>
      <c r="F863" s="58"/>
      <c r="G863" s="58" t="str">
        <f t="shared" si="19"/>
        <v/>
      </c>
      <c r="H863" s="58"/>
      <c r="I863" s="59" t="str">
        <f t="shared" si="20"/>
        <v/>
      </c>
      <c r="J863" s="12"/>
      <c r="K863" s="1"/>
      <c r="L863" s="1"/>
      <c r="M863" s="1"/>
      <c r="N863" s="1"/>
      <c r="O863" s="1"/>
      <c r="P863" s="1"/>
      <c r="Q863" s="1"/>
      <c r="R863" s="1"/>
      <c r="S863" s="1"/>
      <c r="T863" s="1"/>
      <c r="U863" s="1"/>
      <c r="V863" s="1"/>
      <c r="W863" s="1"/>
      <c r="X863" s="1"/>
      <c r="Y863" s="1"/>
      <c r="Z863" s="1"/>
    </row>
    <row r="864">
      <c r="A864" s="1"/>
      <c r="B864" s="1"/>
      <c r="C864" s="48"/>
      <c r="D864" s="49"/>
      <c r="E864" s="70"/>
      <c r="F864" s="52"/>
      <c r="G864" s="52" t="str">
        <f t="shared" si="19"/>
        <v/>
      </c>
      <c r="H864" s="52"/>
      <c r="I864" s="53" t="str">
        <f t="shared" si="20"/>
        <v/>
      </c>
      <c r="J864" s="12"/>
      <c r="K864" s="1"/>
      <c r="L864" s="1"/>
      <c r="M864" s="1"/>
      <c r="N864" s="1"/>
      <c r="O864" s="1"/>
      <c r="P864" s="1"/>
      <c r="Q864" s="1"/>
      <c r="R864" s="1"/>
      <c r="S864" s="1"/>
      <c r="T864" s="1"/>
      <c r="U864" s="1"/>
      <c r="V864" s="1"/>
      <c r="W864" s="1"/>
      <c r="X864" s="1"/>
      <c r="Y864" s="1"/>
      <c r="Z864" s="1"/>
    </row>
    <row r="865">
      <c r="A865" s="1"/>
      <c r="B865" s="1"/>
      <c r="C865" s="54"/>
      <c r="D865" s="55"/>
      <c r="E865" s="69"/>
      <c r="F865" s="58"/>
      <c r="G865" s="58" t="str">
        <f t="shared" si="19"/>
        <v/>
      </c>
      <c r="H865" s="58"/>
      <c r="I865" s="59" t="str">
        <f t="shared" si="20"/>
        <v/>
      </c>
      <c r="J865" s="12"/>
      <c r="K865" s="1"/>
      <c r="L865" s="1"/>
      <c r="M865" s="1"/>
      <c r="N865" s="1"/>
      <c r="O865" s="1"/>
      <c r="P865" s="1"/>
      <c r="Q865" s="1"/>
      <c r="R865" s="1"/>
      <c r="S865" s="1"/>
      <c r="T865" s="1"/>
      <c r="U865" s="1"/>
      <c r="V865" s="1"/>
      <c r="W865" s="1"/>
      <c r="X865" s="1"/>
      <c r="Y865" s="1"/>
      <c r="Z865" s="1"/>
    </row>
    <row r="866">
      <c r="A866" s="1"/>
      <c r="B866" s="1"/>
      <c r="C866" s="48"/>
      <c r="D866" s="49"/>
      <c r="E866" s="70"/>
      <c r="F866" s="52"/>
      <c r="G866" s="52" t="str">
        <f t="shared" si="19"/>
        <v/>
      </c>
      <c r="H866" s="52"/>
      <c r="I866" s="53" t="str">
        <f t="shared" si="20"/>
        <v/>
      </c>
      <c r="J866" s="12"/>
      <c r="K866" s="1"/>
      <c r="L866" s="1"/>
      <c r="M866" s="1"/>
      <c r="N866" s="1"/>
      <c r="O866" s="1"/>
      <c r="P866" s="1"/>
      <c r="Q866" s="1"/>
      <c r="R866" s="1"/>
      <c r="S866" s="1"/>
      <c r="T866" s="1"/>
      <c r="U866" s="1"/>
      <c r="V866" s="1"/>
      <c r="W866" s="1"/>
      <c r="X866" s="1"/>
      <c r="Y866" s="1"/>
      <c r="Z866" s="1"/>
    </row>
    <row r="867">
      <c r="A867" s="1"/>
      <c r="B867" s="1"/>
      <c r="C867" s="54"/>
      <c r="D867" s="55"/>
      <c r="E867" s="69"/>
      <c r="F867" s="58"/>
      <c r="G867" s="58" t="str">
        <f t="shared" si="19"/>
        <v/>
      </c>
      <c r="H867" s="58"/>
      <c r="I867" s="59" t="str">
        <f t="shared" si="20"/>
        <v/>
      </c>
      <c r="J867" s="12"/>
      <c r="K867" s="1"/>
      <c r="L867" s="1"/>
      <c r="M867" s="1"/>
      <c r="N867" s="1"/>
      <c r="O867" s="1"/>
      <c r="P867" s="1"/>
      <c r="Q867" s="1"/>
      <c r="R867" s="1"/>
      <c r="S867" s="1"/>
      <c r="T867" s="1"/>
      <c r="U867" s="1"/>
      <c r="V867" s="1"/>
      <c r="W867" s="1"/>
      <c r="X867" s="1"/>
      <c r="Y867" s="1"/>
      <c r="Z867" s="1"/>
    </row>
    <row r="868">
      <c r="A868" s="1"/>
      <c r="B868" s="1"/>
      <c r="C868" s="48"/>
      <c r="D868" s="49"/>
      <c r="E868" s="70"/>
      <c r="F868" s="52"/>
      <c r="G868" s="52" t="str">
        <f t="shared" si="19"/>
        <v/>
      </c>
      <c r="H868" s="52"/>
      <c r="I868" s="53" t="str">
        <f t="shared" si="20"/>
        <v/>
      </c>
      <c r="J868" s="12"/>
      <c r="K868" s="1"/>
      <c r="L868" s="1"/>
      <c r="M868" s="1"/>
      <c r="N868" s="1"/>
      <c r="O868" s="1"/>
      <c r="P868" s="1"/>
      <c r="Q868" s="1"/>
      <c r="R868" s="1"/>
      <c r="S868" s="1"/>
      <c r="T868" s="1"/>
      <c r="U868" s="1"/>
      <c r="V868" s="1"/>
      <c r="W868" s="1"/>
      <c r="X868" s="1"/>
      <c r="Y868" s="1"/>
      <c r="Z868" s="1"/>
    </row>
    <row r="869">
      <c r="A869" s="1"/>
      <c r="B869" s="1"/>
      <c r="C869" s="54"/>
      <c r="D869" s="55"/>
      <c r="E869" s="69"/>
      <c r="F869" s="58"/>
      <c r="G869" s="58" t="str">
        <f t="shared" si="19"/>
        <v/>
      </c>
      <c r="H869" s="58"/>
      <c r="I869" s="59" t="str">
        <f t="shared" si="20"/>
        <v/>
      </c>
      <c r="J869" s="12"/>
      <c r="K869" s="1"/>
      <c r="L869" s="1"/>
      <c r="M869" s="1"/>
      <c r="N869" s="1"/>
      <c r="O869" s="1"/>
      <c r="P869" s="1"/>
      <c r="Q869" s="1"/>
      <c r="R869" s="1"/>
      <c r="S869" s="1"/>
      <c r="T869" s="1"/>
      <c r="U869" s="1"/>
      <c r="V869" s="1"/>
      <c r="W869" s="1"/>
      <c r="X869" s="1"/>
      <c r="Y869" s="1"/>
      <c r="Z869" s="1"/>
    </row>
    <row r="870">
      <c r="A870" s="1"/>
      <c r="B870" s="1"/>
      <c r="C870" s="48"/>
      <c r="D870" s="49"/>
      <c r="E870" s="70"/>
      <c r="F870" s="52"/>
      <c r="G870" s="52" t="str">
        <f t="shared" si="19"/>
        <v/>
      </c>
      <c r="H870" s="52"/>
      <c r="I870" s="53" t="str">
        <f t="shared" si="20"/>
        <v/>
      </c>
      <c r="J870" s="12"/>
      <c r="K870" s="1"/>
      <c r="L870" s="1"/>
      <c r="M870" s="1"/>
      <c r="N870" s="1"/>
      <c r="O870" s="1"/>
      <c r="P870" s="1"/>
      <c r="Q870" s="1"/>
      <c r="R870" s="1"/>
      <c r="S870" s="1"/>
      <c r="T870" s="1"/>
      <c r="U870" s="1"/>
      <c r="V870" s="1"/>
      <c r="W870" s="1"/>
      <c r="X870" s="1"/>
      <c r="Y870" s="1"/>
      <c r="Z870" s="1"/>
    </row>
    <row r="871">
      <c r="A871" s="1"/>
      <c r="B871" s="1"/>
      <c r="C871" s="54"/>
      <c r="D871" s="55"/>
      <c r="E871" s="69"/>
      <c r="F871" s="58"/>
      <c r="G871" s="58" t="str">
        <f t="shared" si="19"/>
        <v/>
      </c>
      <c r="H871" s="58"/>
      <c r="I871" s="59" t="str">
        <f t="shared" si="20"/>
        <v/>
      </c>
      <c r="J871" s="12"/>
      <c r="K871" s="1"/>
      <c r="L871" s="1"/>
      <c r="M871" s="1"/>
      <c r="N871" s="1"/>
      <c r="O871" s="1"/>
      <c r="P871" s="1"/>
      <c r="Q871" s="1"/>
      <c r="R871" s="1"/>
      <c r="S871" s="1"/>
      <c r="T871" s="1"/>
      <c r="U871" s="1"/>
      <c r="V871" s="1"/>
      <c r="W871" s="1"/>
      <c r="X871" s="1"/>
      <c r="Y871" s="1"/>
      <c r="Z871" s="1"/>
    </row>
    <row r="872">
      <c r="A872" s="1"/>
      <c r="B872" s="1"/>
      <c r="C872" s="48"/>
      <c r="D872" s="49"/>
      <c r="E872" s="70"/>
      <c r="F872" s="52"/>
      <c r="G872" s="52" t="str">
        <f t="shared" si="19"/>
        <v/>
      </c>
      <c r="H872" s="52"/>
      <c r="I872" s="53" t="str">
        <f t="shared" si="20"/>
        <v/>
      </c>
      <c r="J872" s="12"/>
      <c r="K872" s="1"/>
      <c r="L872" s="1"/>
      <c r="M872" s="1"/>
      <c r="N872" s="1"/>
      <c r="O872" s="1"/>
      <c r="P872" s="1"/>
      <c r="Q872" s="1"/>
      <c r="R872" s="1"/>
      <c r="S872" s="1"/>
      <c r="T872" s="1"/>
      <c r="U872" s="1"/>
      <c r="V872" s="1"/>
      <c r="W872" s="1"/>
      <c r="X872" s="1"/>
      <c r="Y872" s="1"/>
      <c r="Z872" s="1"/>
    </row>
    <row r="873">
      <c r="A873" s="1"/>
      <c r="B873" s="1"/>
      <c r="C873" s="54"/>
      <c r="D873" s="55"/>
      <c r="E873" s="69"/>
      <c r="F873" s="58"/>
      <c r="G873" s="58" t="str">
        <f t="shared" si="19"/>
        <v/>
      </c>
      <c r="H873" s="58"/>
      <c r="I873" s="59" t="str">
        <f t="shared" si="20"/>
        <v/>
      </c>
      <c r="J873" s="12"/>
      <c r="K873" s="1"/>
      <c r="L873" s="1"/>
      <c r="M873" s="1"/>
      <c r="N873" s="1"/>
      <c r="O873" s="1"/>
      <c r="P873" s="1"/>
      <c r="Q873" s="1"/>
      <c r="R873" s="1"/>
      <c r="S873" s="1"/>
      <c r="T873" s="1"/>
      <c r="U873" s="1"/>
      <c r="V873" s="1"/>
      <c r="W873" s="1"/>
      <c r="X873" s="1"/>
      <c r="Y873" s="1"/>
      <c r="Z873" s="1"/>
    </row>
    <row r="874">
      <c r="A874" s="1"/>
      <c r="B874" s="1"/>
      <c r="C874" s="48"/>
      <c r="D874" s="49"/>
      <c r="E874" s="70"/>
      <c r="F874" s="52"/>
      <c r="G874" s="52" t="str">
        <f t="shared" si="19"/>
        <v/>
      </c>
      <c r="H874" s="52"/>
      <c r="I874" s="53" t="str">
        <f t="shared" si="20"/>
        <v/>
      </c>
      <c r="J874" s="12"/>
      <c r="K874" s="1"/>
      <c r="L874" s="1"/>
      <c r="M874" s="1"/>
      <c r="N874" s="1"/>
      <c r="O874" s="1"/>
      <c r="P874" s="1"/>
      <c r="Q874" s="1"/>
      <c r="R874" s="1"/>
      <c r="S874" s="1"/>
      <c r="T874" s="1"/>
      <c r="U874" s="1"/>
      <c r="V874" s="1"/>
      <c r="W874" s="1"/>
      <c r="X874" s="1"/>
      <c r="Y874" s="1"/>
      <c r="Z874" s="1"/>
    </row>
    <row r="875">
      <c r="A875" s="1"/>
      <c r="B875" s="1"/>
      <c r="C875" s="54"/>
      <c r="D875" s="55"/>
      <c r="E875" s="69"/>
      <c r="F875" s="58"/>
      <c r="G875" s="58" t="str">
        <f t="shared" si="19"/>
        <v/>
      </c>
      <c r="H875" s="58"/>
      <c r="I875" s="59" t="str">
        <f t="shared" si="20"/>
        <v/>
      </c>
      <c r="J875" s="12"/>
      <c r="K875" s="1"/>
      <c r="L875" s="1"/>
      <c r="M875" s="1"/>
      <c r="N875" s="1"/>
      <c r="O875" s="1"/>
      <c r="P875" s="1"/>
      <c r="Q875" s="1"/>
      <c r="R875" s="1"/>
      <c r="S875" s="1"/>
      <c r="T875" s="1"/>
      <c r="U875" s="1"/>
      <c r="V875" s="1"/>
      <c r="W875" s="1"/>
      <c r="X875" s="1"/>
      <c r="Y875" s="1"/>
      <c r="Z875" s="1"/>
    </row>
    <row r="876">
      <c r="A876" s="1"/>
      <c r="B876" s="1"/>
      <c r="C876" s="48"/>
      <c r="D876" s="49"/>
      <c r="E876" s="70"/>
      <c r="F876" s="52"/>
      <c r="G876" s="52" t="str">
        <f t="shared" si="19"/>
        <v/>
      </c>
      <c r="H876" s="52"/>
      <c r="I876" s="53" t="str">
        <f t="shared" si="20"/>
        <v/>
      </c>
      <c r="J876" s="12"/>
      <c r="K876" s="1"/>
      <c r="L876" s="1"/>
      <c r="M876" s="1"/>
      <c r="N876" s="1"/>
      <c r="O876" s="1"/>
      <c r="P876" s="1"/>
      <c r="Q876" s="1"/>
      <c r="R876" s="1"/>
      <c r="S876" s="1"/>
      <c r="T876" s="1"/>
      <c r="U876" s="1"/>
      <c r="V876" s="1"/>
      <c r="W876" s="1"/>
      <c r="X876" s="1"/>
      <c r="Y876" s="1"/>
      <c r="Z876" s="1"/>
    </row>
    <row r="877">
      <c r="A877" s="1"/>
      <c r="B877" s="1"/>
      <c r="C877" s="54"/>
      <c r="D877" s="55"/>
      <c r="E877" s="69"/>
      <c r="F877" s="58"/>
      <c r="G877" s="58" t="str">
        <f t="shared" si="19"/>
        <v/>
      </c>
      <c r="H877" s="58"/>
      <c r="I877" s="59" t="str">
        <f t="shared" si="20"/>
        <v/>
      </c>
      <c r="J877" s="12"/>
      <c r="K877" s="1"/>
      <c r="L877" s="1"/>
      <c r="M877" s="1"/>
      <c r="N877" s="1"/>
      <c r="O877" s="1"/>
      <c r="P877" s="1"/>
      <c r="Q877" s="1"/>
      <c r="R877" s="1"/>
      <c r="S877" s="1"/>
      <c r="T877" s="1"/>
      <c r="U877" s="1"/>
      <c r="V877" s="1"/>
      <c r="W877" s="1"/>
      <c r="X877" s="1"/>
      <c r="Y877" s="1"/>
      <c r="Z877" s="1"/>
    </row>
    <row r="878">
      <c r="A878" s="1"/>
      <c r="B878" s="1"/>
      <c r="C878" s="48"/>
      <c r="D878" s="49"/>
      <c r="E878" s="70"/>
      <c r="F878" s="52"/>
      <c r="G878" s="52" t="str">
        <f t="shared" si="19"/>
        <v/>
      </c>
      <c r="H878" s="52"/>
      <c r="I878" s="53" t="str">
        <f t="shared" si="20"/>
        <v/>
      </c>
      <c r="J878" s="12"/>
      <c r="K878" s="1"/>
      <c r="L878" s="1"/>
      <c r="M878" s="1"/>
      <c r="N878" s="1"/>
      <c r="O878" s="1"/>
      <c r="P878" s="1"/>
      <c r="Q878" s="1"/>
      <c r="R878" s="1"/>
      <c r="S878" s="1"/>
      <c r="T878" s="1"/>
      <c r="U878" s="1"/>
      <c r="V878" s="1"/>
      <c r="W878" s="1"/>
      <c r="X878" s="1"/>
      <c r="Y878" s="1"/>
      <c r="Z878" s="1"/>
    </row>
    <row r="879">
      <c r="A879" s="1"/>
      <c r="B879" s="1"/>
      <c r="C879" s="54"/>
      <c r="D879" s="55"/>
      <c r="E879" s="69"/>
      <c r="F879" s="58"/>
      <c r="G879" s="58" t="str">
        <f t="shared" si="19"/>
        <v/>
      </c>
      <c r="H879" s="58"/>
      <c r="I879" s="59" t="str">
        <f t="shared" si="20"/>
        <v/>
      </c>
      <c r="J879" s="12"/>
      <c r="K879" s="1"/>
      <c r="L879" s="1"/>
      <c r="M879" s="1"/>
      <c r="N879" s="1"/>
      <c r="O879" s="1"/>
      <c r="P879" s="1"/>
      <c r="Q879" s="1"/>
      <c r="R879" s="1"/>
      <c r="S879" s="1"/>
      <c r="T879" s="1"/>
      <c r="U879" s="1"/>
      <c r="V879" s="1"/>
      <c r="W879" s="1"/>
      <c r="X879" s="1"/>
      <c r="Y879" s="1"/>
      <c r="Z879" s="1"/>
    </row>
    <row r="880">
      <c r="A880" s="1"/>
      <c r="B880" s="1"/>
      <c r="C880" s="48"/>
      <c r="D880" s="49"/>
      <c r="E880" s="70"/>
      <c r="F880" s="52"/>
      <c r="G880" s="52" t="str">
        <f t="shared" si="19"/>
        <v/>
      </c>
      <c r="H880" s="52"/>
      <c r="I880" s="53" t="str">
        <f t="shared" si="20"/>
        <v/>
      </c>
      <c r="J880" s="12"/>
      <c r="K880" s="1"/>
      <c r="L880" s="1"/>
      <c r="M880" s="1"/>
      <c r="N880" s="1"/>
      <c r="O880" s="1"/>
      <c r="P880" s="1"/>
      <c r="Q880" s="1"/>
      <c r="R880" s="1"/>
      <c r="S880" s="1"/>
      <c r="T880" s="1"/>
      <c r="U880" s="1"/>
      <c r="V880" s="1"/>
      <c r="W880" s="1"/>
      <c r="X880" s="1"/>
      <c r="Y880" s="1"/>
      <c r="Z880" s="1"/>
    </row>
    <row r="881">
      <c r="A881" s="1"/>
      <c r="B881" s="1"/>
      <c r="C881" s="54"/>
      <c r="D881" s="55"/>
      <c r="E881" s="69"/>
      <c r="F881" s="58"/>
      <c r="G881" s="58" t="str">
        <f t="shared" si="19"/>
        <v/>
      </c>
      <c r="H881" s="58"/>
      <c r="I881" s="59" t="str">
        <f t="shared" si="20"/>
        <v/>
      </c>
      <c r="J881" s="12"/>
      <c r="K881" s="1"/>
      <c r="L881" s="1"/>
      <c r="M881" s="1"/>
      <c r="N881" s="1"/>
      <c r="O881" s="1"/>
      <c r="P881" s="1"/>
      <c r="Q881" s="1"/>
      <c r="R881" s="1"/>
      <c r="S881" s="1"/>
      <c r="T881" s="1"/>
      <c r="U881" s="1"/>
      <c r="V881" s="1"/>
      <c r="W881" s="1"/>
      <c r="X881" s="1"/>
      <c r="Y881" s="1"/>
      <c r="Z881" s="1"/>
    </row>
    <row r="882">
      <c r="A882" s="1"/>
      <c r="B882" s="1"/>
      <c r="C882" s="48"/>
      <c r="D882" s="49"/>
      <c r="E882" s="70"/>
      <c r="F882" s="52"/>
      <c r="G882" s="52" t="str">
        <f t="shared" si="19"/>
        <v/>
      </c>
      <c r="H882" s="52"/>
      <c r="I882" s="53" t="str">
        <f t="shared" si="20"/>
        <v/>
      </c>
      <c r="J882" s="12"/>
      <c r="K882" s="1"/>
      <c r="L882" s="1"/>
      <c r="M882" s="1"/>
      <c r="N882" s="1"/>
      <c r="O882" s="1"/>
      <c r="P882" s="1"/>
      <c r="Q882" s="1"/>
      <c r="R882" s="1"/>
      <c r="S882" s="1"/>
      <c r="T882" s="1"/>
      <c r="U882" s="1"/>
      <c r="V882" s="1"/>
      <c r="W882" s="1"/>
      <c r="X882" s="1"/>
      <c r="Y882" s="1"/>
      <c r="Z882" s="1"/>
    </row>
    <row r="883">
      <c r="A883" s="1"/>
      <c r="B883" s="1"/>
      <c r="C883" s="54"/>
      <c r="D883" s="55"/>
      <c r="E883" s="69"/>
      <c r="F883" s="58"/>
      <c r="G883" s="58" t="str">
        <f t="shared" si="19"/>
        <v/>
      </c>
      <c r="H883" s="58"/>
      <c r="I883" s="59" t="str">
        <f t="shared" si="20"/>
        <v/>
      </c>
      <c r="J883" s="12"/>
      <c r="K883" s="1"/>
      <c r="L883" s="1"/>
      <c r="M883" s="1"/>
      <c r="N883" s="1"/>
      <c r="O883" s="1"/>
      <c r="P883" s="1"/>
      <c r="Q883" s="1"/>
      <c r="R883" s="1"/>
      <c r="S883" s="1"/>
      <c r="T883" s="1"/>
      <c r="U883" s="1"/>
      <c r="V883" s="1"/>
      <c r="W883" s="1"/>
      <c r="X883" s="1"/>
      <c r="Y883" s="1"/>
      <c r="Z883" s="1"/>
    </row>
    <row r="884">
      <c r="A884" s="1"/>
      <c r="B884" s="1"/>
      <c r="C884" s="48"/>
      <c r="D884" s="49"/>
      <c r="E884" s="70"/>
      <c r="F884" s="52"/>
      <c r="G884" s="52" t="str">
        <f t="shared" si="19"/>
        <v/>
      </c>
      <c r="H884" s="52"/>
      <c r="I884" s="53" t="str">
        <f t="shared" si="20"/>
        <v/>
      </c>
      <c r="J884" s="12"/>
      <c r="K884" s="1"/>
      <c r="L884" s="1"/>
      <c r="M884" s="1"/>
      <c r="N884" s="1"/>
      <c r="O884" s="1"/>
      <c r="P884" s="1"/>
      <c r="Q884" s="1"/>
      <c r="R884" s="1"/>
      <c r="S884" s="1"/>
      <c r="T884" s="1"/>
      <c r="U884" s="1"/>
      <c r="V884" s="1"/>
      <c r="W884" s="1"/>
      <c r="X884" s="1"/>
      <c r="Y884" s="1"/>
      <c r="Z884" s="1"/>
    </row>
    <row r="885">
      <c r="A885" s="1"/>
      <c r="B885" s="1"/>
      <c r="C885" s="54"/>
      <c r="D885" s="55"/>
      <c r="E885" s="69"/>
      <c r="F885" s="58"/>
      <c r="G885" s="58" t="str">
        <f t="shared" si="19"/>
        <v/>
      </c>
      <c r="H885" s="58"/>
      <c r="I885" s="59" t="str">
        <f t="shared" si="20"/>
        <v/>
      </c>
      <c r="J885" s="12"/>
      <c r="K885" s="1"/>
      <c r="L885" s="1"/>
      <c r="M885" s="1"/>
      <c r="N885" s="1"/>
      <c r="O885" s="1"/>
      <c r="P885" s="1"/>
      <c r="Q885" s="1"/>
      <c r="R885" s="1"/>
      <c r="S885" s="1"/>
      <c r="T885" s="1"/>
      <c r="U885" s="1"/>
      <c r="V885" s="1"/>
      <c r="W885" s="1"/>
      <c r="X885" s="1"/>
      <c r="Y885" s="1"/>
      <c r="Z885" s="1"/>
    </row>
    <row r="886">
      <c r="A886" s="1"/>
      <c r="B886" s="1"/>
      <c r="C886" s="48"/>
      <c r="D886" s="49"/>
      <c r="E886" s="70"/>
      <c r="F886" s="52"/>
      <c r="G886" s="52" t="str">
        <f t="shared" si="19"/>
        <v/>
      </c>
      <c r="H886" s="52"/>
      <c r="I886" s="53" t="str">
        <f t="shared" si="20"/>
        <v/>
      </c>
      <c r="J886" s="12"/>
      <c r="K886" s="1"/>
      <c r="L886" s="1"/>
      <c r="M886" s="1"/>
      <c r="N886" s="1"/>
      <c r="O886" s="1"/>
      <c r="P886" s="1"/>
      <c r="Q886" s="1"/>
      <c r="R886" s="1"/>
      <c r="S886" s="1"/>
      <c r="T886" s="1"/>
      <c r="U886" s="1"/>
      <c r="V886" s="1"/>
      <c r="W886" s="1"/>
      <c r="X886" s="1"/>
      <c r="Y886" s="1"/>
      <c r="Z886" s="1"/>
    </row>
    <row r="887">
      <c r="A887" s="1"/>
      <c r="B887" s="1"/>
      <c r="C887" s="54"/>
      <c r="D887" s="55"/>
      <c r="E887" s="69"/>
      <c r="F887" s="58"/>
      <c r="G887" s="58" t="str">
        <f t="shared" si="19"/>
        <v/>
      </c>
      <c r="H887" s="58"/>
      <c r="I887" s="59" t="str">
        <f t="shared" si="20"/>
        <v/>
      </c>
      <c r="J887" s="12"/>
      <c r="K887" s="1"/>
      <c r="L887" s="1"/>
      <c r="M887" s="1"/>
      <c r="N887" s="1"/>
      <c r="O887" s="1"/>
      <c r="P887" s="1"/>
      <c r="Q887" s="1"/>
      <c r="R887" s="1"/>
      <c r="S887" s="1"/>
      <c r="T887" s="1"/>
      <c r="U887" s="1"/>
      <c r="V887" s="1"/>
      <c r="W887" s="1"/>
      <c r="X887" s="1"/>
      <c r="Y887" s="1"/>
      <c r="Z887" s="1"/>
    </row>
    <row r="888">
      <c r="A888" s="1"/>
      <c r="B888" s="1"/>
      <c r="C888" s="48"/>
      <c r="D888" s="49"/>
      <c r="E888" s="70"/>
      <c r="F888" s="52"/>
      <c r="G888" s="52" t="str">
        <f t="shared" si="19"/>
        <v/>
      </c>
      <c r="H888" s="52"/>
      <c r="I888" s="53" t="str">
        <f t="shared" si="20"/>
        <v/>
      </c>
      <c r="J888" s="12"/>
      <c r="K888" s="1"/>
      <c r="L888" s="1"/>
      <c r="M888" s="1"/>
      <c r="N888" s="1"/>
      <c r="O888" s="1"/>
      <c r="P888" s="1"/>
      <c r="Q888" s="1"/>
      <c r="R888" s="1"/>
      <c r="S888" s="1"/>
      <c r="T888" s="1"/>
      <c r="U888" s="1"/>
      <c r="V888" s="1"/>
      <c r="W888" s="1"/>
      <c r="X888" s="1"/>
      <c r="Y888" s="1"/>
      <c r="Z888" s="1"/>
    </row>
    <row r="889">
      <c r="A889" s="1"/>
      <c r="B889" s="1"/>
      <c r="C889" s="54"/>
      <c r="D889" s="55"/>
      <c r="E889" s="69"/>
      <c r="F889" s="58"/>
      <c r="G889" s="58" t="str">
        <f t="shared" si="19"/>
        <v/>
      </c>
      <c r="H889" s="58"/>
      <c r="I889" s="59" t="str">
        <f t="shared" si="20"/>
        <v/>
      </c>
      <c r="J889" s="12"/>
      <c r="K889" s="1"/>
      <c r="L889" s="1"/>
      <c r="M889" s="1"/>
      <c r="N889" s="1"/>
      <c r="O889" s="1"/>
      <c r="P889" s="1"/>
      <c r="Q889" s="1"/>
      <c r="R889" s="1"/>
      <c r="S889" s="1"/>
      <c r="T889" s="1"/>
      <c r="U889" s="1"/>
      <c r="V889" s="1"/>
      <c r="W889" s="1"/>
      <c r="X889" s="1"/>
      <c r="Y889" s="1"/>
      <c r="Z889" s="1"/>
    </row>
    <row r="890">
      <c r="A890" s="1"/>
      <c r="B890" s="1"/>
      <c r="C890" s="48"/>
      <c r="D890" s="49"/>
      <c r="E890" s="70"/>
      <c r="F890" s="52"/>
      <c r="G890" s="52" t="str">
        <f t="shared" si="19"/>
        <v/>
      </c>
      <c r="H890" s="52"/>
      <c r="I890" s="53" t="str">
        <f t="shared" si="20"/>
        <v/>
      </c>
      <c r="J890" s="12"/>
      <c r="K890" s="1"/>
      <c r="L890" s="1"/>
      <c r="M890" s="1"/>
      <c r="N890" s="1"/>
      <c r="O890" s="1"/>
      <c r="P890" s="1"/>
      <c r="Q890" s="1"/>
      <c r="R890" s="1"/>
      <c r="S890" s="1"/>
      <c r="T890" s="1"/>
      <c r="U890" s="1"/>
      <c r="V890" s="1"/>
      <c r="W890" s="1"/>
      <c r="X890" s="1"/>
      <c r="Y890" s="1"/>
      <c r="Z890" s="1"/>
    </row>
    <row r="891">
      <c r="A891" s="1"/>
      <c r="B891" s="1"/>
      <c r="C891" s="54"/>
      <c r="D891" s="55"/>
      <c r="E891" s="69"/>
      <c r="F891" s="58"/>
      <c r="G891" s="58" t="str">
        <f t="shared" si="19"/>
        <v/>
      </c>
      <c r="H891" s="58"/>
      <c r="I891" s="59" t="str">
        <f t="shared" si="20"/>
        <v/>
      </c>
      <c r="J891" s="12"/>
      <c r="K891" s="1"/>
      <c r="L891" s="1"/>
      <c r="M891" s="1"/>
      <c r="N891" s="1"/>
      <c r="O891" s="1"/>
      <c r="P891" s="1"/>
      <c r="Q891" s="1"/>
      <c r="R891" s="1"/>
      <c r="S891" s="1"/>
      <c r="T891" s="1"/>
      <c r="U891" s="1"/>
      <c r="V891" s="1"/>
      <c r="W891" s="1"/>
      <c r="X891" s="1"/>
      <c r="Y891" s="1"/>
      <c r="Z891" s="1"/>
    </row>
    <row r="892">
      <c r="A892" s="1"/>
      <c r="B892" s="1"/>
      <c r="C892" s="48"/>
      <c r="D892" s="49"/>
      <c r="E892" s="70"/>
      <c r="F892" s="52"/>
      <c r="G892" s="52" t="str">
        <f t="shared" si="19"/>
        <v/>
      </c>
      <c r="H892" s="52"/>
      <c r="I892" s="53" t="str">
        <f t="shared" si="20"/>
        <v/>
      </c>
      <c r="J892" s="12"/>
      <c r="K892" s="1"/>
      <c r="L892" s="1"/>
      <c r="M892" s="1"/>
      <c r="N892" s="1"/>
      <c r="O892" s="1"/>
      <c r="P892" s="1"/>
      <c r="Q892" s="1"/>
      <c r="R892" s="1"/>
      <c r="S892" s="1"/>
      <c r="T892" s="1"/>
      <c r="U892" s="1"/>
      <c r="V892" s="1"/>
      <c r="W892" s="1"/>
      <c r="X892" s="1"/>
      <c r="Y892" s="1"/>
      <c r="Z892" s="1"/>
    </row>
    <row r="893">
      <c r="A893" s="1"/>
      <c r="B893" s="1"/>
      <c r="C893" s="54"/>
      <c r="D893" s="55"/>
      <c r="E893" s="69"/>
      <c r="F893" s="58"/>
      <c r="G893" s="58" t="str">
        <f t="shared" si="19"/>
        <v/>
      </c>
      <c r="H893" s="58"/>
      <c r="I893" s="59" t="str">
        <f t="shared" si="20"/>
        <v/>
      </c>
      <c r="J893" s="12"/>
      <c r="K893" s="1"/>
      <c r="L893" s="1"/>
      <c r="M893" s="1"/>
      <c r="N893" s="1"/>
      <c r="O893" s="1"/>
      <c r="P893" s="1"/>
      <c r="Q893" s="1"/>
      <c r="R893" s="1"/>
      <c r="S893" s="1"/>
      <c r="T893" s="1"/>
      <c r="U893" s="1"/>
      <c r="V893" s="1"/>
      <c r="W893" s="1"/>
      <c r="X893" s="1"/>
      <c r="Y893" s="1"/>
      <c r="Z893" s="1"/>
    </row>
    <row r="894">
      <c r="A894" s="1"/>
      <c r="B894" s="1"/>
      <c r="C894" s="48"/>
      <c r="D894" s="49"/>
      <c r="E894" s="70"/>
      <c r="F894" s="52"/>
      <c r="G894" s="52" t="str">
        <f t="shared" si="19"/>
        <v/>
      </c>
      <c r="H894" s="52"/>
      <c r="I894" s="53" t="str">
        <f t="shared" si="20"/>
        <v/>
      </c>
      <c r="J894" s="12"/>
      <c r="K894" s="1"/>
      <c r="L894" s="1"/>
      <c r="M894" s="1"/>
      <c r="N894" s="1"/>
      <c r="O894" s="1"/>
      <c r="P894" s="1"/>
      <c r="Q894" s="1"/>
      <c r="R894" s="1"/>
      <c r="S894" s="1"/>
      <c r="T894" s="1"/>
      <c r="U894" s="1"/>
      <c r="V894" s="1"/>
      <c r="W894" s="1"/>
      <c r="X894" s="1"/>
      <c r="Y894" s="1"/>
      <c r="Z894" s="1"/>
    </row>
    <row r="895">
      <c r="A895" s="1"/>
      <c r="B895" s="1"/>
      <c r="C895" s="54"/>
      <c r="D895" s="55"/>
      <c r="E895" s="69"/>
      <c r="F895" s="58"/>
      <c r="G895" s="58" t="str">
        <f t="shared" si="19"/>
        <v/>
      </c>
      <c r="H895" s="58"/>
      <c r="I895" s="59" t="str">
        <f t="shared" si="20"/>
        <v/>
      </c>
      <c r="J895" s="12"/>
      <c r="K895" s="1"/>
      <c r="L895" s="1"/>
      <c r="M895" s="1"/>
      <c r="N895" s="1"/>
      <c r="O895" s="1"/>
      <c r="P895" s="1"/>
      <c r="Q895" s="1"/>
      <c r="R895" s="1"/>
      <c r="S895" s="1"/>
      <c r="T895" s="1"/>
      <c r="U895" s="1"/>
      <c r="V895" s="1"/>
      <c r="W895" s="1"/>
      <c r="X895" s="1"/>
      <c r="Y895" s="1"/>
      <c r="Z895" s="1"/>
    </row>
    <row r="896">
      <c r="A896" s="1"/>
      <c r="B896" s="1"/>
      <c r="C896" s="48"/>
      <c r="D896" s="49"/>
      <c r="E896" s="70"/>
      <c r="F896" s="52"/>
      <c r="G896" s="52" t="str">
        <f t="shared" si="19"/>
        <v/>
      </c>
      <c r="H896" s="52"/>
      <c r="I896" s="53" t="str">
        <f t="shared" si="20"/>
        <v/>
      </c>
      <c r="J896" s="12"/>
      <c r="K896" s="1"/>
      <c r="L896" s="1"/>
      <c r="M896" s="1"/>
      <c r="N896" s="1"/>
      <c r="O896" s="1"/>
      <c r="P896" s="1"/>
      <c r="Q896" s="1"/>
      <c r="R896" s="1"/>
      <c r="S896" s="1"/>
      <c r="T896" s="1"/>
      <c r="U896" s="1"/>
      <c r="V896" s="1"/>
      <c r="W896" s="1"/>
      <c r="X896" s="1"/>
      <c r="Y896" s="1"/>
      <c r="Z896" s="1"/>
    </row>
    <row r="897">
      <c r="A897" s="1"/>
      <c r="B897" s="1"/>
      <c r="C897" s="54"/>
      <c r="D897" s="55"/>
      <c r="E897" s="69"/>
      <c r="F897" s="58"/>
      <c r="G897" s="58" t="str">
        <f t="shared" si="19"/>
        <v/>
      </c>
      <c r="H897" s="58"/>
      <c r="I897" s="59" t="str">
        <f t="shared" si="20"/>
        <v/>
      </c>
      <c r="J897" s="12"/>
      <c r="K897" s="1"/>
      <c r="L897" s="1"/>
      <c r="M897" s="1"/>
      <c r="N897" s="1"/>
      <c r="O897" s="1"/>
      <c r="P897" s="1"/>
      <c r="Q897" s="1"/>
      <c r="R897" s="1"/>
      <c r="S897" s="1"/>
      <c r="T897" s="1"/>
      <c r="U897" s="1"/>
      <c r="V897" s="1"/>
      <c r="W897" s="1"/>
      <c r="X897" s="1"/>
      <c r="Y897" s="1"/>
      <c r="Z897" s="1"/>
    </row>
    <row r="898">
      <c r="A898" s="1"/>
      <c r="B898" s="1"/>
      <c r="C898" s="48"/>
      <c r="D898" s="49"/>
      <c r="E898" s="70"/>
      <c r="F898" s="52"/>
      <c r="G898" s="52" t="str">
        <f t="shared" si="19"/>
        <v/>
      </c>
      <c r="H898" s="52"/>
      <c r="I898" s="53" t="str">
        <f t="shared" si="20"/>
        <v/>
      </c>
      <c r="J898" s="12"/>
      <c r="K898" s="1"/>
      <c r="L898" s="1"/>
      <c r="M898" s="1"/>
      <c r="N898" s="1"/>
      <c r="O898" s="1"/>
      <c r="P898" s="1"/>
      <c r="Q898" s="1"/>
      <c r="R898" s="1"/>
      <c r="S898" s="1"/>
      <c r="T898" s="1"/>
      <c r="U898" s="1"/>
      <c r="V898" s="1"/>
      <c r="W898" s="1"/>
      <c r="X898" s="1"/>
      <c r="Y898" s="1"/>
      <c r="Z898" s="1"/>
    </row>
    <row r="899">
      <c r="A899" s="1"/>
      <c r="B899" s="1"/>
      <c r="C899" s="54"/>
      <c r="D899" s="55"/>
      <c r="E899" s="69"/>
      <c r="F899" s="58"/>
      <c r="G899" s="58" t="str">
        <f t="shared" si="19"/>
        <v/>
      </c>
      <c r="H899" s="58"/>
      <c r="I899" s="59" t="str">
        <f t="shared" si="20"/>
        <v/>
      </c>
      <c r="J899" s="12"/>
      <c r="K899" s="1"/>
      <c r="L899" s="1"/>
      <c r="M899" s="1"/>
      <c r="N899" s="1"/>
      <c r="O899" s="1"/>
      <c r="P899" s="1"/>
      <c r="Q899" s="1"/>
      <c r="R899" s="1"/>
      <c r="S899" s="1"/>
      <c r="T899" s="1"/>
      <c r="U899" s="1"/>
      <c r="V899" s="1"/>
      <c r="W899" s="1"/>
      <c r="X899" s="1"/>
      <c r="Y899" s="1"/>
      <c r="Z899" s="1"/>
    </row>
    <row r="900">
      <c r="A900" s="1"/>
      <c r="B900" s="1"/>
      <c r="C900" s="48"/>
      <c r="D900" s="49"/>
      <c r="E900" s="70"/>
      <c r="F900" s="52"/>
      <c r="G900" s="52" t="str">
        <f t="shared" si="19"/>
        <v/>
      </c>
      <c r="H900" s="52"/>
      <c r="I900" s="53" t="str">
        <f t="shared" si="20"/>
        <v/>
      </c>
      <c r="J900" s="12"/>
      <c r="K900" s="1"/>
      <c r="L900" s="1"/>
      <c r="M900" s="1"/>
      <c r="N900" s="1"/>
      <c r="O900" s="1"/>
      <c r="P900" s="1"/>
      <c r="Q900" s="1"/>
      <c r="R900" s="1"/>
      <c r="S900" s="1"/>
      <c r="T900" s="1"/>
      <c r="U900" s="1"/>
      <c r="V900" s="1"/>
      <c r="W900" s="1"/>
      <c r="X900" s="1"/>
      <c r="Y900" s="1"/>
      <c r="Z900" s="1"/>
    </row>
    <row r="901">
      <c r="A901" s="1"/>
      <c r="B901" s="1"/>
      <c r="C901" s="54"/>
      <c r="D901" s="55"/>
      <c r="E901" s="69"/>
      <c r="F901" s="58"/>
      <c r="G901" s="58" t="str">
        <f t="shared" si="19"/>
        <v/>
      </c>
      <c r="H901" s="58"/>
      <c r="I901" s="59" t="str">
        <f t="shared" si="20"/>
        <v/>
      </c>
      <c r="J901" s="12"/>
      <c r="K901" s="1"/>
      <c r="L901" s="1"/>
      <c r="M901" s="1"/>
      <c r="N901" s="1"/>
      <c r="O901" s="1"/>
      <c r="P901" s="1"/>
      <c r="Q901" s="1"/>
      <c r="R901" s="1"/>
      <c r="S901" s="1"/>
      <c r="T901" s="1"/>
      <c r="U901" s="1"/>
      <c r="V901" s="1"/>
      <c r="W901" s="1"/>
      <c r="X901" s="1"/>
      <c r="Y901" s="1"/>
      <c r="Z901" s="1"/>
    </row>
    <row r="902">
      <c r="A902" s="1"/>
      <c r="B902" s="1"/>
      <c r="C902" s="48"/>
      <c r="D902" s="49"/>
      <c r="E902" s="70"/>
      <c r="F902" s="52"/>
      <c r="G902" s="52" t="str">
        <f t="shared" si="19"/>
        <v/>
      </c>
      <c r="H902" s="52"/>
      <c r="I902" s="53" t="str">
        <f t="shared" si="20"/>
        <v/>
      </c>
      <c r="J902" s="12"/>
      <c r="K902" s="1"/>
      <c r="L902" s="1"/>
      <c r="M902" s="1"/>
      <c r="N902" s="1"/>
      <c r="O902" s="1"/>
      <c r="P902" s="1"/>
      <c r="Q902" s="1"/>
      <c r="R902" s="1"/>
      <c r="S902" s="1"/>
      <c r="T902" s="1"/>
      <c r="U902" s="1"/>
      <c r="V902" s="1"/>
      <c r="W902" s="1"/>
      <c r="X902" s="1"/>
      <c r="Y902" s="1"/>
      <c r="Z902" s="1"/>
    </row>
    <row r="903">
      <c r="A903" s="1"/>
      <c r="B903" s="1"/>
      <c r="C903" s="54"/>
      <c r="D903" s="55"/>
      <c r="E903" s="69"/>
      <c r="F903" s="58"/>
      <c r="G903" s="58" t="str">
        <f t="shared" si="19"/>
        <v/>
      </c>
      <c r="H903" s="58"/>
      <c r="I903" s="59" t="str">
        <f t="shared" si="20"/>
        <v/>
      </c>
      <c r="J903" s="12"/>
      <c r="K903" s="1"/>
      <c r="L903" s="1"/>
      <c r="M903" s="1"/>
      <c r="N903" s="1"/>
      <c r="O903" s="1"/>
      <c r="P903" s="1"/>
      <c r="Q903" s="1"/>
      <c r="R903" s="1"/>
      <c r="S903" s="1"/>
      <c r="T903" s="1"/>
      <c r="U903" s="1"/>
      <c r="V903" s="1"/>
      <c r="W903" s="1"/>
      <c r="X903" s="1"/>
      <c r="Y903" s="1"/>
      <c r="Z903" s="1"/>
    </row>
    <row r="904">
      <c r="A904" s="1"/>
      <c r="B904" s="1"/>
      <c r="C904" s="48"/>
      <c r="D904" s="49"/>
      <c r="E904" s="70"/>
      <c r="F904" s="52"/>
      <c r="G904" s="52" t="str">
        <f t="shared" si="19"/>
        <v/>
      </c>
      <c r="H904" s="52"/>
      <c r="I904" s="53" t="str">
        <f t="shared" si="20"/>
        <v/>
      </c>
      <c r="J904" s="12"/>
      <c r="K904" s="1"/>
      <c r="L904" s="1"/>
      <c r="M904" s="1"/>
      <c r="N904" s="1"/>
      <c r="O904" s="1"/>
      <c r="P904" s="1"/>
      <c r="Q904" s="1"/>
      <c r="R904" s="1"/>
      <c r="S904" s="1"/>
      <c r="T904" s="1"/>
      <c r="U904" s="1"/>
      <c r="V904" s="1"/>
      <c r="W904" s="1"/>
      <c r="X904" s="1"/>
      <c r="Y904" s="1"/>
      <c r="Z904" s="1"/>
    </row>
    <row r="905">
      <c r="A905" s="1"/>
      <c r="B905" s="1"/>
      <c r="C905" s="54"/>
      <c r="D905" s="55"/>
      <c r="E905" s="69"/>
      <c r="F905" s="58"/>
      <c r="G905" s="58" t="str">
        <f t="shared" si="19"/>
        <v/>
      </c>
      <c r="H905" s="58"/>
      <c r="I905" s="59" t="str">
        <f t="shared" si="20"/>
        <v/>
      </c>
      <c r="J905" s="12"/>
      <c r="K905" s="1"/>
      <c r="L905" s="1"/>
      <c r="M905" s="1"/>
      <c r="N905" s="1"/>
      <c r="O905" s="1"/>
      <c r="P905" s="1"/>
      <c r="Q905" s="1"/>
      <c r="R905" s="1"/>
      <c r="S905" s="1"/>
      <c r="T905" s="1"/>
      <c r="U905" s="1"/>
      <c r="V905" s="1"/>
      <c r="W905" s="1"/>
      <c r="X905" s="1"/>
      <c r="Y905" s="1"/>
      <c r="Z905" s="1"/>
    </row>
    <row r="906">
      <c r="A906" s="1"/>
      <c r="B906" s="1"/>
      <c r="C906" s="48"/>
      <c r="D906" s="49"/>
      <c r="E906" s="70"/>
      <c r="F906" s="52"/>
      <c r="G906" s="52" t="str">
        <f t="shared" si="19"/>
        <v/>
      </c>
      <c r="H906" s="52"/>
      <c r="I906" s="53" t="str">
        <f t="shared" si="20"/>
        <v/>
      </c>
      <c r="J906" s="12"/>
      <c r="K906" s="1"/>
      <c r="L906" s="1"/>
      <c r="M906" s="1"/>
      <c r="N906" s="1"/>
      <c r="O906" s="1"/>
      <c r="P906" s="1"/>
      <c r="Q906" s="1"/>
      <c r="R906" s="1"/>
      <c r="S906" s="1"/>
      <c r="T906" s="1"/>
      <c r="U906" s="1"/>
      <c r="V906" s="1"/>
      <c r="W906" s="1"/>
      <c r="X906" s="1"/>
      <c r="Y906" s="1"/>
      <c r="Z906" s="1"/>
    </row>
    <row r="907">
      <c r="A907" s="1"/>
      <c r="B907" s="1"/>
      <c r="C907" s="54"/>
      <c r="D907" s="55"/>
      <c r="E907" s="69"/>
      <c r="F907" s="58"/>
      <c r="G907" s="58" t="str">
        <f t="shared" si="19"/>
        <v/>
      </c>
      <c r="H907" s="58"/>
      <c r="I907" s="59" t="str">
        <f t="shared" si="20"/>
        <v/>
      </c>
      <c r="J907" s="12"/>
      <c r="K907" s="1"/>
      <c r="L907" s="1"/>
      <c r="M907" s="1"/>
      <c r="N907" s="1"/>
      <c r="O907" s="1"/>
      <c r="P907" s="1"/>
      <c r="Q907" s="1"/>
      <c r="R907" s="1"/>
      <c r="S907" s="1"/>
      <c r="T907" s="1"/>
      <c r="U907" s="1"/>
      <c r="V907" s="1"/>
      <c r="W907" s="1"/>
      <c r="X907" s="1"/>
      <c r="Y907" s="1"/>
      <c r="Z907" s="1"/>
    </row>
    <row r="908">
      <c r="A908" s="1"/>
      <c r="B908" s="1"/>
      <c r="C908" s="48"/>
      <c r="D908" s="49"/>
      <c r="E908" s="70"/>
      <c r="F908" s="52"/>
      <c r="G908" s="52" t="str">
        <f t="shared" si="19"/>
        <v/>
      </c>
      <c r="H908" s="52"/>
      <c r="I908" s="53" t="str">
        <f t="shared" si="20"/>
        <v/>
      </c>
      <c r="J908" s="12"/>
      <c r="K908" s="1"/>
      <c r="L908" s="1"/>
      <c r="M908" s="1"/>
      <c r="N908" s="1"/>
      <c r="O908" s="1"/>
      <c r="P908" s="1"/>
      <c r="Q908" s="1"/>
      <c r="R908" s="1"/>
      <c r="S908" s="1"/>
      <c r="T908" s="1"/>
      <c r="U908" s="1"/>
      <c r="V908" s="1"/>
      <c r="W908" s="1"/>
      <c r="X908" s="1"/>
      <c r="Y908" s="1"/>
      <c r="Z908" s="1"/>
    </row>
    <row r="909">
      <c r="A909" s="1"/>
      <c r="B909" s="1"/>
      <c r="C909" s="54"/>
      <c r="D909" s="55"/>
      <c r="E909" s="69"/>
      <c r="F909" s="58"/>
      <c r="G909" s="58" t="str">
        <f t="shared" si="19"/>
        <v/>
      </c>
      <c r="H909" s="58"/>
      <c r="I909" s="59" t="str">
        <f t="shared" si="20"/>
        <v/>
      </c>
      <c r="J909" s="12"/>
      <c r="K909" s="1"/>
      <c r="L909" s="1"/>
      <c r="M909" s="1"/>
      <c r="N909" s="1"/>
      <c r="O909" s="1"/>
      <c r="P909" s="1"/>
      <c r="Q909" s="1"/>
      <c r="R909" s="1"/>
      <c r="S909" s="1"/>
      <c r="T909" s="1"/>
      <c r="U909" s="1"/>
      <c r="V909" s="1"/>
      <c r="W909" s="1"/>
      <c r="X909" s="1"/>
      <c r="Y909" s="1"/>
      <c r="Z909" s="1"/>
    </row>
    <row r="910">
      <c r="A910" s="1"/>
      <c r="B910" s="1"/>
      <c r="C910" s="48"/>
      <c r="D910" s="49"/>
      <c r="E910" s="70"/>
      <c r="F910" s="52"/>
      <c r="G910" s="52" t="str">
        <f t="shared" si="19"/>
        <v/>
      </c>
      <c r="H910" s="52"/>
      <c r="I910" s="53" t="str">
        <f t="shared" si="20"/>
        <v/>
      </c>
      <c r="J910" s="12"/>
      <c r="K910" s="1"/>
      <c r="L910" s="1"/>
      <c r="M910" s="1"/>
      <c r="N910" s="1"/>
      <c r="O910" s="1"/>
      <c r="P910" s="1"/>
      <c r="Q910" s="1"/>
      <c r="R910" s="1"/>
      <c r="S910" s="1"/>
      <c r="T910" s="1"/>
      <c r="U910" s="1"/>
      <c r="V910" s="1"/>
      <c r="W910" s="1"/>
      <c r="X910" s="1"/>
      <c r="Y910" s="1"/>
      <c r="Z910" s="1"/>
    </row>
    <row r="911">
      <c r="A911" s="1"/>
      <c r="B911" s="1"/>
      <c r="C911" s="54"/>
      <c r="D911" s="55"/>
      <c r="E911" s="69"/>
      <c r="F911" s="58"/>
      <c r="G911" s="58" t="str">
        <f t="shared" si="19"/>
        <v/>
      </c>
      <c r="H911" s="58"/>
      <c r="I911" s="59" t="str">
        <f t="shared" si="20"/>
        <v/>
      </c>
      <c r="J911" s="12"/>
      <c r="K911" s="1"/>
      <c r="L911" s="1"/>
      <c r="M911" s="1"/>
      <c r="N911" s="1"/>
      <c r="O911" s="1"/>
      <c r="P911" s="1"/>
      <c r="Q911" s="1"/>
      <c r="R911" s="1"/>
      <c r="S911" s="1"/>
      <c r="T911" s="1"/>
      <c r="U911" s="1"/>
      <c r="V911" s="1"/>
      <c r="W911" s="1"/>
      <c r="X911" s="1"/>
      <c r="Y911" s="1"/>
      <c r="Z911" s="1"/>
    </row>
    <row r="912">
      <c r="A912" s="1"/>
      <c r="B912" s="1"/>
      <c r="C912" s="48"/>
      <c r="D912" s="49"/>
      <c r="E912" s="70"/>
      <c r="F912" s="52"/>
      <c r="G912" s="52" t="str">
        <f t="shared" si="19"/>
        <v/>
      </c>
      <c r="H912" s="52"/>
      <c r="I912" s="53" t="str">
        <f t="shared" si="20"/>
        <v/>
      </c>
      <c r="J912" s="12"/>
      <c r="K912" s="1"/>
      <c r="L912" s="1"/>
      <c r="M912" s="1"/>
      <c r="N912" s="1"/>
      <c r="O912" s="1"/>
      <c r="P912" s="1"/>
      <c r="Q912" s="1"/>
      <c r="R912" s="1"/>
      <c r="S912" s="1"/>
      <c r="T912" s="1"/>
      <c r="U912" s="1"/>
      <c r="V912" s="1"/>
      <c r="W912" s="1"/>
      <c r="X912" s="1"/>
      <c r="Y912" s="1"/>
      <c r="Z912" s="1"/>
    </row>
    <row r="913">
      <c r="A913" s="1"/>
      <c r="B913" s="1"/>
      <c r="C913" s="54"/>
      <c r="D913" s="55"/>
      <c r="E913" s="69"/>
      <c r="F913" s="58"/>
      <c r="G913" s="58" t="str">
        <f t="shared" si="19"/>
        <v/>
      </c>
      <c r="H913" s="58"/>
      <c r="I913" s="59" t="str">
        <f t="shared" si="20"/>
        <v/>
      </c>
      <c r="J913" s="12"/>
      <c r="K913" s="1"/>
      <c r="L913" s="1"/>
      <c r="M913" s="1"/>
      <c r="N913" s="1"/>
      <c r="O913" s="1"/>
      <c r="P913" s="1"/>
      <c r="Q913" s="1"/>
      <c r="R913" s="1"/>
      <c r="S913" s="1"/>
      <c r="T913" s="1"/>
      <c r="U913" s="1"/>
      <c r="V913" s="1"/>
      <c r="W913" s="1"/>
      <c r="X913" s="1"/>
      <c r="Y913" s="1"/>
      <c r="Z913" s="1"/>
    </row>
    <row r="914">
      <c r="A914" s="1"/>
      <c r="B914" s="1"/>
      <c r="C914" s="48"/>
      <c r="D914" s="49"/>
      <c r="E914" s="70"/>
      <c r="F914" s="52"/>
      <c r="G914" s="52" t="str">
        <f t="shared" si="19"/>
        <v/>
      </c>
      <c r="H914" s="52"/>
      <c r="I914" s="53" t="str">
        <f t="shared" si="20"/>
        <v/>
      </c>
      <c r="J914" s="12"/>
      <c r="K914" s="1"/>
      <c r="L914" s="1"/>
      <c r="M914" s="1"/>
      <c r="N914" s="1"/>
      <c r="O914" s="1"/>
      <c r="P914" s="1"/>
      <c r="Q914" s="1"/>
      <c r="R914" s="1"/>
      <c r="S914" s="1"/>
      <c r="T914" s="1"/>
      <c r="U914" s="1"/>
      <c r="V914" s="1"/>
      <c r="W914" s="1"/>
      <c r="X914" s="1"/>
      <c r="Y914" s="1"/>
      <c r="Z914" s="1"/>
    </row>
    <row r="915">
      <c r="A915" s="1"/>
      <c r="B915" s="1"/>
      <c r="C915" s="54"/>
      <c r="D915" s="55"/>
      <c r="E915" s="69"/>
      <c r="F915" s="58"/>
      <c r="G915" s="58" t="str">
        <f t="shared" si="19"/>
        <v/>
      </c>
      <c r="H915" s="58"/>
      <c r="I915" s="59" t="str">
        <f t="shared" si="20"/>
        <v/>
      </c>
      <c r="J915" s="12"/>
      <c r="K915" s="1"/>
      <c r="L915" s="1"/>
      <c r="M915" s="1"/>
      <c r="N915" s="1"/>
      <c r="O915" s="1"/>
      <c r="P915" s="1"/>
      <c r="Q915" s="1"/>
      <c r="R915" s="1"/>
      <c r="S915" s="1"/>
      <c r="T915" s="1"/>
      <c r="U915" s="1"/>
      <c r="V915" s="1"/>
      <c r="W915" s="1"/>
      <c r="X915" s="1"/>
      <c r="Y915" s="1"/>
      <c r="Z915" s="1"/>
    </row>
    <row r="916">
      <c r="A916" s="1"/>
      <c r="B916" s="1"/>
      <c r="C916" s="48"/>
      <c r="D916" s="49"/>
      <c r="E916" s="70"/>
      <c r="F916" s="52"/>
      <c r="G916" s="52" t="str">
        <f t="shared" si="19"/>
        <v/>
      </c>
      <c r="H916" s="52"/>
      <c r="I916" s="53" t="str">
        <f t="shared" si="20"/>
        <v/>
      </c>
      <c r="J916" s="12"/>
      <c r="K916" s="1"/>
      <c r="L916" s="1"/>
      <c r="M916" s="1"/>
      <c r="N916" s="1"/>
      <c r="O916" s="1"/>
      <c r="P916" s="1"/>
      <c r="Q916" s="1"/>
      <c r="R916" s="1"/>
      <c r="S916" s="1"/>
      <c r="T916" s="1"/>
      <c r="U916" s="1"/>
      <c r="V916" s="1"/>
      <c r="W916" s="1"/>
      <c r="X916" s="1"/>
      <c r="Y916" s="1"/>
      <c r="Z916" s="1"/>
    </row>
    <row r="917">
      <c r="A917" s="1"/>
      <c r="B917" s="1"/>
      <c r="C917" s="54"/>
      <c r="D917" s="55"/>
      <c r="E917" s="69"/>
      <c r="F917" s="58"/>
      <c r="G917" s="58" t="str">
        <f t="shared" si="19"/>
        <v/>
      </c>
      <c r="H917" s="58"/>
      <c r="I917" s="59" t="str">
        <f t="shared" si="20"/>
        <v/>
      </c>
      <c r="J917" s="12"/>
      <c r="K917" s="1"/>
      <c r="L917" s="1"/>
      <c r="M917" s="1"/>
      <c r="N917" s="1"/>
      <c r="O917" s="1"/>
      <c r="P917" s="1"/>
      <c r="Q917" s="1"/>
      <c r="R917" s="1"/>
      <c r="S917" s="1"/>
      <c r="T917" s="1"/>
      <c r="U917" s="1"/>
      <c r="V917" s="1"/>
      <c r="W917" s="1"/>
      <c r="X917" s="1"/>
      <c r="Y917" s="1"/>
      <c r="Z917" s="1"/>
    </row>
    <row r="918">
      <c r="A918" s="1"/>
      <c r="B918" s="1"/>
      <c r="C918" s="48"/>
      <c r="D918" s="49"/>
      <c r="E918" s="70"/>
      <c r="F918" s="52"/>
      <c r="G918" s="52" t="str">
        <f t="shared" si="19"/>
        <v/>
      </c>
      <c r="H918" s="52"/>
      <c r="I918" s="53" t="str">
        <f t="shared" si="20"/>
        <v/>
      </c>
      <c r="J918" s="12"/>
      <c r="K918" s="1"/>
      <c r="L918" s="1"/>
      <c r="M918" s="1"/>
      <c r="N918" s="1"/>
      <c r="O918" s="1"/>
      <c r="P918" s="1"/>
      <c r="Q918" s="1"/>
      <c r="R918" s="1"/>
      <c r="S918" s="1"/>
      <c r="T918" s="1"/>
      <c r="U918" s="1"/>
      <c r="V918" s="1"/>
      <c r="W918" s="1"/>
      <c r="X918" s="1"/>
      <c r="Y918" s="1"/>
      <c r="Z918" s="1"/>
    </row>
    <row r="919">
      <c r="A919" s="1"/>
      <c r="B919" s="1"/>
      <c r="C919" s="54"/>
      <c r="D919" s="55"/>
      <c r="E919" s="69"/>
      <c r="F919" s="58"/>
      <c r="G919" s="58" t="str">
        <f t="shared" si="19"/>
        <v/>
      </c>
      <c r="H919" s="58"/>
      <c r="I919" s="59" t="str">
        <f t="shared" si="20"/>
        <v/>
      </c>
      <c r="J919" s="12"/>
      <c r="K919" s="1"/>
      <c r="L919" s="1"/>
      <c r="M919" s="1"/>
      <c r="N919" s="1"/>
      <c r="O919" s="1"/>
      <c r="P919" s="1"/>
      <c r="Q919" s="1"/>
      <c r="R919" s="1"/>
      <c r="S919" s="1"/>
      <c r="T919" s="1"/>
      <c r="U919" s="1"/>
      <c r="V919" s="1"/>
      <c r="W919" s="1"/>
      <c r="X919" s="1"/>
      <c r="Y919" s="1"/>
      <c r="Z919" s="1"/>
    </row>
    <row r="920">
      <c r="A920" s="1"/>
      <c r="B920" s="1"/>
      <c r="C920" s="48"/>
      <c r="D920" s="49"/>
      <c r="E920" s="70"/>
      <c r="F920" s="52"/>
      <c r="G920" s="52" t="str">
        <f t="shared" si="19"/>
        <v/>
      </c>
      <c r="H920" s="52"/>
      <c r="I920" s="53" t="str">
        <f t="shared" si="20"/>
        <v/>
      </c>
      <c r="J920" s="12"/>
      <c r="K920" s="1"/>
      <c r="L920" s="1"/>
      <c r="M920" s="1"/>
      <c r="N920" s="1"/>
      <c r="O920" s="1"/>
      <c r="P920" s="1"/>
      <c r="Q920" s="1"/>
      <c r="R920" s="1"/>
      <c r="S920" s="1"/>
      <c r="T920" s="1"/>
      <c r="U920" s="1"/>
      <c r="V920" s="1"/>
      <c r="W920" s="1"/>
      <c r="X920" s="1"/>
      <c r="Y920" s="1"/>
      <c r="Z920" s="1"/>
    </row>
    <row r="921">
      <c r="A921" s="1"/>
      <c r="B921" s="1"/>
      <c r="C921" s="54"/>
      <c r="D921" s="55"/>
      <c r="E921" s="69"/>
      <c r="F921" s="58"/>
      <c r="G921" s="58" t="str">
        <f t="shared" si="19"/>
        <v/>
      </c>
      <c r="H921" s="58"/>
      <c r="I921" s="59" t="str">
        <f t="shared" si="20"/>
        <v/>
      </c>
      <c r="J921" s="12"/>
      <c r="K921" s="1"/>
      <c r="L921" s="1"/>
      <c r="M921" s="1"/>
      <c r="N921" s="1"/>
      <c r="O921" s="1"/>
      <c r="P921" s="1"/>
      <c r="Q921" s="1"/>
      <c r="R921" s="1"/>
      <c r="S921" s="1"/>
      <c r="T921" s="1"/>
      <c r="U921" s="1"/>
      <c r="V921" s="1"/>
      <c r="W921" s="1"/>
      <c r="X921" s="1"/>
      <c r="Y921" s="1"/>
      <c r="Z921" s="1"/>
    </row>
    <row r="922">
      <c r="A922" s="1"/>
      <c r="B922" s="1"/>
      <c r="C922" s="48"/>
      <c r="D922" s="49"/>
      <c r="E922" s="70"/>
      <c r="F922" s="52"/>
      <c r="G922" s="52" t="str">
        <f t="shared" si="19"/>
        <v/>
      </c>
      <c r="H922" s="52"/>
      <c r="I922" s="53" t="str">
        <f t="shared" si="20"/>
        <v/>
      </c>
      <c r="J922" s="12"/>
      <c r="K922" s="1"/>
      <c r="L922" s="1"/>
      <c r="M922" s="1"/>
      <c r="N922" s="1"/>
      <c r="O922" s="1"/>
      <c r="P922" s="1"/>
      <c r="Q922" s="1"/>
      <c r="R922" s="1"/>
      <c r="S922" s="1"/>
      <c r="T922" s="1"/>
      <c r="U922" s="1"/>
      <c r="V922" s="1"/>
      <c r="W922" s="1"/>
      <c r="X922" s="1"/>
      <c r="Y922" s="1"/>
      <c r="Z922" s="1"/>
    </row>
    <row r="923">
      <c r="A923" s="1"/>
      <c r="B923" s="1"/>
      <c r="C923" s="54"/>
      <c r="D923" s="55"/>
      <c r="E923" s="69"/>
      <c r="F923" s="58"/>
      <c r="G923" s="58" t="str">
        <f t="shared" si="19"/>
        <v/>
      </c>
      <c r="H923" s="58"/>
      <c r="I923" s="59" t="str">
        <f t="shared" si="20"/>
        <v/>
      </c>
      <c r="J923" s="12"/>
      <c r="K923" s="1"/>
      <c r="L923" s="1"/>
      <c r="M923" s="1"/>
      <c r="N923" s="1"/>
      <c r="O923" s="1"/>
      <c r="P923" s="1"/>
      <c r="Q923" s="1"/>
      <c r="R923" s="1"/>
      <c r="S923" s="1"/>
      <c r="T923" s="1"/>
      <c r="U923" s="1"/>
      <c r="V923" s="1"/>
      <c r="W923" s="1"/>
      <c r="X923" s="1"/>
      <c r="Y923" s="1"/>
      <c r="Z923" s="1"/>
    </row>
    <row r="924">
      <c r="A924" s="1"/>
      <c r="B924" s="1"/>
      <c r="C924" s="48"/>
      <c r="D924" s="49"/>
      <c r="E924" s="70"/>
      <c r="F924" s="52"/>
      <c r="G924" s="52" t="str">
        <f t="shared" si="19"/>
        <v/>
      </c>
      <c r="H924" s="52"/>
      <c r="I924" s="53" t="str">
        <f t="shared" si="20"/>
        <v/>
      </c>
      <c r="J924" s="12"/>
      <c r="K924" s="1"/>
      <c r="L924" s="1"/>
      <c r="M924" s="1"/>
      <c r="N924" s="1"/>
      <c r="O924" s="1"/>
      <c r="P924" s="1"/>
      <c r="Q924" s="1"/>
      <c r="R924" s="1"/>
      <c r="S924" s="1"/>
      <c r="T924" s="1"/>
      <c r="U924" s="1"/>
      <c r="V924" s="1"/>
      <c r="W924" s="1"/>
      <c r="X924" s="1"/>
      <c r="Y924" s="1"/>
      <c r="Z924" s="1"/>
    </row>
    <row r="925">
      <c r="A925" s="1"/>
      <c r="B925" s="1"/>
      <c r="C925" s="54"/>
      <c r="D925" s="55"/>
      <c r="E925" s="69"/>
      <c r="F925" s="58"/>
      <c r="G925" s="58" t="str">
        <f t="shared" si="19"/>
        <v/>
      </c>
      <c r="H925" s="58"/>
      <c r="I925" s="59" t="str">
        <f t="shared" si="20"/>
        <v/>
      </c>
      <c r="J925" s="12"/>
      <c r="K925" s="1"/>
      <c r="L925" s="1"/>
      <c r="M925" s="1"/>
      <c r="N925" s="1"/>
      <c r="O925" s="1"/>
      <c r="P925" s="1"/>
      <c r="Q925" s="1"/>
      <c r="R925" s="1"/>
      <c r="S925" s="1"/>
      <c r="T925" s="1"/>
      <c r="U925" s="1"/>
      <c r="V925" s="1"/>
      <c r="W925" s="1"/>
      <c r="X925" s="1"/>
      <c r="Y925" s="1"/>
      <c r="Z925" s="1"/>
    </row>
    <row r="926">
      <c r="A926" s="1"/>
      <c r="B926" s="1"/>
      <c r="C926" s="48"/>
      <c r="D926" s="49"/>
      <c r="E926" s="70"/>
      <c r="F926" s="52"/>
      <c r="G926" s="52" t="str">
        <f t="shared" si="19"/>
        <v/>
      </c>
      <c r="H926" s="52"/>
      <c r="I926" s="53" t="str">
        <f t="shared" si="20"/>
        <v/>
      </c>
      <c r="J926" s="12"/>
      <c r="K926" s="1"/>
      <c r="L926" s="1"/>
      <c r="M926" s="1"/>
      <c r="N926" s="1"/>
      <c r="O926" s="1"/>
      <c r="P926" s="1"/>
      <c r="Q926" s="1"/>
      <c r="R926" s="1"/>
      <c r="S926" s="1"/>
      <c r="T926" s="1"/>
      <c r="U926" s="1"/>
      <c r="V926" s="1"/>
      <c r="W926" s="1"/>
      <c r="X926" s="1"/>
      <c r="Y926" s="1"/>
      <c r="Z926" s="1"/>
    </row>
    <row r="927">
      <c r="A927" s="1"/>
      <c r="B927" s="1"/>
      <c r="C927" s="54"/>
      <c r="D927" s="55"/>
      <c r="E927" s="69"/>
      <c r="F927" s="58"/>
      <c r="G927" s="58" t="str">
        <f t="shared" si="19"/>
        <v/>
      </c>
      <c r="H927" s="58"/>
      <c r="I927" s="59" t="str">
        <f t="shared" si="20"/>
        <v/>
      </c>
      <c r="J927" s="12"/>
      <c r="K927" s="1"/>
      <c r="L927" s="1"/>
      <c r="M927" s="1"/>
      <c r="N927" s="1"/>
      <c r="O927" s="1"/>
      <c r="P927" s="1"/>
      <c r="Q927" s="1"/>
      <c r="R927" s="1"/>
      <c r="S927" s="1"/>
      <c r="T927" s="1"/>
      <c r="U927" s="1"/>
      <c r="V927" s="1"/>
      <c r="W927" s="1"/>
      <c r="X927" s="1"/>
      <c r="Y927" s="1"/>
      <c r="Z927" s="1"/>
    </row>
    <row r="928">
      <c r="A928" s="1"/>
      <c r="B928" s="1"/>
      <c r="C928" s="48"/>
      <c r="D928" s="49"/>
      <c r="E928" s="70"/>
      <c r="F928" s="52"/>
      <c r="G928" s="52" t="str">
        <f t="shared" si="19"/>
        <v/>
      </c>
      <c r="H928" s="52"/>
      <c r="I928" s="53" t="str">
        <f t="shared" si="20"/>
        <v/>
      </c>
      <c r="J928" s="12"/>
      <c r="K928" s="1"/>
      <c r="L928" s="1"/>
      <c r="M928" s="1"/>
      <c r="N928" s="1"/>
      <c r="O928" s="1"/>
      <c r="P928" s="1"/>
      <c r="Q928" s="1"/>
      <c r="R928" s="1"/>
      <c r="S928" s="1"/>
      <c r="T928" s="1"/>
      <c r="U928" s="1"/>
      <c r="V928" s="1"/>
      <c r="W928" s="1"/>
      <c r="X928" s="1"/>
      <c r="Y928" s="1"/>
      <c r="Z928" s="1"/>
    </row>
    <row r="929">
      <c r="A929" s="1"/>
      <c r="B929" s="1"/>
      <c r="C929" s="54"/>
      <c r="D929" s="55"/>
      <c r="E929" s="69"/>
      <c r="F929" s="58"/>
      <c r="G929" s="58" t="str">
        <f t="shared" si="19"/>
        <v/>
      </c>
      <c r="H929" s="58"/>
      <c r="I929" s="59" t="str">
        <f t="shared" si="20"/>
        <v/>
      </c>
      <c r="J929" s="12"/>
      <c r="K929" s="1"/>
      <c r="L929" s="1"/>
      <c r="M929" s="1"/>
      <c r="N929" s="1"/>
      <c r="O929" s="1"/>
      <c r="P929" s="1"/>
      <c r="Q929" s="1"/>
      <c r="R929" s="1"/>
      <c r="S929" s="1"/>
      <c r="T929" s="1"/>
      <c r="U929" s="1"/>
      <c r="V929" s="1"/>
      <c r="W929" s="1"/>
      <c r="X929" s="1"/>
      <c r="Y929" s="1"/>
      <c r="Z929" s="1"/>
    </row>
    <row r="930">
      <c r="A930" s="1"/>
      <c r="B930" s="1"/>
      <c r="C930" s="48"/>
      <c r="D930" s="49"/>
      <c r="E930" s="70"/>
      <c r="F930" s="52"/>
      <c r="G930" s="52" t="str">
        <f t="shared" si="19"/>
        <v/>
      </c>
      <c r="H930" s="52"/>
      <c r="I930" s="53" t="str">
        <f t="shared" si="20"/>
        <v/>
      </c>
      <c r="J930" s="12"/>
      <c r="K930" s="1"/>
      <c r="L930" s="1"/>
      <c r="M930" s="1"/>
      <c r="N930" s="1"/>
      <c r="O930" s="1"/>
      <c r="P930" s="1"/>
      <c r="Q930" s="1"/>
      <c r="R930" s="1"/>
      <c r="S930" s="1"/>
      <c r="T930" s="1"/>
      <c r="U930" s="1"/>
      <c r="V930" s="1"/>
      <c r="W930" s="1"/>
      <c r="X930" s="1"/>
      <c r="Y930" s="1"/>
      <c r="Z930" s="1"/>
    </row>
    <row r="931">
      <c r="A931" s="1"/>
      <c r="B931" s="1"/>
      <c r="C931" s="54"/>
      <c r="D931" s="55"/>
      <c r="E931" s="69"/>
      <c r="F931" s="58"/>
      <c r="G931" s="58" t="str">
        <f t="shared" si="19"/>
        <v/>
      </c>
      <c r="H931" s="58"/>
      <c r="I931" s="59" t="str">
        <f t="shared" si="20"/>
        <v/>
      </c>
      <c r="J931" s="12"/>
      <c r="K931" s="1"/>
      <c r="L931" s="1"/>
      <c r="M931" s="1"/>
      <c r="N931" s="1"/>
      <c r="O931" s="1"/>
      <c r="P931" s="1"/>
      <c r="Q931" s="1"/>
      <c r="R931" s="1"/>
      <c r="S931" s="1"/>
      <c r="T931" s="1"/>
      <c r="U931" s="1"/>
      <c r="V931" s="1"/>
      <c r="W931" s="1"/>
      <c r="X931" s="1"/>
      <c r="Y931" s="1"/>
      <c r="Z931" s="1"/>
    </row>
    <row r="932">
      <c r="A932" s="1"/>
      <c r="B932" s="1"/>
      <c r="C932" s="48"/>
      <c r="D932" s="49"/>
      <c r="E932" s="70"/>
      <c r="F932" s="52"/>
      <c r="G932" s="52" t="str">
        <f t="shared" si="19"/>
        <v/>
      </c>
      <c r="H932" s="52"/>
      <c r="I932" s="53" t="str">
        <f t="shared" si="20"/>
        <v/>
      </c>
      <c r="J932" s="12"/>
      <c r="K932" s="1"/>
      <c r="L932" s="1"/>
      <c r="M932" s="1"/>
      <c r="N932" s="1"/>
      <c r="O932" s="1"/>
      <c r="P932" s="1"/>
      <c r="Q932" s="1"/>
      <c r="R932" s="1"/>
      <c r="S932" s="1"/>
      <c r="T932" s="1"/>
      <c r="U932" s="1"/>
      <c r="V932" s="1"/>
      <c r="W932" s="1"/>
      <c r="X932" s="1"/>
      <c r="Y932" s="1"/>
      <c r="Z932" s="1"/>
    </row>
    <row r="933">
      <c r="A933" s="1"/>
      <c r="B933" s="1"/>
      <c r="C933" s="54"/>
      <c r="D933" s="55"/>
      <c r="E933" s="69"/>
      <c r="F933" s="58"/>
      <c r="G933" s="58" t="str">
        <f t="shared" si="19"/>
        <v/>
      </c>
      <c r="H933" s="58"/>
      <c r="I933" s="59" t="str">
        <f t="shared" si="20"/>
        <v/>
      </c>
      <c r="J933" s="12"/>
      <c r="K933" s="1"/>
      <c r="L933" s="1"/>
      <c r="M933" s="1"/>
      <c r="N933" s="1"/>
      <c r="O933" s="1"/>
      <c r="P933" s="1"/>
      <c r="Q933" s="1"/>
      <c r="R933" s="1"/>
      <c r="S933" s="1"/>
      <c r="T933" s="1"/>
      <c r="U933" s="1"/>
      <c r="V933" s="1"/>
      <c r="W933" s="1"/>
      <c r="X933" s="1"/>
      <c r="Y933" s="1"/>
      <c r="Z933" s="1"/>
    </row>
    <row r="934">
      <c r="A934" s="1"/>
      <c r="B934" s="1"/>
      <c r="C934" s="48"/>
      <c r="D934" s="49"/>
      <c r="E934" s="70"/>
      <c r="F934" s="52"/>
      <c r="G934" s="52" t="str">
        <f t="shared" si="19"/>
        <v/>
      </c>
      <c r="H934" s="52"/>
      <c r="I934" s="53" t="str">
        <f t="shared" si="20"/>
        <v/>
      </c>
      <c r="J934" s="12"/>
      <c r="K934" s="1"/>
      <c r="L934" s="1"/>
      <c r="M934" s="1"/>
      <c r="N934" s="1"/>
      <c r="O934" s="1"/>
      <c r="P934" s="1"/>
      <c r="Q934" s="1"/>
      <c r="R934" s="1"/>
      <c r="S934" s="1"/>
      <c r="T934" s="1"/>
      <c r="U934" s="1"/>
      <c r="V934" s="1"/>
      <c r="W934" s="1"/>
      <c r="X934" s="1"/>
      <c r="Y934" s="1"/>
      <c r="Z934" s="1"/>
    </row>
    <row r="935">
      <c r="A935" s="1"/>
      <c r="B935" s="1"/>
      <c r="C935" s="54"/>
      <c r="D935" s="55"/>
      <c r="E935" s="69"/>
      <c r="F935" s="58"/>
      <c r="G935" s="58" t="str">
        <f t="shared" si="19"/>
        <v/>
      </c>
      <c r="H935" s="58"/>
      <c r="I935" s="59" t="str">
        <f t="shared" si="20"/>
        <v/>
      </c>
      <c r="J935" s="12"/>
      <c r="K935" s="1"/>
      <c r="L935" s="1"/>
      <c r="M935" s="1"/>
      <c r="N935" s="1"/>
      <c r="O935" s="1"/>
      <c r="P935" s="1"/>
      <c r="Q935" s="1"/>
      <c r="R935" s="1"/>
      <c r="S935" s="1"/>
      <c r="T935" s="1"/>
      <c r="U935" s="1"/>
      <c r="V935" s="1"/>
      <c r="W935" s="1"/>
      <c r="X935" s="1"/>
      <c r="Y935" s="1"/>
      <c r="Z935" s="1"/>
    </row>
    <row r="936">
      <c r="A936" s="1"/>
      <c r="B936" s="1"/>
      <c r="C936" s="48"/>
      <c r="D936" s="49"/>
      <c r="E936" s="70"/>
      <c r="F936" s="52"/>
      <c r="G936" s="52" t="str">
        <f t="shared" si="19"/>
        <v/>
      </c>
      <c r="H936" s="52"/>
      <c r="I936" s="53" t="str">
        <f t="shared" si="20"/>
        <v/>
      </c>
      <c r="J936" s="12"/>
      <c r="K936" s="1"/>
      <c r="L936" s="1"/>
      <c r="M936" s="1"/>
      <c r="N936" s="1"/>
      <c r="O936" s="1"/>
      <c r="P936" s="1"/>
      <c r="Q936" s="1"/>
      <c r="R936" s="1"/>
      <c r="S936" s="1"/>
      <c r="T936" s="1"/>
      <c r="U936" s="1"/>
      <c r="V936" s="1"/>
      <c r="W936" s="1"/>
      <c r="X936" s="1"/>
      <c r="Y936" s="1"/>
      <c r="Z936" s="1"/>
    </row>
    <row r="937">
      <c r="A937" s="1"/>
      <c r="B937" s="1"/>
      <c r="C937" s="54"/>
      <c r="D937" s="55"/>
      <c r="E937" s="69"/>
      <c r="F937" s="58"/>
      <c r="G937" s="58" t="str">
        <f t="shared" si="19"/>
        <v/>
      </c>
      <c r="H937" s="58"/>
      <c r="I937" s="59" t="str">
        <f t="shared" si="20"/>
        <v/>
      </c>
      <c r="J937" s="12"/>
      <c r="K937" s="1"/>
      <c r="L937" s="1"/>
      <c r="M937" s="1"/>
      <c r="N937" s="1"/>
      <c r="O937" s="1"/>
      <c r="P937" s="1"/>
      <c r="Q937" s="1"/>
      <c r="R937" s="1"/>
      <c r="S937" s="1"/>
      <c r="T937" s="1"/>
      <c r="U937" s="1"/>
      <c r="V937" s="1"/>
      <c r="W937" s="1"/>
      <c r="X937" s="1"/>
      <c r="Y937" s="1"/>
      <c r="Z937" s="1"/>
    </row>
    <row r="938">
      <c r="A938" s="1"/>
      <c r="B938" s="1"/>
      <c r="C938" s="48"/>
      <c r="D938" s="49"/>
      <c r="E938" s="70"/>
      <c r="F938" s="52"/>
      <c r="G938" s="52" t="str">
        <f t="shared" si="19"/>
        <v/>
      </c>
      <c r="H938" s="52"/>
      <c r="I938" s="53" t="str">
        <f t="shared" si="20"/>
        <v/>
      </c>
      <c r="J938" s="12"/>
      <c r="K938" s="1"/>
      <c r="L938" s="1"/>
      <c r="M938" s="1"/>
      <c r="N938" s="1"/>
      <c r="O938" s="1"/>
      <c r="P938" s="1"/>
      <c r="Q938" s="1"/>
      <c r="R938" s="1"/>
      <c r="S938" s="1"/>
      <c r="T938" s="1"/>
      <c r="U938" s="1"/>
      <c r="V938" s="1"/>
      <c r="W938" s="1"/>
      <c r="X938" s="1"/>
      <c r="Y938" s="1"/>
      <c r="Z938" s="1"/>
    </row>
    <row r="939">
      <c r="A939" s="1"/>
      <c r="B939" s="1"/>
      <c r="C939" s="54"/>
      <c r="D939" s="55"/>
      <c r="E939" s="69"/>
      <c r="F939" s="58"/>
      <c r="G939" s="58" t="str">
        <f t="shared" si="19"/>
        <v/>
      </c>
      <c r="H939" s="58"/>
      <c r="I939" s="59" t="str">
        <f t="shared" si="20"/>
        <v/>
      </c>
      <c r="J939" s="12"/>
      <c r="K939" s="1"/>
      <c r="L939" s="1"/>
      <c r="M939" s="1"/>
      <c r="N939" s="1"/>
      <c r="O939" s="1"/>
      <c r="P939" s="1"/>
      <c r="Q939" s="1"/>
      <c r="R939" s="1"/>
      <c r="S939" s="1"/>
      <c r="T939" s="1"/>
      <c r="U939" s="1"/>
      <c r="V939" s="1"/>
      <c r="W939" s="1"/>
      <c r="X939" s="1"/>
      <c r="Y939" s="1"/>
      <c r="Z939" s="1"/>
    </row>
    <row r="940">
      <c r="A940" s="1"/>
      <c r="B940" s="1"/>
      <c r="C940" s="48"/>
      <c r="D940" s="49"/>
      <c r="E940" s="70"/>
      <c r="F940" s="52"/>
      <c r="G940" s="52" t="str">
        <f t="shared" si="19"/>
        <v/>
      </c>
      <c r="H940" s="52"/>
      <c r="I940" s="53" t="str">
        <f t="shared" si="20"/>
        <v/>
      </c>
      <c r="J940" s="12"/>
      <c r="K940" s="1"/>
      <c r="L940" s="1"/>
      <c r="M940" s="1"/>
      <c r="N940" s="1"/>
      <c r="O940" s="1"/>
      <c r="P940" s="1"/>
      <c r="Q940" s="1"/>
      <c r="R940" s="1"/>
      <c r="S940" s="1"/>
      <c r="T940" s="1"/>
      <c r="U940" s="1"/>
      <c r="V940" s="1"/>
      <c r="W940" s="1"/>
      <c r="X940" s="1"/>
      <c r="Y940" s="1"/>
      <c r="Z940" s="1"/>
    </row>
    <row r="941">
      <c r="A941" s="1"/>
      <c r="B941" s="1"/>
      <c r="C941" s="54"/>
      <c r="D941" s="55"/>
      <c r="E941" s="69"/>
      <c r="F941" s="58"/>
      <c r="G941" s="58" t="str">
        <f t="shared" si="19"/>
        <v/>
      </c>
      <c r="H941" s="58"/>
      <c r="I941" s="59" t="str">
        <f t="shared" si="20"/>
        <v/>
      </c>
      <c r="J941" s="12"/>
      <c r="K941" s="1"/>
      <c r="L941" s="1"/>
      <c r="M941" s="1"/>
      <c r="N941" s="1"/>
      <c r="O941" s="1"/>
      <c r="P941" s="1"/>
      <c r="Q941" s="1"/>
      <c r="R941" s="1"/>
      <c r="S941" s="1"/>
      <c r="T941" s="1"/>
      <c r="U941" s="1"/>
      <c r="V941" s="1"/>
      <c r="W941" s="1"/>
      <c r="X941" s="1"/>
      <c r="Y941" s="1"/>
      <c r="Z941" s="1"/>
    </row>
    <row r="942">
      <c r="A942" s="1"/>
      <c r="B942" s="1"/>
      <c r="C942" s="48"/>
      <c r="D942" s="49"/>
      <c r="E942" s="70"/>
      <c r="F942" s="52"/>
      <c r="G942" s="52" t="str">
        <f t="shared" si="19"/>
        <v/>
      </c>
      <c r="H942" s="52"/>
      <c r="I942" s="53" t="str">
        <f t="shared" si="20"/>
        <v/>
      </c>
      <c r="J942" s="12"/>
      <c r="K942" s="1"/>
      <c r="L942" s="1"/>
      <c r="M942" s="1"/>
      <c r="N942" s="1"/>
      <c r="O942" s="1"/>
      <c r="P942" s="1"/>
      <c r="Q942" s="1"/>
      <c r="R942" s="1"/>
      <c r="S942" s="1"/>
      <c r="T942" s="1"/>
      <c r="U942" s="1"/>
      <c r="V942" s="1"/>
      <c r="W942" s="1"/>
      <c r="X942" s="1"/>
      <c r="Y942" s="1"/>
      <c r="Z942" s="1"/>
    </row>
    <row r="943">
      <c r="A943" s="1"/>
      <c r="B943" s="1"/>
      <c r="C943" s="54"/>
      <c r="D943" s="55"/>
      <c r="E943" s="69"/>
      <c r="F943" s="58"/>
      <c r="G943" s="58" t="str">
        <f t="shared" si="19"/>
        <v/>
      </c>
      <c r="H943" s="58"/>
      <c r="I943" s="59" t="str">
        <f t="shared" si="20"/>
        <v/>
      </c>
      <c r="J943" s="12"/>
      <c r="K943" s="1"/>
      <c r="L943" s="1"/>
      <c r="M943" s="1"/>
      <c r="N943" s="1"/>
      <c r="O943" s="1"/>
      <c r="P943" s="1"/>
      <c r="Q943" s="1"/>
      <c r="R943" s="1"/>
      <c r="S943" s="1"/>
      <c r="T943" s="1"/>
      <c r="U943" s="1"/>
      <c r="V943" s="1"/>
      <c r="W943" s="1"/>
      <c r="X943" s="1"/>
      <c r="Y943" s="1"/>
      <c r="Z943" s="1"/>
    </row>
    <row r="944">
      <c r="A944" s="1"/>
      <c r="B944" s="1"/>
      <c r="C944" s="48"/>
      <c r="D944" s="49"/>
      <c r="E944" s="70"/>
      <c r="F944" s="52"/>
      <c r="G944" s="52" t="str">
        <f t="shared" si="19"/>
        <v/>
      </c>
      <c r="H944" s="52"/>
      <c r="I944" s="53" t="str">
        <f t="shared" si="20"/>
        <v/>
      </c>
      <c r="J944" s="12"/>
      <c r="K944" s="1"/>
      <c r="L944" s="1"/>
      <c r="M944" s="1"/>
      <c r="N944" s="1"/>
      <c r="O944" s="1"/>
      <c r="P944" s="1"/>
      <c r="Q944" s="1"/>
      <c r="R944" s="1"/>
      <c r="S944" s="1"/>
      <c r="T944" s="1"/>
      <c r="U944" s="1"/>
      <c r="V944" s="1"/>
      <c r="W944" s="1"/>
      <c r="X944" s="1"/>
      <c r="Y944" s="1"/>
      <c r="Z944" s="1"/>
    </row>
    <row r="945">
      <c r="A945" s="1"/>
      <c r="B945" s="1"/>
      <c r="C945" s="54"/>
      <c r="D945" s="55"/>
      <c r="E945" s="69"/>
      <c r="F945" s="58"/>
      <c r="G945" s="58" t="str">
        <f t="shared" si="19"/>
        <v/>
      </c>
      <c r="H945" s="58"/>
      <c r="I945" s="59" t="str">
        <f t="shared" si="20"/>
        <v/>
      </c>
      <c r="J945" s="12"/>
      <c r="K945" s="1"/>
      <c r="L945" s="1"/>
      <c r="M945" s="1"/>
      <c r="N945" s="1"/>
      <c r="O945" s="1"/>
      <c r="P945" s="1"/>
      <c r="Q945" s="1"/>
      <c r="R945" s="1"/>
      <c r="S945" s="1"/>
      <c r="T945" s="1"/>
      <c r="U945" s="1"/>
      <c r="V945" s="1"/>
      <c r="W945" s="1"/>
      <c r="X945" s="1"/>
      <c r="Y945" s="1"/>
      <c r="Z945" s="1"/>
    </row>
    <row r="946">
      <c r="A946" s="1"/>
      <c r="B946" s="1"/>
      <c r="C946" s="48"/>
      <c r="D946" s="49"/>
      <c r="E946" s="70"/>
      <c r="F946" s="52"/>
      <c r="G946" s="52" t="str">
        <f t="shared" si="19"/>
        <v/>
      </c>
      <c r="H946" s="52"/>
      <c r="I946" s="53" t="str">
        <f t="shared" si="20"/>
        <v/>
      </c>
      <c r="J946" s="12"/>
      <c r="K946" s="1"/>
      <c r="L946" s="1"/>
      <c r="M946" s="1"/>
      <c r="N946" s="1"/>
      <c r="O946" s="1"/>
      <c r="P946" s="1"/>
      <c r="Q946" s="1"/>
      <c r="R946" s="1"/>
      <c r="S946" s="1"/>
      <c r="T946" s="1"/>
      <c r="U946" s="1"/>
      <c r="V946" s="1"/>
      <c r="W946" s="1"/>
      <c r="X946" s="1"/>
      <c r="Y946" s="1"/>
      <c r="Z946" s="1"/>
    </row>
    <row r="947">
      <c r="A947" s="1"/>
      <c r="B947" s="1"/>
      <c r="C947" s="54"/>
      <c r="D947" s="55"/>
      <c r="E947" s="69"/>
      <c r="F947" s="58"/>
      <c r="G947" s="58" t="str">
        <f t="shared" si="19"/>
        <v/>
      </c>
      <c r="H947" s="58"/>
      <c r="I947" s="59" t="str">
        <f t="shared" si="20"/>
        <v/>
      </c>
      <c r="J947" s="12"/>
      <c r="K947" s="1"/>
      <c r="L947" s="1"/>
      <c r="M947" s="1"/>
      <c r="N947" s="1"/>
      <c r="O947" s="1"/>
      <c r="P947" s="1"/>
      <c r="Q947" s="1"/>
      <c r="R947" s="1"/>
      <c r="S947" s="1"/>
      <c r="T947" s="1"/>
      <c r="U947" s="1"/>
      <c r="V947" s="1"/>
      <c r="W947" s="1"/>
      <c r="X947" s="1"/>
      <c r="Y947" s="1"/>
      <c r="Z947" s="1"/>
    </row>
    <row r="948">
      <c r="A948" s="1"/>
      <c r="B948" s="1"/>
      <c r="C948" s="48"/>
      <c r="D948" s="49"/>
      <c r="E948" s="70"/>
      <c r="F948" s="52"/>
      <c r="G948" s="52" t="str">
        <f t="shared" si="19"/>
        <v/>
      </c>
      <c r="H948" s="52"/>
      <c r="I948" s="53" t="str">
        <f t="shared" si="20"/>
        <v/>
      </c>
      <c r="J948" s="12"/>
      <c r="K948" s="1"/>
      <c r="L948" s="1"/>
      <c r="M948" s="1"/>
      <c r="N948" s="1"/>
      <c r="O948" s="1"/>
      <c r="P948" s="1"/>
      <c r="Q948" s="1"/>
      <c r="R948" s="1"/>
      <c r="S948" s="1"/>
      <c r="T948" s="1"/>
      <c r="U948" s="1"/>
      <c r="V948" s="1"/>
      <c r="W948" s="1"/>
      <c r="X948" s="1"/>
      <c r="Y948" s="1"/>
      <c r="Z948" s="1"/>
    </row>
    <row r="949">
      <c r="A949" s="1"/>
      <c r="B949" s="1"/>
      <c r="C949" s="54"/>
      <c r="D949" s="55"/>
      <c r="E949" s="69"/>
      <c r="F949" s="58"/>
      <c r="G949" s="58" t="str">
        <f t="shared" si="19"/>
        <v/>
      </c>
      <c r="H949" s="58"/>
      <c r="I949" s="59" t="str">
        <f t="shared" si="20"/>
        <v/>
      </c>
      <c r="J949" s="12"/>
      <c r="K949" s="1"/>
      <c r="L949" s="1"/>
      <c r="M949" s="1"/>
      <c r="N949" s="1"/>
      <c r="O949" s="1"/>
      <c r="P949" s="1"/>
      <c r="Q949" s="1"/>
      <c r="R949" s="1"/>
      <c r="S949" s="1"/>
      <c r="T949" s="1"/>
      <c r="U949" s="1"/>
      <c r="V949" s="1"/>
      <c r="W949" s="1"/>
      <c r="X949" s="1"/>
      <c r="Y949" s="1"/>
      <c r="Z949" s="1"/>
    </row>
    <row r="950">
      <c r="A950" s="1"/>
      <c r="B950" s="1"/>
      <c r="C950" s="48"/>
      <c r="D950" s="49"/>
      <c r="E950" s="70"/>
      <c r="F950" s="52"/>
      <c r="G950" s="52" t="str">
        <f t="shared" si="19"/>
        <v/>
      </c>
      <c r="H950" s="52"/>
      <c r="I950" s="53" t="str">
        <f t="shared" si="20"/>
        <v/>
      </c>
      <c r="J950" s="12"/>
      <c r="K950" s="1"/>
      <c r="L950" s="1"/>
      <c r="M950" s="1"/>
      <c r="N950" s="1"/>
      <c r="O950" s="1"/>
      <c r="P950" s="1"/>
      <c r="Q950" s="1"/>
      <c r="R950" s="1"/>
      <c r="S950" s="1"/>
      <c r="T950" s="1"/>
      <c r="U950" s="1"/>
      <c r="V950" s="1"/>
      <c r="W950" s="1"/>
      <c r="X950" s="1"/>
      <c r="Y950" s="1"/>
      <c r="Z950" s="1"/>
    </row>
    <row r="951">
      <c r="A951" s="1"/>
      <c r="B951" s="1"/>
      <c r="C951" s="54"/>
      <c r="D951" s="55"/>
      <c r="E951" s="69"/>
      <c r="F951" s="58"/>
      <c r="G951" s="58" t="str">
        <f t="shared" si="19"/>
        <v/>
      </c>
      <c r="H951" s="58"/>
      <c r="I951" s="59" t="str">
        <f t="shared" si="20"/>
        <v/>
      </c>
      <c r="J951" s="12"/>
      <c r="K951" s="1"/>
      <c r="L951" s="1"/>
      <c r="M951" s="1"/>
      <c r="N951" s="1"/>
      <c r="O951" s="1"/>
      <c r="P951" s="1"/>
      <c r="Q951" s="1"/>
      <c r="R951" s="1"/>
      <c r="S951" s="1"/>
      <c r="T951" s="1"/>
      <c r="U951" s="1"/>
      <c r="V951" s="1"/>
      <c r="W951" s="1"/>
      <c r="X951" s="1"/>
      <c r="Y951" s="1"/>
      <c r="Z951" s="1"/>
    </row>
    <row r="952">
      <c r="A952" s="1"/>
      <c r="B952" s="1"/>
      <c r="C952" s="48"/>
      <c r="D952" s="49"/>
      <c r="E952" s="70"/>
      <c r="F952" s="52"/>
      <c r="G952" s="52" t="str">
        <f t="shared" si="19"/>
        <v/>
      </c>
      <c r="H952" s="52"/>
      <c r="I952" s="53" t="str">
        <f t="shared" si="20"/>
        <v/>
      </c>
      <c r="J952" s="12"/>
      <c r="K952" s="1"/>
      <c r="L952" s="1"/>
      <c r="M952" s="1"/>
      <c r="N952" s="1"/>
      <c r="O952" s="1"/>
      <c r="P952" s="1"/>
      <c r="Q952" s="1"/>
      <c r="R952" s="1"/>
      <c r="S952" s="1"/>
      <c r="T952" s="1"/>
      <c r="U952" s="1"/>
      <c r="V952" s="1"/>
      <c r="W952" s="1"/>
      <c r="X952" s="1"/>
      <c r="Y952" s="1"/>
      <c r="Z952" s="1"/>
    </row>
    <row r="953">
      <c r="A953" s="1"/>
      <c r="B953" s="1"/>
      <c r="C953" s="54"/>
      <c r="D953" s="55"/>
      <c r="E953" s="69"/>
      <c r="F953" s="58"/>
      <c r="G953" s="58" t="str">
        <f t="shared" si="19"/>
        <v/>
      </c>
      <c r="H953" s="58"/>
      <c r="I953" s="59" t="str">
        <f t="shared" si="20"/>
        <v/>
      </c>
      <c r="J953" s="12"/>
      <c r="K953" s="1"/>
      <c r="L953" s="1"/>
      <c r="M953" s="1"/>
      <c r="N953" s="1"/>
      <c r="O953" s="1"/>
      <c r="P953" s="1"/>
      <c r="Q953" s="1"/>
      <c r="R953" s="1"/>
      <c r="S953" s="1"/>
      <c r="T953" s="1"/>
      <c r="U953" s="1"/>
      <c r="V953" s="1"/>
      <c r="W953" s="1"/>
      <c r="X953" s="1"/>
      <c r="Y953" s="1"/>
      <c r="Z953" s="1"/>
    </row>
    <row r="954">
      <c r="A954" s="1"/>
      <c r="B954" s="1"/>
      <c r="C954" s="48"/>
      <c r="D954" s="49"/>
      <c r="E954" s="70"/>
      <c r="F954" s="52"/>
      <c r="G954" s="52" t="str">
        <f t="shared" si="19"/>
        <v/>
      </c>
      <c r="H954" s="52"/>
      <c r="I954" s="53" t="str">
        <f t="shared" si="20"/>
        <v/>
      </c>
      <c r="J954" s="12"/>
      <c r="K954" s="1"/>
      <c r="L954" s="1"/>
      <c r="M954" s="1"/>
      <c r="N954" s="1"/>
      <c r="O954" s="1"/>
      <c r="P954" s="1"/>
      <c r="Q954" s="1"/>
      <c r="R954" s="1"/>
      <c r="S954" s="1"/>
      <c r="T954" s="1"/>
      <c r="U954" s="1"/>
      <c r="V954" s="1"/>
      <c r="W954" s="1"/>
      <c r="X954" s="1"/>
      <c r="Y954" s="1"/>
      <c r="Z954" s="1"/>
    </row>
    <row r="955">
      <c r="A955" s="1"/>
      <c r="B955" s="1"/>
      <c r="C955" s="54"/>
      <c r="D955" s="55"/>
      <c r="E955" s="69"/>
      <c r="F955" s="58"/>
      <c r="G955" s="58" t="str">
        <f t="shared" si="19"/>
        <v/>
      </c>
      <c r="H955" s="58"/>
      <c r="I955" s="59" t="str">
        <f t="shared" si="20"/>
        <v/>
      </c>
      <c r="J955" s="12"/>
      <c r="K955" s="1"/>
      <c r="L955" s="1"/>
      <c r="M955" s="1"/>
      <c r="N955" s="1"/>
      <c r="O955" s="1"/>
      <c r="P955" s="1"/>
      <c r="Q955" s="1"/>
      <c r="R955" s="1"/>
      <c r="S955" s="1"/>
      <c r="T955" s="1"/>
      <c r="U955" s="1"/>
      <c r="V955" s="1"/>
      <c r="W955" s="1"/>
      <c r="X955" s="1"/>
      <c r="Y955" s="1"/>
      <c r="Z955" s="1"/>
    </row>
    <row r="956">
      <c r="A956" s="1"/>
      <c r="B956" s="1"/>
      <c r="C956" s="48"/>
      <c r="D956" s="49"/>
      <c r="E956" s="70"/>
      <c r="F956" s="52"/>
      <c r="G956" s="52" t="str">
        <f t="shared" si="19"/>
        <v/>
      </c>
      <c r="H956" s="52"/>
      <c r="I956" s="53" t="str">
        <f t="shared" si="20"/>
        <v/>
      </c>
      <c r="J956" s="12"/>
      <c r="K956" s="1"/>
      <c r="L956" s="1"/>
      <c r="M956" s="1"/>
      <c r="N956" s="1"/>
      <c r="O956" s="1"/>
      <c r="P956" s="1"/>
      <c r="Q956" s="1"/>
      <c r="R956" s="1"/>
      <c r="S956" s="1"/>
      <c r="T956" s="1"/>
      <c r="U956" s="1"/>
      <c r="V956" s="1"/>
      <c r="W956" s="1"/>
      <c r="X956" s="1"/>
      <c r="Y956" s="1"/>
      <c r="Z956" s="1"/>
    </row>
    <row r="957">
      <c r="A957" s="1"/>
      <c r="B957" s="1"/>
      <c r="C957" s="54"/>
      <c r="D957" s="55"/>
      <c r="E957" s="69"/>
      <c r="F957" s="58"/>
      <c r="G957" s="58" t="str">
        <f t="shared" si="19"/>
        <v/>
      </c>
      <c r="H957" s="58"/>
      <c r="I957" s="59" t="str">
        <f t="shared" si="20"/>
        <v/>
      </c>
      <c r="J957" s="12"/>
      <c r="K957" s="1"/>
      <c r="L957" s="1"/>
      <c r="M957" s="1"/>
      <c r="N957" s="1"/>
      <c r="O957" s="1"/>
      <c r="P957" s="1"/>
      <c r="Q957" s="1"/>
      <c r="R957" s="1"/>
      <c r="S957" s="1"/>
      <c r="T957" s="1"/>
      <c r="U957" s="1"/>
      <c r="V957" s="1"/>
      <c r="W957" s="1"/>
      <c r="X957" s="1"/>
      <c r="Y957" s="1"/>
      <c r="Z957" s="1"/>
    </row>
    <row r="958">
      <c r="A958" s="1"/>
      <c r="B958" s="1"/>
      <c r="C958" s="48"/>
      <c r="D958" s="49"/>
      <c r="E958" s="70"/>
      <c r="F958" s="52"/>
      <c r="G958" s="52" t="str">
        <f t="shared" si="19"/>
        <v/>
      </c>
      <c r="H958" s="52"/>
      <c r="I958" s="53" t="str">
        <f t="shared" si="20"/>
        <v/>
      </c>
      <c r="J958" s="12"/>
      <c r="K958" s="1"/>
      <c r="L958" s="1"/>
      <c r="M958" s="1"/>
      <c r="N958" s="1"/>
      <c r="O958" s="1"/>
      <c r="P958" s="1"/>
      <c r="Q958" s="1"/>
      <c r="R958" s="1"/>
      <c r="S958" s="1"/>
      <c r="T958" s="1"/>
      <c r="U958" s="1"/>
      <c r="V958" s="1"/>
      <c r="W958" s="1"/>
      <c r="X958" s="1"/>
      <c r="Y958" s="1"/>
      <c r="Z958" s="1"/>
    </row>
    <row r="959">
      <c r="A959" s="1"/>
      <c r="B959" s="1"/>
      <c r="C959" s="54"/>
      <c r="D959" s="55"/>
      <c r="E959" s="69"/>
      <c r="F959" s="58"/>
      <c r="G959" s="58" t="str">
        <f t="shared" si="19"/>
        <v/>
      </c>
      <c r="H959" s="58"/>
      <c r="I959" s="59" t="str">
        <f t="shared" si="20"/>
        <v/>
      </c>
      <c r="J959" s="12"/>
      <c r="K959" s="1"/>
      <c r="L959" s="1"/>
      <c r="M959" s="1"/>
      <c r="N959" s="1"/>
      <c r="O959" s="1"/>
      <c r="P959" s="1"/>
      <c r="Q959" s="1"/>
      <c r="R959" s="1"/>
      <c r="S959" s="1"/>
      <c r="T959" s="1"/>
      <c r="U959" s="1"/>
      <c r="V959" s="1"/>
      <c r="W959" s="1"/>
      <c r="X959" s="1"/>
      <c r="Y959" s="1"/>
      <c r="Z959" s="1"/>
    </row>
    <row r="960">
      <c r="A960" s="1"/>
      <c r="B960" s="1"/>
      <c r="C960" s="48"/>
      <c r="D960" s="49"/>
      <c r="E960" s="70"/>
      <c r="F960" s="52"/>
      <c r="G960" s="52" t="str">
        <f t="shared" si="19"/>
        <v/>
      </c>
      <c r="H960" s="52"/>
      <c r="I960" s="53" t="str">
        <f t="shared" si="20"/>
        <v/>
      </c>
      <c r="J960" s="12"/>
      <c r="K960" s="1"/>
      <c r="L960" s="1"/>
      <c r="M960" s="1"/>
      <c r="N960" s="1"/>
      <c r="O960" s="1"/>
      <c r="P960" s="1"/>
      <c r="Q960" s="1"/>
      <c r="R960" s="1"/>
      <c r="S960" s="1"/>
      <c r="T960" s="1"/>
      <c r="U960" s="1"/>
      <c r="V960" s="1"/>
      <c r="W960" s="1"/>
      <c r="X960" s="1"/>
      <c r="Y960" s="1"/>
      <c r="Z960" s="1"/>
    </row>
    <row r="961">
      <c r="A961" s="1"/>
      <c r="B961" s="1"/>
      <c r="C961" s="54"/>
      <c r="D961" s="55"/>
      <c r="E961" s="69"/>
      <c r="F961" s="58"/>
      <c r="G961" s="58" t="str">
        <f t="shared" si="19"/>
        <v/>
      </c>
      <c r="H961" s="58"/>
      <c r="I961" s="59" t="str">
        <f t="shared" si="20"/>
        <v/>
      </c>
      <c r="J961" s="12"/>
      <c r="K961" s="1"/>
      <c r="L961" s="1"/>
      <c r="M961" s="1"/>
      <c r="N961" s="1"/>
      <c r="O961" s="1"/>
      <c r="P961" s="1"/>
      <c r="Q961" s="1"/>
      <c r="R961" s="1"/>
      <c r="S961" s="1"/>
      <c r="T961" s="1"/>
      <c r="U961" s="1"/>
      <c r="V961" s="1"/>
      <c r="W961" s="1"/>
      <c r="X961" s="1"/>
      <c r="Y961" s="1"/>
      <c r="Z961" s="1"/>
    </row>
    <row r="962">
      <c r="A962" s="1"/>
      <c r="B962" s="1"/>
      <c r="C962" s="48"/>
      <c r="D962" s="49"/>
      <c r="E962" s="70"/>
      <c r="F962" s="52"/>
      <c r="G962" s="52" t="str">
        <f t="shared" si="19"/>
        <v/>
      </c>
      <c r="H962" s="52"/>
      <c r="I962" s="53" t="str">
        <f t="shared" si="20"/>
        <v/>
      </c>
      <c r="J962" s="12"/>
      <c r="K962" s="1"/>
      <c r="L962" s="1"/>
      <c r="M962" s="1"/>
      <c r="N962" s="1"/>
      <c r="O962" s="1"/>
      <c r="P962" s="1"/>
      <c r="Q962" s="1"/>
      <c r="R962" s="1"/>
      <c r="S962" s="1"/>
      <c r="T962" s="1"/>
      <c r="U962" s="1"/>
      <c r="V962" s="1"/>
      <c r="W962" s="1"/>
      <c r="X962" s="1"/>
      <c r="Y962" s="1"/>
      <c r="Z962" s="1"/>
    </row>
    <row r="963">
      <c r="A963" s="1"/>
      <c r="B963" s="1"/>
      <c r="C963" s="54"/>
      <c r="D963" s="55"/>
      <c r="E963" s="69"/>
      <c r="F963" s="58"/>
      <c r="G963" s="58" t="str">
        <f t="shared" si="19"/>
        <v/>
      </c>
      <c r="H963" s="58"/>
      <c r="I963" s="59" t="str">
        <f t="shared" si="20"/>
        <v/>
      </c>
      <c r="J963" s="12"/>
      <c r="K963" s="1"/>
      <c r="L963" s="1"/>
      <c r="M963" s="1"/>
      <c r="N963" s="1"/>
      <c r="O963" s="1"/>
      <c r="P963" s="1"/>
      <c r="Q963" s="1"/>
      <c r="R963" s="1"/>
      <c r="S963" s="1"/>
      <c r="T963" s="1"/>
      <c r="U963" s="1"/>
      <c r="V963" s="1"/>
      <c r="W963" s="1"/>
      <c r="X963" s="1"/>
      <c r="Y963" s="1"/>
      <c r="Z963" s="1"/>
    </row>
    <row r="964">
      <c r="A964" s="1"/>
      <c r="B964" s="1"/>
      <c r="C964" s="48"/>
      <c r="D964" s="49"/>
      <c r="E964" s="70"/>
      <c r="F964" s="52"/>
      <c r="G964" s="52" t="str">
        <f t="shared" si="19"/>
        <v/>
      </c>
      <c r="H964" s="52"/>
      <c r="I964" s="53" t="str">
        <f t="shared" si="20"/>
        <v/>
      </c>
      <c r="J964" s="12"/>
      <c r="K964" s="1"/>
      <c r="L964" s="1"/>
      <c r="M964" s="1"/>
      <c r="N964" s="1"/>
      <c r="O964" s="1"/>
      <c r="P964" s="1"/>
      <c r="Q964" s="1"/>
      <c r="R964" s="1"/>
      <c r="S964" s="1"/>
      <c r="T964" s="1"/>
      <c r="U964" s="1"/>
      <c r="V964" s="1"/>
      <c r="W964" s="1"/>
      <c r="X964" s="1"/>
      <c r="Y964" s="1"/>
      <c r="Z964" s="1"/>
    </row>
    <row r="965">
      <c r="A965" s="1"/>
      <c r="B965" s="1"/>
      <c r="C965" s="54"/>
      <c r="D965" s="55"/>
      <c r="E965" s="69"/>
      <c r="F965" s="58"/>
      <c r="G965" s="58" t="str">
        <f t="shared" si="19"/>
        <v/>
      </c>
      <c r="H965" s="58"/>
      <c r="I965" s="59" t="str">
        <f t="shared" si="20"/>
        <v/>
      </c>
      <c r="J965" s="12"/>
      <c r="K965" s="1"/>
      <c r="L965" s="1"/>
      <c r="M965" s="1"/>
      <c r="N965" s="1"/>
      <c r="O965" s="1"/>
      <c r="P965" s="1"/>
      <c r="Q965" s="1"/>
      <c r="R965" s="1"/>
      <c r="S965" s="1"/>
      <c r="T965" s="1"/>
      <c r="U965" s="1"/>
      <c r="V965" s="1"/>
      <c r="W965" s="1"/>
      <c r="X965" s="1"/>
      <c r="Y965" s="1"/>
      <c r="Z965" s="1"/>
    </row>
    <row r="966">
      <c r="A966" s="1"/>
      <c r="B966" s="1"/>
      <c r="C966" s="48"/>
      <c r="D966" s="49"/>
      <c r="E966" s="70"/>
      <c r="F966" s="52"/>
      <c r="G966" s="52" t="str">
        <f t="shared" si="19"/>
        <v/>
      </c>
      <c r="H966" s="52"/>
      <c r="I966" s="53" t="str">
        <f t="shared" si="20"/>
        <v/>
      </c>
      <c r="J966" s="12"/>
      <c r="K966" s="1"/>
      <c r="L966" s="1"/>
      <c r="M966" s="1"/>
      <c r="N966" s="1"/>
      <c r="O966" s="1"/>
      <c r="P966" s="1"/>
      <c r="Q966" s="1"/>
      <c r="R966" s="1"/>
      <c r="S966" s="1"/>
      <c r="T966" s="1"/>
      <c r="U966" s="1"/>
      <c r="V966" s="1"/>
      <c r="W966" s="1"/>
      <c r="X966" s="1"/>
      <c r="Y966" s="1"/>
      <c r="Z966" s="1"/>
    </row>
    <row r="967">
      <c r="A967" s="1"/>
      <c r="B967" s="1"/>
      <c r="C967" s="54"/>
      <c r="D967" s="55"/>
      <c r="E967" s="69"/>
      <c r="F967" s="58"/>
      <c r="G967" s="58" t="str">
        <f t="shared" si="19"/>
        <v/>
      </c>
      <c r="H967" s="58"/>
      <c r="I967" s="59" t="str">
        <f t="shared" si="20"/>
        <v/>
      </c>
      <c r="J967" s="12"/>
      <c r="K967" s="1"/>
      <c r="L967" s="1"/>
      <c r="M967" s="1"/>
      <c r="N967" s="1"/>
      <c r="O967" s="1"/>
      <c r="P967" s="1"/>
      <c r="Q967" s="1"/>
      <c r="R967" s="1"/>
      <c r="S967" s="1"/>
      <c r="T967" s="1"/>
      <c r="U967" s="1"/>
      <c r="V967" s="1"/>
      <c r="W967" s="1"/>
      <c r="X967" s="1"/>
      <c r="Y967" s="1"/>
      <c r="Z967" s="1"/>
    </row>
    <row r="968">
      <c r="A968" s="1"/>
      <c r="B968" s="1"/>
      <c r="C968" s="48"/>
      <c r="D968" s="49"/>
      <c r="E968" s="70"/>
      <c r="F968" s="52"/>
      <c r="G968" s="52" t="str">
        <f t="shared" si="19"/>
        <v/>
      </c>
      <c r="H968" s="52"/>
      <c r="I968" s="53" t="str">
        <f t="shared" si="20"/>
        <v/>
      </c>
      <c r="J968" s="12"/>
      <c r="K968" s="1"/>
      <c r="L968" s="1"/>
      <c r="M968" s="1"/>
      <c r="N968" s="1"/>
      <c r="O968" s="1"/>
      <c r="P968" s="1"/>
      <c r="Q968" s="1"/>
      <c r="R968" s="1"/>
      <c r="S968" s="1"/>
      <c r="T968" s="1"/>
      <c r="U968" s="1"/>
      <c r="V968" s="1"/>
      <c r="W968" s="1"/>
      <c r="X968" s="1"/>
      <c r="Y968" s="1"/>
      <c r="Z968" s="1"/>
    </row>
    <row r="969">
      <c r="A969" s="1"/>
      <c r="B969" s="1"/>
      <c r="C969" s="54"/>
      <c r="D969" s="55"/>
      <c r="E969" s="69"/>
      <c r="F969" s="58"/>
      <c r="G969" s="58" t="str">
        <f t="shared" si="19"/>
        <v/>
      </c>
      <c r="H969" s="58"/>
      <c r="I969" s="59" t="str">
        <f t="shared" si="20"/>
        <v/>
      </c>
      <c r="J969" s="12"/>
      <c r="K969" s="1"/>
      <c r="L969" s="1"/>
      <c r="M969" s="1"/>
      <c r="N969" s="1"/>
      <c r="O969" s="1"/>
      <c r="P969" s="1"/>
      <c r="Q969" s="1"/>
      <c r="R969" s="1"/>
      <c r="S969" s="1"/>
      <c r="T969" s="1"/>
      <c r="U969" s="1"/>
      <c r="V969" s="1"/>
      <c r="W969" s="1"/>
      <c r="X969" s="1"/>
      <c r="Y969" s="1"/>
      <c r="Z969" s="1"/>
    </row>
    <row r="970">
      <c r="A970" s="1"/>
      <c r="B970" s="1"/>
      <c r="C970" s="48"/>
      <c r="D970" s="49"/>
      <c r="E970" s="70"/>
      <c r="F970" s="52"/>
      <c r="G970" s="52" t="str">
        <f t="shared" si="19"/>
        <v/>
      </c>
      <c r="H970" s="52"/>
      <c r="I970" s="53" t="str">
        <f t="shared" si="20"/>
        <v/>
      </c>
      <c r="J970" s="12"/>
      <c r="K970" s="1"/>
      <c r="L970" s="1"/>
      <c r="M970" s="1"/>
      <c r="N970" s="1"/>
      <c r="O970" s="1"/>
      <c r="P970" s="1"/>
      <c r="Q970" s="1"/>
      <c r="R970" s="1"/>
      <c r="S970" s="1"/>
      <c r="T970" s="1"/>
      <c r="U970" s="1"/>
      <c r="V970" s="1"/>
      <c r="W970" s="1"/>
      <c r="X970" s="1"/>
      <c r="Y970" s="1"/>
      <c r="Z970" s="1"/>
    </row>
    <row r="971">
      <c r="A971" s="1"/>
      <c r="B971" s="1"/>
      <c r="C971" s="54"/>
      <c r="D971" s="55"/>
      <c r="E971" s="69"/>
      <c r="F971" s="58"/>
      <c r="G971" s="58" t="str">
        <f t="shared" si="19"/>
        <v/>
      </c>
      <c r="H971" s="58"/>
      <c r="I971" s="59" t="str">
        <f t="shared" si="20"/>
        <v/>
      </c>
      <c r="J971" s="12"/>
      <c r="K971" s="1"/>
      <c r="L971" s="1"/>
      <c r="M971" s="1"/>
      <c r="N971" s="1"/>
      <c r="O971" s="1"/>
      <c r="P971" s="1"/>
      <c r="Q971" s="1"/>
      <c r="R971" s="1"/>
      <c r="S971" s="1"/>
      <c r="T971" s="1"/>
      <c r="U971" s="1"/>
      <c r="V971" s="1"/>
      <c r="W971" s="1"/>
      <c r="X971" s="1"/>
      <c r="Y971" s="1"/>
      <c r="Z971" s="1"/>
    </row>
    <row r="972">
      <c r="A972" s="1"/>
      <c r="B972" s="1"/>
      <c r="C972" s="48"/>
      <c r="D972" s="49"/>
      <c r="E972" s="70"/>
      <c r="F972" s="52"/>
      <c r="G972" s="52" t="str">
        <f t="shared" si="19"/>
        <v/>
      </c>
      <c r="H972" s="52"/>
      <c r="I972" s="53" t="str">
        <f t="shared" si="20"/>
        <v/>
      </c>
      <c r="J972" s="12"/>
      <c r="K972" s="1"/>
      <c r="L972" s="1"/>
      <c r="M972" s="1"/>
      <c r="N972" s="1"/>
      <c r="O972" s="1"/>
      <c r="P972" s="1"/>
      <c r="Q972" s="1"/>
      <c r="R972" s="1"/>
      <c r="S972" s="1"/>
      <c r="T972" s="1"/>
      <c r="U972" s="1"/>
      <c r="V972" s="1"/>
      <c r="W972" s="1"/>
      <c r="X972" s="1"/>
      <c r="Y972" s="1"/>
      <c r="Z972" s="1"/>
    </row>
    <row r="973">
      <c r="A973" s="1"/>
      <c r="B973" s="1"/>
      <c r="C973" s="54"/>
      <c r="D973" s="55"/>
      <c r="E973" s="69"/>
      <c r="F973" s="58"/>
      <c r="G973" s="58" t="str">
        <f t="shared" si="19"/>
        <v/>
      </c>
      <c r="H973" s="58"/>
      <c r="I973" s="59" t="str">
        <f t="shared" si="20"/>
        <v/>
      </c>
      <c r="J973" s="12"/>
      <c r="K973" s="1"/>
      <c r="L973" s="1"/>
      <c r="M973" s="1"/>
      <c r="N973" s="1"/>
      <c r="O973" s="1"/>
      <c r="P973" s="1"/>
      <c r="Q973" s="1"/>
      <c r="R973" s="1"/>
      <c r="S973" s="1"/>
      <c r="T973" s="1"/>
      <c r="U973" s="1"/>
      <c r="V973" s="1"/>
      <c r="W973" s="1"/>
      <c r="X973" s="1"/>
      <c r="Y973" s="1"/>
      <c r="Z973" s="1"/>
    </row>
    <row r="974">
      <c r="A974" s="1"/>
      <c r="B974" s="1"/>
      <c r="C974" s="48"/>
      <c r="D974" s="49"/>
      <c r="E974" s="70"/>
      <c r="F974" s="52"/>
      <c r="G974" s="52" t="str">
        <f t="shared" si="19"/>
        <v/>
      </c>
      <c r="H974" s="52"/>
      <c r="I974" s="53" t="str">
        <f t="shared" si="20"/>
        <v/>
      </c>
      <c r="J974" s="12"/>
      <c r="K974" s="1"/>
      <c r="L974" s="1"/>
      <c r="M974" s="1"/>
      <c r="N974" s="1"/>
      <c r="O974" s="1"/>
      <c r="P974" s="1"/>
      <c r="Q974" s="1"/>
      <c r="R974" s="1"/>
      <c r="S974" s="1"/>
      <c r="T974" s="1"/>
      <c r="U974" s="1"/>
      <c r="V974" s="1"/>
      <c r="W974" s="1"/>
      <c r="X974" s="1"/>
      <c r="Y974" s="1"/>
      <c r="Z974" s="1"/>
    </row>
    <row r="975">
      <c r="A975" s="1"/>
      <c r="B975" s="1"/>
      <c r="C975" s="54"/>
      <c r="D975" s="55"/>
      <c r="E975" s="69"/>
      <c r="F975" s="58"/>
      <c r="G975" s="58" t="str">
        <f t="shared" si="19"/>
        <v/>
      </c>
      <c r="H975" s="58"/>
      <c r="I975" s="59" t="str">
        <f t="shared" si="20"/>
        <v/>
      </c>
      <c r="J975" s="12"/>
      <c r="K975" s="1"/>
      <c r="L975" s="1"/>
      <c r="M975" s="1"/>
      <c r="N975" s="1"/>
      <c r="O975" s="1"/>
      <c r="P975" s="1"/>
      <c r="Q975" s="1"/>
      <c r="R975" s="1"/>
      <c r="S975" s="1"/>
      <c r="T975" s="1"/>
      <c r="U975" s="1"/>
      <c r="V975" s="1"/>
      <c r="W975" s="1"/>
      <c r="X975" s="1"/>
      <c r="Y975" s="1"/>
      <c r="Z975" s="1"/>
    </row>
    <row r="976">
      <c r="A976" s="1"/>
      <c r="B976" s="1"/>
      <c r="C976" s="48"/>
      <c r="D976" s="49"/>
      <c r="E976" s="70"/>
      <c r="F976" s="52"/>
      <c r="G976" s="52" t="str">
        <f t="shared" si="19"/>
        <v/>
      </c>
      <c r="H976" s="52"/>
      <c r="I976" s="53" t="str">
        <f t="shared" si="20"/>
        <v/>
      </c>
      <c r="J976" s="12"/>
      <c r="K976" s="1"/>
      <c r="L976" s="1"/>
      <c r="M976" s="1"/>
      <c r="N976" s="1"/>
      <c r="O976" s="1"/>
      <c r="P976" s="1"/>
      <c r="Q976" s="1"/>
      <c r="R976" s="1"/>
      <c r="S976" s="1"/>
      <c r="T976" s="1"/>
      <c r="U976" s="1"/>
      <c r="V976" s="1"/>
      <c r="W976" s="1"/>
      <c r="X976" s="1"/>
      <c r="Y976" s="1"/>
      <c r="Z976" s="1"/>
    </row>
    <row r="977">
      <c r="A977" s="1"/>
      <c r="B977" s="1"/>
      <c r="C977" s="54"/>
      <c r="D977" s="55"/>
      <c r="E977" s="69"/>
      <c r="F977" s="58"/>
      <c r="G977" s="58" t="str">
        <f t="shared" si="19"/>
        <v/>
      </c>
      <c r="H977" s="58"/>
      <c r="I977" s="59" t="str">
        <f t="shared" si="20"/>
        <v/>
      </c>
      <c r="J977" s="12"/>
      <c r="K977" s="1"/>
      <c r="L977" s="1"/>
      <c r="M977" s="1"/>
      <c r="N977" s="1"/>
      <c r="O977" s="1"/>
      <c r="P977" s="1"/>
      <c r="Q977" s="1"/>
      <c r="R977" s="1"/>
      <c r="S977" s="1"/>
      <c r="T977" s="1"/>
      <c r="U977" s="1"/>
      <c r="V977" s="1"/>
      <c r="W977" s="1"/>
      <c r="X977" s="1"/>
      <c r="Y977" s="1"/>
      <c r="Z977" s="1"/>
    </row>
    <row r="978">
      <c r="A978" s="1"/>
      <c r="B978" s="1"/>
      <c r="C978" s="48"/>
      <c r="D978" s="49"/>
      <c r="E978" s="70"/>
      <c r="F978" s="52"/>
      <c r="G978" s="52" t="str">
        <f t="shared" si="19"/>
        <v/>
      </c>
      <c r="H978" s="52"/>
      <c r="I978" s="53" t="str">
        <f t="shared" si="20"/>
        <v/>
      </c>
      <c r="J978" s="12"/>
      <c r="K978" s="1"/>
      <c r="L978" s="1"/>
      <c r="M978" s="1"/>
      <c r="N978" s="1"/>
      <c r="O978" s="1"/>
      <c r="P978" s="1"/>
      <c r="Q978" s="1"/>
      <c r="R978" s="1"/>
      <c r="S978" s="1"/>
      <c r="T978" s="1"/>
      <c r="U978" s="1"/>
      <c r="V978" s="1"/>
      <c r="W978" s="1"/>
      <c r="X978" s="1"/>
      <c r="Y978" s="1"/>
      <c r="Z978" s="1"/>
    </row>
    <row r="979">
      <c r="A979" s="1"/>
      <c r="B979" s="1"/>
      <c r="C979" s="54"/>
      <c r="D979" s="55"/>
      <c r="E979" s="69"/>
      <c r="F979" s="58"/>
      <c r="G979" s="58" t="str">
        <f t="shared" si="19"/>
        <v/>
      </c>
      <c r="H979" s="58"/>
      <c r="I979" s="59" t="str">
        <f t="shared" si="20"/>
        <v/>
      </c>
      <c r="J979" s="12"/>
      <c r="K979" s="1"/>
      <c r="L979" s="1"/>
      <c r="M979" s="1"/>
      <c r="N979" s="1"/>
      <c r="O979" s="1"/>
      <c r="P979" s="1"/>
      <c r="Q979" s="1"/>
      <c r="R979" s="1"/>
      <c r="S979" s="1"/>
      <c r="T979" s="1"/>
      <c r="U979" s="1"/>
      <c r="V979" s="1"/>
      <c r="W979" s="1"/>
      <c r="X979" s="1"/>
      <c r="Y979" s="1"/>
      <c r="Z979" s="1"/>
    </row>
    <row r="980">
      <c r="A980" s="1"/>
      <c r="B980" s="1"/>
      <c r="C980" s="48"/>
      <c r="D980" s="49"/>
      <c r="E980" s="70"/>
      <c r="F980" s="52"/>
      <c r="G980" s="52" t="str">
        <f t="shared" si="19"/>
        <v/>
      </c>
      <c r="H980" s="52"/>
      <c r="I980" s="53" t="str">
        <f t="shared" si="20"/>
        <v/>
      </c>
      <c r="J980" s="12"/>
      <c r="K980" s="1"/>
      <c r="L980" s="1"/>
      <c r="M980" s="1"/>
      <c r="N980" s="1"/>
      <c r="O980" s="1"/>
      <c r="P980" s="1"/>
      <c r="Q980" s="1"/>
      <c r="R980" s="1"/>
      <c r="S980" s="1"/>
      <c r="T980" s="1"/>
      <c r="U980" s="1"/>
      <c r="V980" s="1"/>
      <c r="W980" s="1"/>
      <c r="X980" s="1"/>
      <c r="Y980" s="1"/>
      <c r="Z980" s="1"/>
    </row>
    <row r="981">
      <c r="A981" s="1"/>
      <c r="B981" s="1"/>
      <c r="C981" s="54"/>
      <c r="D981" s="55"/>
      <c r="E981" s="69"/>
      <c r="F981" s="58"/>
      <c r="G981" s="58" t="str">
        <f t="shared" si="19"/>
        <v/>
      </c>
      <c r="H981" s="58"/>
      <c r="I981" s="59" t="str">
        <f t="shared" si="20"/>
        <v/>
      </c>
      <c r="J981" s="12"/>
      <c r="K981" s="1"/>
      <c r="L981" s="1"/>
      <c r="M981" s="1"/>
      <c r="N981" s="1"/>
      <c r="O981" s="1"/>
      <c r="P981" s="1"/>
      <c r="Q981" s="1"/>
      <c r="R981" s="1"/>
      <c r="S981" s="1"/>
      <c r="T981" s="1"/>
      <c r="U981" s="1"/>
      <c r="V981" s="1"/>
      <c r="W981" s="1"/>
      <c r="X981" s="1"/>
      <c r="Y981" s="1"/>
      <c r="Z981" s="1"/>
    </row>
    <row r="982">
      <c r="A982" s="1"/>
      <c r="B982" s="1"/>
      <c r="C982" s="48"/>
      <c r="D982" s="49"/>
      <c r="E982" s="70"/>
      <c r="F982" s="52"/>
      <c r="G982" s="52" t="str">
        <f t="shared" si="19"/>
        <v/>
      </c>
      <c r="H982" s="52"/>
      <c r="I982" s="53" t="str">
        <f t="shared" si="20"/>
        <v/>
      </c>
      <c r="J982" s="12"/>
      <c r="K982" s="1"/>
      <c r="L982" s="1"/>
      <c r="M982" s="1"/>
      <c r="N982" s="1"/>
      <c r="O982" s="1"/>
      <c r="P982" s="1"/>
      <c r="Q982" s="1"/>
      <c r="R982" s="1"/>
      <c r="S982" s="1"/>
      <c r="T982" s="1"/>
      <c r="U982" s="1"/>
      <c r="V982" s="1"/>
      <c r="W982" s="1"/>
      <c r="X982" s="1"/>
      <c r="Y982" s="1"/>
      <c r="Z982" s="1"/>
    </row>
    <row r="983">
      <c r="A983" s="1"/>
      <c r="B983" s="1"/>
      <c r="C983" s="54"/>
      <c r="D983" s="55"/>
      <c r="E983" s="69"/>
      <c r="F983" s="58"/>
      <c r="G983" s="58" t="str">
        <f t="shared" si="19"/>
        <v/>
      </c>
      <c r="H983" s="58"/>
      <c r="I983" s="59" t="str">
        <f t="shared" si="20"/>
        <v/>
      </c>
      <c r="J983" s="12"/>
      <c r="K983" s="1"/>
      <c r="L983" s="1"/>
      <c r="M983" s="1"/>
      <c r="N983" s="1"/>
      <c r="O983" s="1"/>
      <c r="P983" s="1"/>
      <c r="Q983" s="1"/>
      <c r="R983" s="1"/>
      <c r="S983" s="1"/>
      <c r="T983" s="1"/>
      <c r="U983" s="1"/>
      <c r="V983" s="1"/>
      <c r="W983" s="1"/>
      <c r="X983" s="1"/>
      <c r="Y983" s="1"/>
      <c r="Z983" s="1"/>
    </row>
    <row r="984">
      <c r="A984" s="1"/>
      <c r="B984" s="1"/>
      <c r="C984" s="48"/>
      <c r="D984" s="49"/>
      <c r="E984" s="70"/>
      <c r="F984" s="52"/>
      <c r="G984" s="52" t="str">
        <f t="shared" si="19"/>
        <v/>
      </c>
      <c r="H984" s="52"/>
      <c r="I984" s="53" t="str">
        <f t="shared" si="20"/>
        <v/>
      </c>
      <c r="J984" s="12"/>
      <c r="K984" s="1"/>
      <c r="L984" s="1"/>
      <c r="M984" s="1"/>
      <c r="N984" s="1"/>
      <c r="O984" s="1"/>
      <c r="P984" s="1"/>
      <c r="Q984" s="1"/>
      <c r="R984" s="1"/>
      <c r="S984" s="1"/>
      <c r="T984" s="1"/>
      <c r="U984" s="1"/>
      <c r="V984" s="1"/>
      <c r="W984" s="1"/>
      <c r="X984" s="1"/>
      <c r="Y984" s="1"/>
      <c r="Z984" s="1"/>
    </row>
    <row r="985">
      <c r="A985" s="1"/>
      <c r="B985" s="1"/>
      <c r="C985" s="54"/>
      <c r="D985" s="55"/>
      <c r="E985" s="69"/>
      <c r="F985" s="58"/>
      <c r="G985" s="58" t="str">
        <f t="shared" si="19"/>
        <v/>
      </c>
      <c r="H985" s="58"/>
      <c r="I985" s="59" t="str">
        <f t="shared" si="20"/>
        <v/>
      </c>
      <c r="J985" s="12"/>
      <c r="K985" s="1"/>
      <c r="L985" s="1"/>
      <c r="M985" s="1"/>
      <c r="N985" s="1"/>
      <c r="O985" s="1"/>
      <c r="P985" s="1"/>
      <c r="Q985" s="1"/>
      <c r="R985" s="1"/>
      <c r="S985" s="1"/>
      <c r="T985" s="1"/>
      <c r="U985" s="1"/>
      <c r="V985" s="1"/>
      <c r="W985" s="1"/>
      <c r="X985" s="1"/>
      <c r="Y985" s="1"/>
      <c r="Z985" s="1"/>
    </row>
    <row r="986">
      <c r="A986" s="1"/>
      <c r="B986" s="1"/>
      <c r="C986" s="48"/>
      <c r="D986" s="49"/>
      <c r="E986" s="70"/>
      <c r="F986" s="52"/>
      <c r="G986" s="52" t="str">
        <f t="shared" si="19"/>
        <v/>
      </c>
      <c r="H986" s="52"/>
      <c r="I986" s="53" t="str">
        <f t="shared" si="20"/>
        <v/>
      </c>
      <c r="J986" s="12"/>
      <c r="K986" s="1"/>
      <c r="L986" s="1"/>
      <c r="M986" s="1"/>
      <c r="N986" s="1"/>
      <c r="O986" s="1"/>
      <c r="P986" s="1"/>
      <c r="Q986" s="1"/>
      <c r="R986" s="1"/>
      <c r="S986" s="1"/>
      <c r="T986" s="1"/>
      <c r="U986" s="1"/>
      <c r="V986" s="1"/>
      <c r="W986" s="1"/>
      <c r="X986" s="1"/>
      <c r="Y986" s="1"/>
      <c r="Z986" s="1"/>
    </row>
    <row r="987">
      <c r="A987" s="1"/>
      <c r="B987" s="1"/>
      <c r="C987" s="54"/>
      <c r="D987" s="55"/>
      <c r="E987" s="69"/>
      <c r="F987" s="58"/>
      <c r="G987" s="58" t="str">
        <f t="shared" si="19"/>
        <v/>
      </c>
      <c r="H987" s="58"/>
      <c r="I987" s="59" t="str">
        <f t="shared" si="20"/>
        <v/>
      </c>
      <c r="J987" s="12"/>
      <c r="K987" s="1"/>
      <c r="L987" s="1"/>
      <c r="M987" s="1"/>
      <c r="N987" s="1"/>
      <c r="O987" s="1"/>
      <c r="P987" s="1"/>
      <c r="Q987" s="1"/>
      <c r="R987" s="1"/>
      <c r="S987" s="1"/>
      <c r="T987" s="1"/>
      <c r="U987" s="1"/>
      <c r="V987" s="1"/>
      <c r="W987" s="1"/>
      <c r="X987" s="1"/>
      <c r="Y987" s="1"/>
      <c r="Z987" s="1"/>
    </row>
    <row r="988">
      <c r="A988" s="1"/>
      <c r="B988" s="1"/>
      <c r="C988" s="48"/>
      <c r="D988" s="49"/>
      <c r="E988" s="70"/>
      <c r="F988" s="52"/>
      <c r="G988" s="52" t="str">
        <f t="shared" si="19"/>
        <v/>
      </c>
      <c r="H988" s="52"/>
      <c r="I988" s="53" t="str">
        <f t="shared" si="20"/>
        <v/>
      </c>
      <c r="J988" s="12"/>
      <c r="K988" s="1"/>
      <c r="L988" s="1"/>
      <c r="M988" s="1"/>
      <c r="N988" s="1"/>
      <c r="O988" s="1"/>
      <c r="P988" s="1"/>
      <c r="Q988" s="1"/>
      <c r="R988" s="1"/>
      <c r="S988" s="1"/>
      <c r="T988" s="1"/>
      <c r="U988" s="1"/>
      <c r="V988" s="1"/>
      <c r="W988" s="1"/>
      <c r="X988" s="1"/>
      <c r="Y988" s="1"/>
      <c r="Z988" s="1"/>
    </row>
    <row r="989">
      <c r="A989" s="1"/>
      <c r="B989" s="1"/>
      <c r="C989" s="54"/>
      <c r="D989" s="55"/>
      <c r="E989" s="69"/>
      <c r="F989" s="58"/>
      <c r="G989" s="58" t="str">
        <f t="shared" si="19"/>
        <v/>
      </c>
      <c r="H989" s="58"/>
      <c r="I989" s="59" t="str">
        <f t="shared" si="20"/>
        <v/>
      </c>
      <c r="J989" s="12"/>
      <c r="K989" s="1"/>
      <c r="L989" s="1"/>
      <c r="M989" s="1"/>
      <c r="N989" s="1"/>
      <c r="O989" s="1"/>
      <c r="P989" s="1"/>
      <c r="Q989" s="1"/>
      <c r="R989" s="1"/>
      <c r="S989" s="1"/>
      <c r="T989" s="1"/>
      <c r="U989" s="1"/>
      <c r="V989" s="1"/>
      <c r="W989" s="1"/>
      <c r="X989" s="1"/>
      <c r="Y989" s="1"/>
      <c r="Z989" s="1"/>
    </row>
    <row r="990">
      <c r="A990" s="1"/>
      <c r="B990" s="1"/>
      <c r="C990" s="48"/>
      <c r="D990" s="49"/>
      <c r="E990" s="70"/>
      <c r="F990" s="52"/>
      <c r="G990" s="52" t="str">
        <f t="shared" si="19"/>
        <v/>
      </c>
      <c r="H990" s="52"/>
      <c r="I990" s="53" t="str">
        <f t="shared" si="20"/>
        <v/>
      </c>
      <c r="J990" s="12"/>
      <c r="K990" s="1"/>
      <c r="L990" s="1"/>
      <c r="M990" s="1"/>
      <c r="N990" s="1"/>
      <c r="O990" s="1"/>
      <c r="P990" s="1"/>
      <c r="Q990" s="1"/>
      <c r="R990" s="1"/>
      <c r="S990" s="1"/>
      <c r="T990" s="1"/>
      <c r="U990" s="1"/>
      <c r="V990" s="1"/>
      <c r="W990" s="1"/>
      <c r="X990" s="1"/>
      <c r="Y990" s="1"/>
      <c r="Z990" s="1"/>
    </row>
    <row r="991">
      <c r="A991" s="1"/>
      <c r="B991" s="1"/>
      <c r="C991" s="54"/>
      <c r="D991" s="55"/>
      <c r="E991" s="69"/>
      <c r="F991" s="58"/>
      <c r="G991" s="58" t="str">
        <f t="shared" si="19"/>
        <v/>
      </c>
      <c r="H991" s="58"/>
      <c r="I991" s="59" t="str">
        <f t="shared" si="20"/>
        <v/>
      </c>
      <c r="J991" s="12"/>
      <c r="K991" s="1"/>
      <c r="L991" s="1"/>
      <c r="M991" s="1"/>
      <c r="N991" s="1"/>
      <c r="O991" s="1"/>
      <c r="P991" s="1"/>
      <c r="Q991" s="1"/>
      <c r="R991" s="1"/>
      <c r="S991" s="1"/>
      <c r="T991" s="1"/>
      <c r="U991" s="1"/>
      <c r="V991" s="1"/>
      <c r="W991" s="1"/>
      <c r="X991" s="1"/>
      <c r="Y991" s="1"/>
      <c r="Z991" s="1"/>
    </row>
    <row r="992">
      <c r="A992" s="1"/>
      <c r="B992" s="1"/>
      <c r="C992" s="48"/>
      <c r="D992" s="49"/>
      <c r="E992" s="70"/>
      <c r="F992" s="52"/>
      <c r="G992" s="52" t="str">
        <f t="shared" si="19"/>
        <v/>
      </c>
      <c r="H992" s="52"/>
      <c r="I992" s="53" t="str">
        <f t="shared" si="20"/>
        <v/>
      </c>
      <c r="J992" s="12"/>
      <c r="K992" s="1"/>
      <c r="L992" s="1"/>
      <c r="M992" s="1"/>
      <c r="N992" s="1"/>
      <c r="O992" s="1"/>
      <c r="P992" s="1"/>
      <c r="Q992" s="1"/>
      <c r="R992" s="1"/>
      <c r="S992" s="1"/>
      <c r="T992" s="1"/>
      <c r="U992" s="1"/>
      <c r="V992" s="1"/>
      <c r="W992" s="1"/>
      <c r="X992" s="1"/>
      <c r="Y992" s="1"/>
      <c r="Z992" s="1"/>
    </row>
    <row r="993">
      <c r="A993" s="1"/>
      <c r="B993" s="1"/>
      <c r="C993" s="54"/>
      <c r="D993" s="55"/>
      <c r="E993" s="69"/>
      <c r="F993" s="58"/>
      <c r="G993" s="58" t="str">
        <f t="shared" si="19"/>
        <v/>
      </c>
      <c r="H993" s="58"/>
      <c r="I993" s="59" t="str">
        <f t="shared" si="20"/>
        <v/>
      </c>
      <c r="J993" s="12"/>
      <c r="K993" s="1"/>
      <c r="L993" s="1"/>
      <c r="M993" s="1"/>
      <c r="N993" s="1"/>
      <c r="O993" s="1"/>
      <c r="P993" s="1"/>
      <c r="Q993" s="1"/>
      <c r="R993" s="1"/>
      <c r="S993" s="1"/>
      <c r="T993" s="1"/>
      <c r="U993" s="1"/>
      <c r="V993" s="1"/>
      <c r="W993" s="1"/>
      <c r="X993" s="1"/>
      <c r="Y993" s="1"/>
      <c r="Z993" s="1"/>
    </row>
    <row r="994">
      <c r="A994" s="1"/>
      <c r="B994" s="1"/>
      <c r="C994" s="48"/>
      <c r="D994" s="49"/>
      <c r="E994" s="70"/>
      <c r="F994" s="52"/>
      <c r="G994" s="52" t="str">
        <f t="shared" si="19"/>
        <v/>
      </c>
      <c r="H994" s="52"/>
      <c r="I994" s="53" t="str">
        <f t="shared" si="20"/>
        <v/>
      </c>
      <c r="J994" s="12"/>
      <c r="K994" s="1"/>
      <c r="L994" s="1"/>
      <c r="M994" s="1"/>
      <c r="N994" s="1"/>
      <c r="O994" s="1"/>
      <c r="P994" s="1"/>
      <c r="Q994" s="1"/>
      <c r="R994" s="1"/>
      <c r="S994" s="1"/>
      <c r="T994" s="1"/>
      <c r="U994" s="1"/>
      <c r="V994" s="1"/>
      <c r="W994" s="1"/>
      <c r="X994" s="1"/>
      <c r="Y994" s="1"/>
      <c r="Z994" s="1"/>
    </row>
    <row r="995">
      <c r="A995" s="1"/>
      <c r="B995" s="1"/>
      <c r="C995" s="54"/>
      <c r="D995" s="55"/>
      <c r="E995" s="69"/>
      <c r="F995" s="58"/>
      <c r="G995" s="58" t="str">
        <f t="shared" si="19"/>
        <v/>
      </c>
      <c r="H995" s="58"/>
      <c r="I995" s="59" t="str">
        <f t="shared" si="20"/>
        <v/>
      </c>
      <c r="J995" s="12"/>
      <c r="K995" s="1"/>
      <c r="L995" s="1"/>
      <c r="M995" s="1"/>
      <c r="N995" s="1"/>
      <c r="O995" s="1"/>
      <c r="P995" s="1"/>
      <c r="Q995" s="1"/>
      <c r="R995" s="1"/>
      <c r="S995" s="1"/>
      <c r="T995" s="1"/>
      <c r="U995" s="1"/>
      <c r="V995" s="1"/>
      <c r="W995" s="1"/>
      <c r="X995" s="1"/>
      <c r="Y995" s="1"/>
      <c r="Z995" s="1"/>
    </row>
    <row r="996">
      <c r="A996" s="1"/>
      <c r="B996" s="1"/>
      <c r="C996" s="48"/>
      <c r="D996" s="49"/>
      <c r="E996" s="70"/>
      <c r="F996" s="52"/>
      <c r="G996" s="52" t="str">
        <f t="shared" si="19"/>
        <v/>
      </c>
      <c r="H996" s="52"/>
      <c r="I996" s="53" t="str">
        <f t="shared" si="20"/>
        <v/>
      </c>
      <c r="J996" s="12"/>
      <c r="K996" s="1"/>
      <c r="L996" s="1"/>
      <c r="M996" s="1"/>
      <c r="N996" s="1"/>
      <c r="O996" s="1"/>
      <c r="P996" s="1"/>
      <c r="Q996" s="1"/>
      <c r="R996" s="1"/>
      <c r="S996" s="1"/>
      <c r="T996" s="1"/>
      <c r="U996" s="1"/>
      <c r="V996" s="1"/>
      <c r="W996" s="1"/>
      <c r="X996" s="1"/>
      <c r="Y996" s="1"/>
      <c r="Z996" s="1"/>
    </row>
    <row r="997">
      <c r="A997" s="1"/>
      <c r="B997" s="1"/>
      <c r="C997" s="54"/>
      <c r="D997" s="55"/>
      <c r="E997" s="69"/>
      <c r="F997" s="58"/>
      <c r="G997" s="58" t="str">
        <f t="shared" si="19"/>
        <v/>
      </c>
      <c r="H997" s="58"/>
      <c r="I997" s="59" t="str">
        <f t="shared" si="20"/>
        <v/>
      </c>
      <c r="J997" s="12"/>
      <c r="K997" s="1"/>
      <c r="L997" s="1"/>
      <c r="M997" s="1"/>
      <c r="N997" s="1"/>
      <c r="O997" s="1"/>
      <c r="P997" s="1"/>
      <c r="Q997" s="1"/>
      <c r="R997" s="1"/>
      <c r="S997" s="1"/>
      <c r="T997" s="1"/>
      <c r="U997" s="1"/>
      <c r="V997" s="1"/>
      <c r="W997" s="1"/>
      <c r="X997" s="1"/>
      <c r="Y997" s="1"/>
      <c r="Z997" s="1"/>
    </row>
    <row r="998">
      <c r="A998" s="1"/>
      <c r="B998" s="1"/>
      <c r="C998" s="48"/>
      <c r="D998" s="49"/>
      <c r="E998" s="70"/>
      <c r="F998" s="52"/>
      <c r="G998" s="52" t="str">
        <f t="shared" si="19"/>
        <v/>
      </c>
      <c r="H998" s="52"/>
      <c r="I998" s="53" t="str">
        <f t="shared" si="20"/>
        <v/>
      </c>
      <c r="J998" s="12"/>
      <c r="K998" s="1"/>
      <c r="L998" s="1"/>
      <c r="M998" s="1"/>
      <c r="N998" s="1"/>
      <c r="O998" s="1"/>
      <c r="P998" s="1"/>
      <c r="Q998" s="1"/>
      <c r="R998" s="1"/>
      <c r="S998" s="1"/>
      <c r="T998" s="1"/>
      <c r="U998" s="1"/>
      <c r="V998" s="1"/>
      <c r="W998" s="1"/>
      <c r="X998" s="1"/>
      <c r="Y998" s="1"/>
      <c r="Z998" s="1"/>
    </row>
    <row r="999">
      <c r="A999" s="1"/>
      <c r="B999" s="1"/>
      <c r="C999" s="71"/>
      <c r="D999" s="72"/>
      <c r="E999" s="73"/>
      <c r="F999" s="74"/>
      <c r="G999" s="74" t="str">
        <f t="shared" si="19"/>
        <v/>
      </c>
      <c r="H999" s="74"/>
      <c r="I999" s="75" t="str">
        <f t="shared" si="20"/>
        <v/>
      </c>
      <c r="J999" s="12"/>
      <c r="K999" s="1"/>
      <c r="L999" s="1"/>
      <c r="M999" s="1"/>
      <c r="N999" s="1"/>
      <c r="O999" s="1"/>
      <c r="P999" s="1"/>
      <c r="Q999" s="1"/>
      <c r="R999" s="1"/>
      <c r="S999" s="1"/>
      <c r="T999" s="1"/>
      <c r="U999" s="1"/>
      <c r="V999" s="1"/>
      <c r="W999" s="1"/>
      <c r="X999" s="1"/>
      <c r="Y999" s="1"/>
      <c r="Z999" s="1"/>
    </row>
  </sheetData>
  <dataValidations>
    <dataValidation type="custom" allowBlank="1" showDropDown="1" sqref="E2:I999">
      <formula1>AND(ISNUMBER(E2),(NOT(OR(NOT(ISERROR(DATEVALUE(E2))), AND(ISNUMBER(E2), LEFT(CELL("format", E2))="D")))))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3" max="3" width="9.71"/>
    <col customWidth="1" min="4" max="4" width="28.71"/>
    <col customWidth="1" min="5" max="5" width="35.43"/>
    <col customWidth="1" min="6" max="6" width="16.0"/>
    <col customWidth="1" min="7" max="7" width="15.14"/>
    <col customWidth="1" min="9" max="9" width="16.0"/>
    <col customWidth="1" min="10" max="10" width="22.29"/>
  </cols>
  <sheetData>
    <row r="1">
      <c r="A1" s="76"/>
      <c r="B1" s="76"/>
      <c r="C1" s="77"/>
      <c r="D1" s="78" t="s">
        <v>81</v>
      </c>
      <c r="E1" s="79" t="s">
        <v>6</v>
      </c>
      <c r="F1" s="79" t="s">
        <v>82</v>
      </c>
      <c r="G1" s="44" t="s">
        <v>83</v>
      </c>
      <c r="H1" s="44" t="s">
        <v>84</v>
      </c>
      <c r="I1" s="80" t="s">
        <v>8</v>
      </c>
      <c r="J1" s="81" t="s">
        <v>0</v>
      </c>
      <c r="K1" s="76"/>
      <c r="L1" s="76"/>
      <c r="M1" s="76"/>
      <c r="N1" s="76"/>
      <c r="O1" s="76"/>
      <c r="P1" s="76"/>
      <c r="Q1" s="76"/>
      <c r="R1" s="76"/>
      <c r="S1" s="76"/>
      <c r="T1" s="76"/>
      <c r="U1" s="76"/>
      <c r="V1" s="76"/>
      <c r="W1" s="76"/>
      <c r="X1" s="76"/>
      <c r="Y1" s="76"/>
      <c r="Z1" s="76"/>
      <c r="AA1" s="76"/>
    </row>
    <row r="2">
      <c r="A2" s="76"/>
      <c r="B2" s="76"/>
      <c r="C2" s="77"/>
      <c r="D2" s="82" t="s">
        <v>85</v>
      </c>
      <c r="E2" s="83" t="s">
        <v>86</v>
      </c>
      <c r="F2" s="84">
        <f t="shared" ref="F2:F80" si="1">G2-H2</f>
        <v>1</v>
      </c>
      <c r="G2" s="85">
        <f>SUMIFS('LANÇAMENTOS'!$H:$H,'LANÇAMENTOS'!$E:$E,"ENTRADA",'LANÇAMENTOS'!$G:$G,$E2)</f>
        <v>1</v>
      </c>
      <c r="H2" s="85">
        <f>SUMIFS('LANÇAMENTOS'!$H:$H,'LANÇAMENTOS'!$E:$E,"SAIDA",'LANÇAMENTOS'!$G:$G,$E2)</f>
        <v>0</v>
      </c>
      <c r="I2" s="86"/>
      <c r="J2" s="87">
        <f t="shared" ref="J2:J72" si="2">I2*F2</f>
        <v>0</v>
      </c>
      <c r="K2" s="76"/>
      <c r="L2" s="76"/>
      <c r="M2" s="76"/>
      <c r="N2" s="76"/>
      <c r="O2" s="76"/>
      <c r="P2" s="76"/>
      <c r="Q2" s="76"/>
      <c r="R2" s="76"/>
      <c r="S2" s="76"/>
      <c r="T2" s="76"/>
      <c r="U2" s="76"/>
      <c r="V2" s="76"/>
      <c r="W2" s="76"/>
      <c r="X2" s="76"/>
      <c r="Y2" s="76"/>
      <c r="Z2" s="76"/>
      <c r="AA2" s="76"/>
    </row>
    <row r="3">
      <c r="A3" s="88" t="s">
        <v>87</v>
      </c>
      <c r="B3" s="89"/>
      <c r="C3" s="90"/>
      <c r="D3" s="82" t="s">
        <v>85</v>
      </c>
      <c r="E3" s="83" t="s">
        <v>88</v>
      </c>
      <c r="F3" s="84">
        <f t="shared" si="1"/>
        <v>1</v>
      </c>
      <c r="G3" s="91">
        <f>SUMIFS('LANÇAMENTOS'!$H:$H,'LANÇAMENTOS'!$E:$E,"ENTRADA",'LANÇAMENTOS'!$G:$G,$E3)</f>
        <v>1</v>
      </c>
      <c r="H3" s="91">
        <f>SUMIFS('LANÇAMENTOS'!$H:$H,'LANÇAMENTOS'!$E:$E,"SAIDA",'LANÇAMENTOS'!$G:$G,$E3)</f>
        <v>0</v>
      </c>
      <c r="I3" s="92"/>
      <c r="J3" s="93">
        <f t="shared" si="2"/>
        <v>0</v>
      </c>
      <c r="K3" s="76"/>
      <c r="L3" s="76"/>
      <c r="M3" s="76"/>
      <c r="N3" s="76"/>
      <c r="O3" s="76"/>
      <c r="P3" s="76"/>
      <c r="Q3" s="76"/>
      <c r="R3" s="76"/>
      <c r="S3" s="76"/>
      <c r="T3" s="76"/>
      <c r="U3" s="76"/>
      <c r="V3" s="76"/>
      <c r="W3" s="76"/>
      <c r="X3" s="76"/>
      <c r="Y3" s="76"/>
      <c r="Z3" s="76"/>
      <c r="AA3" s="76"/>
    </row>
    <row r="4">
      <c r="A4" s="94"/>
      <c r="C4" s="95"/>
      <c r="D4" s="82" t="s">
        <v>85</v>
      </c>
      <c r="E4" s="83" t="s">
        <v>89</v>
      </c>
      <c r="F4" s="84">
        <f t="shared" si="1"/>
        <v>7</v>
      </c>
      <c r="G4" s="85">
        <f>SUMIFS('LANÇAMENTOS'!$H:$H,'LANÇAMENTOS'!$E:$E,"ENTRADA",'LANÇAMENTOS'!$G:$G,$E4)</f>
        <v>7</v>
      </c>
      <c r="H4" s="85">
        <f>SUMIFS('LANÇAMENTOS'!$H:$H,'LANÇAMENTOS'!$E:$E,"SAIDA",'LANÇAMENTOS'!$G:$G,$E4)</f>
        <v>0</v>
      </c>
      <c r="I4" s="86"/>
      <c r="J4" s="87">
        <f t="shared" si="2"/>
        <v>0</v>
      </c>
      <c r="K4" s="76"/>
      <c r="L4" s="76"/>
      <c r="M4" s="76"/>
      <c r="N4" s="76"/>
      <c r="O4" s="76"/>
      <c r="P4" s="76"/>
      <c r="Q4" s="76"/>
      <c r="R4" s="76"/>
      <c r="S4" s="76"/>
      <c r="T4" s="76"/>
      <c r="U4" s="76"/>
      <c r="V4" s="76"/>
      <c r="W4" s="76"/>
      <c r="X4" s="76"/>
      <c r="Y4" s="76"/>
      <c r="Z4" s="76"/>
      <c r="AA4" s="76"/>
    </row>
    <row r="5">
      <c r="A5" s="96"/>
      <c r="B5" s="97"/>
      <c r="C5" s="98"/>
      <c r="D5" s="82" t="s">
        <v>85</v>
      </c>
      <c r="E5" s="99" t="s">
        <v>90</v>
      </c>
      <c r="F5" s="84">
        <f t="shared" si="1"/>
        <v>5</v>
      </c>
      <c r="G5" s="91">
        <f>SUMIFS('LANÇAMENTOS'!$H:$H,'LANÇAMENTOS'!$E:$E,"ENTRADA",'LANÇAMENTOS'!$G:$G,$E5)</f>
        <v>6</v>
      </c>
      <c r="H5" s="91">
        <f>SUMIFS('LANÇAMENTOS'!$H:$H,'LANÇAMENTOS'!$E:$E,"SAIDA",'LANÇAMENTOS'!$G:$G,$E5)</f>
        <v>1</v>
      </c>
      <c r="I5" s="92"/>
      <c r="J5" s="93">
        <f t="shared" si="2"/>
        <v>0</v>
      </c>
      <c r="K5" s="76"/>
      <c r="L5" s="76"/>
      <c r="M5" s="76"/>
      <c r="N5" s="76"/>
      <c r="O5" s="76"/>
      <c r="P5" s="76"/>
      <c r="Q5" s="76"/>
      <c r="R5" s="76"/>
      <c r="S5" s="76"/>
      <c r="T5" s="76"/>
      <c r="U5" s="76"/>
      <c r="V5" s="76"/>
      <c r="W5" s="76"/>
      <c r="X5" s="76"/>
      <c r="Y5" s="76"/>
      <c r="Z5" s="76"/>
      <c r="AA5" s="76"/>
    </row>
    <row r="6">
      <c r="A6" s="76"/>
      <c r="B6" s="76"/>
      <c r="C6" s="77"/>
      <c r="D6" s="82" t="s">
        <v>85</v>
      </c>
      <c r="E6" s="99" t="s">
        <v>91</v>
      </c>
      <c r="F6" s="84">
        <f t="shared" si="1"/>
        <v>11</v>
      </c>
      <c r="G6" s="85">
        <f>SUMIFS('LANÇAMENTOS'!$H:$H,'LANÇAMENTOS'!$E:$E,"ENTRADA",'LANÇAMENTOS'!$G:$G,$E6)</f>
        <v>11</v>
      </c>
      <c r="H6" s="85">
        <f>SUMIFS('LANÇAMENTOS'!$H:$H,'LANÇAMENTOS'!$E:$E,"SAIDA",'LANÇAMENTOS'!$G:$G,$E6)</f>
        <v>0</v>
      </c>
      <c r="I6" s="86"/>
      <c r="J6" s="87">
        <f t="shared" si="2"/>
        <v>0</v>
      </c>
      <c r="K6" s="76"/>
      <c r="L6" s="76"/>
      <c r="M6" s="76"/>
      <c r="N6" s="76"/>
      <c r="O6" s="76"/>
      <c r="P6" s="76"/>
      <c r="Q6" s="76"/>
      <c r="R6" s="76"/>
      <c r="S6" s="76"/>
      <c r="T6" s="76"/>
      <c r="U6" s="76"/>
      <c r="V6" s="76"/>
      <c r="W6" s="76"/>
      <c r="X6" s="76"/>
      <c r="Y6" s="76"/>
      <c r="Z6" s="76"/>
      <c r="AA6" s="76"/>
    </row>
    <row r="7">
      <c r="A7" s="76"/>
      <c r="B7" s="76"/>
      <c r="C7" s="77"/>
      <c r="D7" s="82" t="s">
        <v>85</v>
      </c>
      <c r="E7" s="99" t="s">
        <v>92</v>
      </c>
      <c r="F7" s="84">
        <f t="shared" si="1"/>
        <v>11</v>
      </c>
      <c r="G7" s="91">
        <f>SUMIFS('LANÇAMENTOS'!$H:$H,'LANÇAMENTOS'!$E:$E,"ENTRADA",'LANÇAMENTOS'!$G:$G,$E7)</f>
        <v>11</v>
      </c>
      <c r="H7" s="91">
        <f>SUMIFS('LANÇAMENTOS'!$H:$H,'LANÇAMENTOS'!$E:$E,"SAIDA",'LANÇAMENTOS'!$G:$G,$E7)</f>
        <v>0</v>
      </c>
      <c r="I7" s="92"/>
      <c r="J7" s="93">
        <f t="shared" si="2"/>
        <v>0</v>
      </c>
      <c r="K7" s="76"/>
      <c r="L7" s="76"/>
      <c r="M7" s="76"/>
      <c r="N7" s="76"/>
      <c r="O7" s="76"/>
      <c r="P7" s="76"/>
      <c r="Q7" s="76"/>
      <c r="R7" s="76"/>
      <c r="S7" s="76"/>
      <c r="T7" s="76"/>
      <c r="U7" s="76"/>
      <c r="V7" s="76"/>
      <c r="W7" s="76"/>
      <c r="X7" s="76"/>
      <c r="Y7" s="76"/>
      <c r="Z7" s="76"/>
      <c r="AA7" s="76"/>
    </row>
    <row r="8">
      <c r="A8" s="76"/>
      <c r="B8" s="76"/>
      <c r="C8" s="77"/>
      <c r="D8" s="82" t="s">
        <v>85</v>
      </c>
      <c r="E8" s="99" t="s">
        <v>93</v>
      </c>
      <c r="F8" s="84">
        <f t="shared" si="1"/>
        <v>4</v>
      </c>
      <c r="G8" s="85">
        <f>SUMIFS('LANÇAMENTOS'!$H:$H,'LANÇAMENTOS'!$E:$E,"ENTRADA",'LANÇAMENTOS'!$G:$G,$E8)</f>
        <v>4</v>
      </c>
      <c r="H8" s="85">
        <f>SUMIFS('LANÇAMENTOS'!$H:$H,'LANÇAMENTOS'!$E:$E,"SAIDA",'LANÇAMENTOS'!$G:$G,$E8)</f>
        <v>0</v>
      </c>
      <c r="I8" s="86"/>
      <c r="J8" s="87">
        <f t="shared" si="2"/>
        <v>0</v>
      </c>
      <c r="K8" s="76"/>
      <c r="L8" s="76"/>
      <c r="M8" s="76"/>
      <c r="N8" s="76"/>
      <c r="O8" s="76"/>
      <c r="P8" s="76"/>
      <c r="Q8" s="76"/>
      <c r="R8" s="76"/>
      <c r="S8" s="76"/>
      <c r="T8" s="76"/>
      <c r="U8" s="76"/>
      <c r="V8" s="76"/>
      <c r="W8" s="76"/>
      <c r="X8" s="76"/>
      <c r="Y8" s="76"/>
      <c r="Z8" s="76"/>
      <c r="AA8" s="76"/>
    </row>
    <row r="9">
      <c r="A9" s="76"/>
      <c r="B9" s="76"/>
      <c r="C9" s="77"/>
      <c r="D9" s="82" t="s">
        <v>85</v>
      </c>
      <c r="E9" s="99" t="s">
        <v>94</v>
      </c>
      <c r="F9" s="84">
        <f t="shared" si="1"/>
        <v>1</v>
      </c>
      <c r="G9" s="91">
        <f>SUMIFS('LANÇAMENTOS'!$H:$H,'LANÇAMENTOS'!$E:$E,"ENTRADA",'LANÇAMENTOS'!$G:$G,$E9)</f>
        <v>3</v>
      </c>
      <c r="H9" s="91">
        <f>SUMIFS('LANÇAMENTOS'!$H:$H,'LANÇAMENTOS'!$E:$E,"SAIDA",'LANÇAMENTOS'!$G:$G,$E9)</f>
        <v>2</v>
      </c>
      <c r="I9" s="92"/>
      <c r="J9" s="93">
        <f t="shared" si="2"/>
        <v>0</v>
      </c>
      <c r="K9" s="76"/>
      <c r="L9" s="76"/>
      <c r="M9" s="76"/>
      <c r="N9" s="76"/>
      <c r="O9" s="76"/>
      <c r="P9" s="76"/>
      <c r="Q9" s="76"/>
      <c r="R9" s="76"/>
      <c r="S9" s="76"/>
      <c r="T9" s="76"/>
      <c r="U9" s="76"/>
      <c r="V9" s="76"/>
      <c r="W9" s="76"/>
      <c r="X9" s="76"/>
      <c r="Y9" s="76"/>
      <c r="Z9" s="76"/>
      <c r="AA9" s="76"/>
    </row>
    <row r="10">
      <c r="A10" s="76"/>
      <c r="B10" s="76"/>
      <c r="C10" s="77"/>
      <c r="D10" s="82" t="s">
        <v>95</v>
      </c>
      <c r="E10" s="99" t="s">
        <v>96</v>
      </c>
      <c r="F10" s="84">
        <f t="shared" si="1"/>
        <v>3</v>
      </c>
      <c r="G10" s="85">
        <f>SUMIFS('LANÇAMENTOS'!$H:$H,'LANÇAMENTOS'!$E:$E,"ENTRADA",'LANÇAMENTOS'!$G:$G,$E10)</f>
        <v>3</v>
      </c>
      <c r="H10" s="85">
        <f>SUMIFS('LANÇAMENTOS'!$H:$H,'LANÇAMENTOS'!$E:$E,"SAIDA",'LANÇAMENTOS'!$G:$G,$E10)</f>
        <v>0</v>
      </c>
      <c r="I10" s="86"/>
      <c r="J10" s="87">
        <f t="shared" si="2"/>
        <v>0</v>
      </c>
      <c r="K10" s="76"/>
      <c r="L10" s="76"/>
      <c r="M10" s="76"/>
      <c r="N10" s="76"/>
      <c r="O10" s="76"/>
      <c r="P10" s="76"/>
      <c r="Q10" s="76"/>
      <c r="R10" s="76"/>
      <c r="S10" s="76"/>
      <c r="T10" s="76"/>
      <c r="U10" s="76"/>
      <c r="V10" s="76"/>
      <c r="W10" s="76"/>
      <c r="X10" s="76"/>
      <c r="Y10" s="76"/>
      <c r="Z10" s="76"/>
      <c r="AA10" s="76"/>
    </row>
    <row r="11">
      <c r="A11" s="76"/>
      <c r="B11" s="76"/>
      <c r="C11" s="77"/>
      <c r="D11" s="82" t="s">
        <v>97</v>
      </c>
      <c r="E11" s="99" t="s">
        <v>98</v>
      </c>
      <c r="F11" s="84">
        <f t="shared" si="1"/>
        <v>8</v>
      </c>
      <c r="G11" s="91">
        <f>SUMIFS('LANÇAMENTOS'!$H:$H,'LANÇAMENTOS'!$E:$E,"ENTRADA",'LANÇAMENTOS'!$G:$G,$E11)</f>
        <v>8</v>
      </c>
      <c r="H11" s="91">
        <f>SUMIFS('LANÇAMENTOS'!$H:$H,'LANÇAMENTOS'!$E:$E,"SAIDA",'LANÇAMENTOS'!$G:$G,$E11)</f>
        <v>0</v>
      </c>
      <c r="I11" s="92"/>
      <c r="J11" s="93">
        <f t="shared" si="2"/>
        <v>0</v>
      </c>
      <c r="K11" s="76"/>
      <c r="L11" s="76"/>
      <c r="M11" s="76"/>
      <c r="N11" s="76"/>
      <c r="O11" s="76"/>
      <c r="P11" s="76"/>
      <c r="Q11" s="76"/>
      <c r="R11" s="76"/>
      <c r="S11" s="76"/>
      <c r="T11" s="76"/>
      <c r="U11" s="76"/>
      <c r="V11" s="76"/>
      <c r="W11" s="76"/>
      <c r="X11" s="76"/>
      <c r="Y11" s="76"/>
      <c r="Z11" s="76"/>
      <c r="AA11" s="76"/>
    </row>
    <row r="12">
      <c r="A12" s="76"/>
      <c r="B12" s="76"/>
      <c r="C12" s="77"/>
      <c r="D12" s="82" t="s">
        <v>97</v>
      </c>
      <c r="E12" s="99" t="s">
        <v>99</v>
      </c>
      <c r="F12" s="84">
        <f t="shared" si="1"/>
        <v>3</v>
      </c>
      <c r="G12" s="85">
        <f>SUMIFS('LANÇAMENTOS'!$H:$H,'LANÇAMENTOS'!$E:$E,"ENTRADA",'LANÇAMENTOS'!$G:$G,$E12)</f>
        <v>3</v>
      </c>
      <c r="H12" s="85">
        <f>SUMIFS('LANÇAMENTOS'!$H:$H,'LANÇAMENTOS'!$E:$E,"SAIDA",'LANÇAMENTOS'!$G:$G,$E12)</f>
        <v>0</v>
      </c>
      <c r="I12" s="86"/>
      <c r="J12" s="87">
        <f t="shared" si="2"/>
        <v>0</v>
      </c>
      <c r="K12" s="76"/>
      <c r="L12" s="76"/>
      <c r="M12" s="76"/>
      <c r="N12" s="76"/>
      <c r="O12" s="76"/>
      <c r="P12" s="76"/>
      <c r="Q12" s="76"/>
      <c r="R12" s="76"/>
      <c r="S12" s="76"/>
      <c r="T12" s="76"/>
      <c r="U12" s="76"/>
      <c r="V12" s="76"/>
      <c r="W12" s="76"/>
      <c r="X12" s="76"/>
      <c r="Y12" s="76"/>
      <c r="Z12" s="76"/>
      <c r="AA12" s="76"/>
    </row>
    <row r="13">
      <c r="A13" s="76"/>
      <c r="B13" s="76"/>
      <c r="C13" s="77"/>
      <c r="D13" s="82" t="s">
        <v>97</v>
      </c>
      <c r="E13" s="99" t="s">
        <v>100</v>
      </c>
      <c r="F13" s="84">
        <f t="shared" si="1"/>
        <v>2</v>
      </c>
      <c r="G13" s="91">
        <f>SUMIFS('LANÇAMENTOS'!$H:$H,'LANÇAMENTOS'!$E:$E,"ENTRADA",'LANÇAMENTOS'!$G:$G,$E13)</f>
        <v>2</v>
      </c>
      <c r="H13" s="91">
        <f>SUMIFS('LANÇAMENTOS'!$H:$H,'LANÇAMENTOS'!$E:$E,"SAIDA",'LANÇAMENTOS'!$G:$G,$E13)</f>
        <v>0</v>
      </c>
      <c r="I13" s="92"/>
      <c r="J13" s="93">
        <f t="shared" si="2"/>
        <v>0</v>
      </c>
      <c r="K13" s="76"/>
      <c r="L13" s="76"/>
      <c r="M13" s="76"/>
      <c r="N13" s="76"/>
      <c r="O13" s="76"/>
      <c r="P13" s="76"/>
      <c r="Q13" s="76"/>
      <c r="R13" s="76"/>
      <c r="S13" s="76"/>
      <c r="T13" s="76"/>
      <c r="U13" s="76"/>
      <c r="V13" s="76"/>
      <c r="W13" s="76"/>
      <c r="X13" s="76"/>
      <c r="Y13" s="76"/>
      <c r="Z13" s="76"/>
      <c r="AA13" s="76"/>
    </row>
    <row r="14">
      <c r="A14" s="76"/>
      <c r="B14" s="76"/>
      <c r="C14" s="77"/>
      <c r="D14" s="82" t="s">
        <v>97</v>
      </c>
      <c r="E14" s="99" t="s">
        <v>101</v>
      </c>
      <c r="F14" s="84">
        <f t="shared" si="1"/>
        <v>2</v>
      </c>
      <c r="G14" s="85">
        <f>SUMIFS('LANÇAMENTOS'!$H:$H,'LANÇAMENTOS'!$E:$E,"ENTRADA",'LANÇAMENTOS'!$G:$G,$E14)</f>
        <v>2</v>
      </c>
      <c r="H14" s="85">
        <f>SUMIFS('LANÇAMENTOS'!$H:$H,'LANÇAMENTOS'!$E:$E,"SAIDA",'LANÇAMENTOS'!$G:$G,$E14)</f>
        <v>0</v>
      </c>
      <c r="I14" s="86"/>
      <c r="J14" s="87">
        <f t="shared" si="2"/>
        <v>0</v>
      </c>
      <c r="K14" s="76"/>
      <c r="L14" s="76"/>
      <c r="M14" s="76"/>
      <c r="N14" s="76"/>
      <c r="O14" s="76"/>
      <c r="P14" s="76"/>
      <c r="Q14" s="76"/>
      <c r="R14" s="76"/>
      <c r="S14" s="76"/>
      <c r="T14" s="76"/>
      <c r="U14" s="76"/>
      <c r="V14" s="76"/>
      <c r="W14" s="76"/>
      <c r="X14" s="76"/>
      <c r="Y14" s="76"/>
      <c r="Z14" s="76"/>
      <c r="AA14" s="76"/>
    </row>
    <row r="15">
      <c r="A15" s="76"/>
      <c r="B15" s="76"/>
      <c r="C15" s="77"/>
      <c r="D15" s="82" t="s">
        <v>97</v>
      </c>
      <c r="E15" s="99" t="s">
        <v>102</v>
      </c>
      <c r="F15" s="84">
        <f t="shared" si="1"/>
        <v>1</v>
      </c>
      <c r="G15" s="91">
        <f>SUMIFS('LANÇAMENTOS'!$H:$H,'LANÇAMENTOS'!$E:$E,"ENTRADA",'LANÇAMENTOS'!$G:$G,$E15)</f>
        <v>1</v>
      </c>
      <c r="H15" s="91">
        <f>SUMIFS('LANÇAMENTOS'!$H:$H,'LANÇAMENTOS'!$E:$E,"SAIDA",'LANÇAMENTOS'!$G:$G,$E15)</f>
        <v>0</v>
      </c>
      <c r="I15" s="92"/>
      <c r="J15" s="93">
        <f t="shared" si="2"/>
        <v>0</v>
      </c>
      <c r="K15" s="76"/>
      <c r="L15" s="76"/>
      <c r="M15" s="76"/>
      <c r="N15" s="76"/>
      <c r="O15" s="76"/>
      <c r="P15" s="76"/>
      <c r="Q15" s="76"/>
      <c r="R15" s="76"/>
      <c r="S15" s="76"/>
      <c r="T15" s="76"/>
      <c r="U15" s="76"/>
      <c r="V15" s="76"/>
      <c r="W15" s="76"/>
      <c r="X15" s="76"/>
      <c r="Y15" s="76"/>
      <c r="Z15" s="76"/>
      <c r="AA15" s="76"/>
    </row>
    <row r="16">
      <c r="A16" s="76"/>
      <c r="B16" s="76"/>
      <c r="C16" s="77"/>
      <c r="D16" s="82" t="s">
        <v>103</v>
      </c>
      <c r="E16" s="99" t="s">
        <v>104</v>
      </c>
      <c r="F16" s="84">
        <f t="shared" si="1"/>
        <v>0</v>
      </c>
      <c r="G16" s="85">
        <f>SUMIFS('LANÇAMENTOS'!$H:$H,'LANÇAMENTOS'!$E:$E,"ENTRADA",'LANÇAMENTOS'!$G:$G,$E16)</f>
        <v>2</v>
      </c>
      <c r="H16" s="85">
        <f>SUMIFS('LANÇAMENTOS'!$H:$H,'LANÇAMENTOS'!$E:$E,"SAIDA",'LANÇAMENTOS'!$G:$G,$E16)</f>
        <v>2</v>
      </c>
      <c r="I16" s="86"/>
      <c r="J16" s="87">
        <f t="shared" si="2"/>
        <v>0</v>
      </c>
      <c r="K16" s="76"/>
      <c r="L16" s="76"/>
      <c r="M16" s="76"/>
      <c r="N16" s="76"/>
      <c r="O16" s="76"/>
      <c r="P16" s="76"/>
      <c r="Q16" s="76"/>
      <c r="R16" s="76"/>
      <c r="S16" s="76"/>
      <c r="T16" s="76"/>
      <c r="U16" s="76"/>
      <c r="V16" s="76"/>
      <c r="W16" s="76"/>
      <c r="X16" s="76"/>
      <c r="Y16" s="76"/>
      <c r="Z16" s="76"/>
      <c r="AA16" s="76"/>
    </row>
    <row r="17">
      <c r="A17" s="76"/>
      <c r="B17" s="76"/>
      <c r="C17" s="77"/>
      <c r="D17" s="82" t="s">
        <v>103</v>
      </c>
      <c r="E17" s="99" t="s">
        <v>105</v>
      </c>
      <c r="F17" s="84">
        <f t="shared" si="1"/>
        <v>2</v>
      </c>
      <c r="G17" s="91">
        <f>SUMIFS('LANÇAMENTOS'!$H:$H,'LANÇAMENTOS'!$E:$E,"ENTRADA",'LANÇAMENTOS'!$G:$G,$E17)</f>
        <v>2</v>
      </c>
      <c r="H17" s="91">
        <f>SUMIFS('LANÇAMENTOS'!$H:$H,'LANÇAMENTOS'!$E:$E,"SAIDA",'LANÇAMENTOS'!$G:$G,$E17)</f>
        <v>0</v>
      </c>
      <c r="I17" s="92"/>
      <c r="J17" s="93">
        <f t="shared" si="2"/>
        <v>0</v>
      </c>
      <c r="K17" s="76"/>
      <c r="L17" s="76"/>
      <c r="M17" s="76"/>
      <c r="N17" s="76"/>
      <c r="O17" s="76"/>
      <c r="P17" s="76"/>
      <c r="Q17" s="76"/>
      <c r="R17" s="76"/>
      <c r="S17" s="76"/>
      <c r="T17" s="76"/>
      <c r="U17" s="76"/>
      <c r="V17" s="76"/>
      <c r="W17" s="76"/>
      <c r="X17" s="76"/>
      <c r="Y17" s="76"/>
      <c r="Z17" s="76"/>
      <c r="AA17" s="76"/>
    </row>
    <row r="18">
      <c r="A18" s="76"/>
      <c r="B18" s="76"/>
      <c r="C18" s="77"/>
      <c r="D18" s="82" t="s">
        <v>103</v>
      </c>
      <c r="E18" s="100" t="s">
        <v>106</v>
      </c>
      <c r="F18" s="84">
        <f t="shared" si="1"/>
        <v>3</v>
      </c>
      <c r="G18" s="85">
        <f>SUMIFS('LANÇAMENTOS'!$H:$H,'LANÇAMENTOS'!$E:$E,"ENTRADA",'LANÇAMENTOS'!$G:$G,$E18)</f>
        <v>3</v>
      </c>
      <c r="H18" s="85">
        <f>SUMIFS('LANÇAMENTOS'!$H:$H,'LANÇAMENTOS'!$E:$E,"SAIDA",'LANÇAMENTOS'!$G:$G,$E18)</f>
        <v>0</v>
      </c>
      <c r="I18" s="86"/>
      <c r="J18" s="87">
        <f t="shared" si="2"/>
        <v>0</v>
      </c>
      <c r="K18" s="76"/>
      <c r="L18" s="76"/>
      <c r="M18" s="76"/>
      <c r="N18" s="76"/>
      <c r="O18" s="76"/>
      <c r="P18" s="76"/>
      <c r="Q18" s="76"/>
      <c r="R18" s="76"/>
      <c r="S18" s="76"/>
      <c r="T18" s="76"/>
      <c r="U18" s="76"/>
      <c r="V18" s="76"/>
      <c r="W18" s="76"/>
      <c r="X18" s="76"/>
      <c r="Y18" s="76"/>
      <c r="Z18" s="76"/>
      <c r="AA18" s="76"/>
    </row>
    <row r="19">
      <c r="A19" s="76"/>
      <c r="B19" s="76"/>
      <c r="C19" s="77"/>
      <c r="D19" s="82" t="s">
        <v>103</v>
      </c>
      <c r="E19" s="100" t="s">
        <v>107</v>
      </c>
      <c r="F19" s="84">
        <f t="shared" si="1"/>
        <v>2</v>
      </c>
      <c r="G19" s="91">
        <f>SUMIFS('LANÇAMENTOS'!$H:$H,'LANÇAMENTOS'!$E:$E,"ENTRADA",'LANÇAMENTOS'!$G:$G,$E19)</f>
        <v>10</v>
      </c>
      <c r="H19" s="91">
        <f>SUMIFS('LANÇAMENTOS'!$H:$H,'LANÇAMENTOS'!$E:$E,"SAIDA",'LANÇAMENTOS'!$G:$G,$E19)</f>
        <v>8</v>
      </c>
      <c r="I19" s="92"/>
      <c r="J19" s="93">
        <f t="shared" si="2"/>
        <v>0</v>
      </c>
      <c r="K19" s="76"/>
      <c r="L19" s="76"/>
      <c r="M19" s="76"/>
      <c r="N19" s="76"/>
      <c r="O19" s="76"/>
      <c r="P19" s="76"/>
      <c r="Q19" s="76"/>
      <c r="R19" s="76"/>
      <c r="S19" s="76"/>
      <c r="T19" s="76"/>
      <c r="U19" s="76"/>
      <c r="V19" s="76"/>
      <c r="W19" s="76"/>
      <c r="X19" s="76"/>
      <c r="Y19" s="76"/>
      <c r="Z19" s="76"/>
      <c r="AA19" s="76"/>
    </row>
    <row r="20">
      <c r="A20" s="76"/>
      <c r="B20" s="76"/>
      <c r="C20" s="77"/>
      <c r="D20" s="82" t="s">
        <v>103</v>
      </c>
      <c r="E20" s="100" t="s">
        <v>108</v>
      </c>
      <c r="F20" s="84">
        <f t="shared" si="1"/>
        <v>1</v>
      </c>
      <c r="G20" s="85">
        <f>SUMIFS('LANÇAMENTOS'!$H:$H,'LANÇAMENTOS'!$E:$E,"ENTRADA",'LANÇAMENTOS'!$G:$G,$E20)</f>
        <v>2</v>
      </c>
      <c r="H20" s="85">
        <f>SUMIFS('LANÇAMENTOS'!$H:$H,'LANÇAMENTOS'!$E:$E,"SAIDA",'LANÇAMENTOS'!$G:$G,$E20)</f>
        <v>1</v>
      </c>
      <c r="I20" s="86"/>
      <c r="J20" s="87">
        <f t="shared" si="2"/>
        <v>0</v>
      </c>
      <c r="K20" s="76"/>
      <c r="L20" s="76"/>
      <c r="M20" s="76"/>
      <c r="N20" s="76"/>
      <c r="O20" s="76"/>
      <c r="P20" s="76"/>
      <c r="Q20" s="76"/>
      <c r="R20" s="76"/>
      <c r="S20" s="76"/>
      <c r="T20" s="76"/>
      <c r="U20" s="76"/>
      <c r="V20" s="76"/>
      <c r="W20" s="76"/>
      <c r="X20" s="76"/>
      <c r="Y20" s="76"/>
      <c r="Z20" s="76"/>
      <c r="AA20" s="76"/>
    </row>
    <row r="21">
      <c r="A21" s="76"/>
      <c r="B21" s="76"/>
      <c r="C21" s="77"/>
      <c r="D21" s="82" t="s">
        <v>103</v>
      </c>
      <c r="E21" s="99" t="s">
        <v>109</v>
      </c>
      <c r="F21" s="84">
        <f t="shared" si="1"/>
        <v>3</v>
      </c>
      <c r="G21" s="91">
        <f>SUMIFS('LANÇAMENTOS'!$H:$H,'LANÇAMENTOS'!$E:$E,"ENTRADA",'LANÇAMENTOS'!$G:$G,$E21)</f>
        <v>7</v>
      </c>
      <c r="H21" s="91">
        <f>SUMIFS('LANÇAMENTOS'!$H:$H,'LANÇAMENTOS'!$E:$E,"SAIDA",'LANÇAMENTOS'!$G:$G,$E21)</f>
        <v>4</v>
      </c>
      <c r="I21" s="92"/>
      <c r="J21" s="93">
        <f t="shared" si="2"/>
        <v>0</v>
      </c>
      <c r="K21" s="76"/>
      <c r="L21" s="76"/>
      <c r="M21" s="76"/>
      <c r="N21" s="76"/>
      <c r="O21" s="76"/>
      <c r="P21" s="76"/>
      <c r="Q21" s="76"/>
      <c r="R21" s="76"/>
      <c r="S21" s="76"/>
      <c r="T21" s="76"/>
      <c r="U21" s="76"/>
      <c r="V21" s="76"/>
      <c r="W21" s="76"/>
      <c r="X21" s="76"/>
      <c r="Y21" s="76"/>
      <c r="Z21" s="76"/>
      <c r="AA21" s="76"/>
    </row>
    <row r="22">
      <c r="A22" s="76"/>
      <c r="B22" s="76"/>
      <c r="C22" s="77"/>
      <c r="D22" s="82" t="s">
        <v>103</v>
      </c>
      <c r="E22" s="100" t="s">
        <v>110</v>
      </c>
      <c r="F22" s="84">
        <f t="shared" si="1"/>
        <v>0</v>
      </c>
      <c r="G22" s="85">
        <f>SUMIFS('LANÇAMENTOS'!$H:$H,'LANÇAMENTOS'!$E:$E,"ENTRADA",'LANÇAMENTOS'!$G:$G,$E22)</f>
        <v>2</v>
      </c>
      <c r="H22" s="85">
        <f>SUMIFS('LANÇAMENTOS'!$H:$H,'LANÇAMENTOS'!$E:$E,"SAIDA",'LANÇAMENTOS'!$G:$G,$E22)</f>
        <v>2</v>
      </c>
      <c r="I22" s="86"/>
      <c r="J22" s="87">
        <f t="shared" si="2"/>
        <v>0</v>
      </c>
      <c r="K22" s="76"/>
      <c r="L22" s="76"/>
      <c r="M22" s="76"/>
      <c r="N22" s="76"/>
      <c r="O22" s="76"/>
      <c r="P22" s="76"/>
      <c r="Q22" s="76"/>
      <c r="R22" s="76"/>
      <c r="S22" s="76"/>
      <c r="T22" s="76"/>
      <c r="U22" s="76"/>
      <c r="V22" s="76"/>
      <c r="W22" s="76"/>
      <c r="X22" s="76"/>
      <c r="Y22" s="76"/>
      <c r="Z22" s="76"/>
      <c r="AA22" s="76"/>
    </row>
    <row r="23">
      <c r="A23" s="76"/>
      <c r="B23" s="76"/>
      <c r="C23" s="77"/>
      <c r="D23" s="82" t="s">
        <v>103</v>
      </c>
      <c r="E23" s="99" t="s">
        <v>111</v>
      </c>
      <c r="F23" s="84">
        <f t="shared" si="1"/>
        <v>0</v>
      </c>
      <c r="G23" s="91">
        <f>SUMIFS('LANÇAMENTOS'!$H:$H,'LANÇAMENTOS'!$E:$E,"ENTRADA",'LANÇAMENTOS'!$G:$G,$E23)</f>
        <v>0</v>
      </c>
      <c r="H23" s="91">
        <f>SUMIFS('LANÇAMENTOS'!$H:$H,'LANÇAMENTOS'!$E:$E,"SAIDA",'LANÇAMENTOS'!$G:$G,$E23)</f>
        <v>0</v>
      </c>
      <c r="I23" s="92"/>
      <c r="J23" s="93">
        <f t="shared" si="2"/>
        <v>0</v>
      </c>
      <c r="K23" s="76"/>
      <c r="L23" s="76"/>
      <c r="M23" s="76"/>
      <c r="N23" s="76"/>
      <c r="O23" s="76"/>
      <c r="P23" s="76"/>
      <c r="Q23" s="76"/>
      <c r="R23" s="76"/>
      <c r="S23" s="76"/>
      <c r="T23" s="76"/>
      <c r="U23" s="76"/>
      <c r="V23" s="76"/>
      <c r="W23" s="76"/>
      <c r="X23" s="76"/>
      <c r="Y23" s="76"/>
      <c r="Z23" s="76"/>
      <c r="AA23" s="76"/>
    </row>
    <row r="24">
      <c r="A24" s="76"/>
      <c r="B24" s="76"/>
      <c r="C24" s="77"/>
      <c r="D24" s="82" t="s">
        <v>103</v>
      </c>
      <c r="E24" s="100" t="s">
        <v>112</v>
      </c>
      <c r="F24" s="84">
        <f t="shared" si="1"/>
        <v>1</v>
      </c>
      <c r="G24" s="85">
        <f>SUMIFS('LANÇAMENTOS'!$H:$H,'LANÇAMENTOS'!$E:$E,"ENTRADA",'LANÇAMENTOS'!$G:$G,$E24)</f>
        <v>1</v>
      </c>
      <c r="H24" s="85">
        <f>SUMIFS('LANÇAMENTOS'!$H:$H,'LANÇAMENTOS'!$E:$E,"SAIDA",'LANÇAMENTOS'!$G:$G,$E24)</f>
        <v>0</v>
      </c>
      <c r="I24" s="86"/>
      <c r="J24" s="87">
        <f t="shared" si="2"/>
        <v>0</v>
      </c>
      <c r="K24" s="76"/>
      <c r="L24" s="76"/>
      <c r="M24" s="76"/>
      <c r="N24" s="76"/>
      <c r="O24" s="76"/>
      <c r="P24" s="76"/>
      <c r="Q24" s="76"/>
      <c r="R24" s="76"/>
      <c r="S24" s="76"/>
      <c r="T24" s="76"/>
      <c r="U24" s="76"/>
      <c r="V24" s="76"/>
      <c r="W24" s="76"/>
      <c r="X24" s="76"/>
      <c r="Y24" s="76"/>
      <c r="Z24" s="76"/>
      <c r="AA24" s="76"/>
    </row>
    <row r="25">
      <c r="A25" s="76"/>
      <c r="B25" s="76"/>
      <c r="C25" s="77"/>
      <c r="D25" s="82" t="s">
        <v>103</v>
      </c>
      <c r="E25" s="100" t="s">
        <v>113</v>
      </c>
      <c r="F25" s="84">
        <f t="shared" si="1"/>
        <v>0</v>
      </c>
      <c r="G25" s="91">
        <f>SUMIFS('LANÇAMENTOS'!$H:$H,'LANÇAMENTOS'!$E:$E,"ENTRADA",'LANÇAMENTOS'!$G:$G,$E25)</f>
        <v>4</v>
      </c>
      <c r="H25" s="91">
        <f>SUMIFS('LANÇAMENTOS'!$H:$H,'LANÇAMENTOS'!$E:$E,"SAIDA",'LANÇAMENTOS'!$G:$G,$E25)</f>
        <v>4</v>
      </c>
      <c r="I25" s="92"/>
      <c r="J25" s="93">
        <f t="shared" si="2"/>
        <v>0</v>
      </c>
      <c r="K25" s="76"/>
      <c r="L25" s="76"/>
      <c r="M25" s="76"/>
      <c r="N25" s="76"/>
      <c r="O25" s="76"/>
      <c r="P25" s="76"/>
      <c r="Q25" s="76"/>
      <c r="R25" s="76"/>
      <c r="S25" s="76"/>
      <c r="T25" s="76"/>
      <c r="U25" s="76"/>
      <c r="V25" s="76"/>
      <c r="W25" s="76"/>
      <c r="X25" s="76"/>
      <c r="Y25" s="76"/>
      <c r="Z25" s="76"/>
      <c r="AA25" s="76"/>
    </row>
    <row r="26">
      <c r="A26" s="76"/>
      <c r="B26" s="76"/>
      <c r="C26" s="77"/>
      <c r="D26" s="82" t="s">
        <v>103</v>
      </c>
      <c r="E26" s="100" t="s">
        <v>114</v>
      </c>
      <c r="F26" s="84">
        <f t="shared" si="1"/>
        <v>0</v>
      </c>
      <c r="G26" s="85">
        <f>SUMIFS('LANÇAMENTOS'!$H:$H,'LANÇAMENTOS'!$E:$E,"ENTRADA",'LANÇAMENTOS'!$G:$G,$E26)</f>
        <v>0</v>
      </c>
      <c r="H26" s="85">
        <f>SUMIFS('LANÇAMENTOS'!$H:$H,'LANÇAMENTOS'!$E:$E,"SAIDA",'LANÇAMENTOS'!$G:$G,$E26)</f>
        <v>0</v>
      </c>
      <c r="I26" s="86"/>
      <c r="J26" s="87">
        <f t="shared" si="2"/>
        <v>0</v>
      </c>
      <c r="K26" s="76"/>
      <c r="L26" s="76"/>
      <c r="M26" s="76"/>
      <c r="N26" s="76"/>
      <c r="O26" s="76"/>
      <c r="P26" s="76"/>
      <c r="Q26" s="76"/>
      <c r="R26" s="76"/>
      <c r="S26" s="76"/>
      <c r="T26" s="76"/>
      <c r="U26" s="76"/>
      <c r="V26" s="76"/>
      <c r="W26" s="76"/>
      <c r="X26" s="76"/>
      <c r="Y26" s="76"/>
      <c r="Z26" s="76"/>
      <c r="AA26" s="76"/>
    </row>
    <row r="27">
      <c r="A27" s="76"/>
      <c r="B27" s="76"/>
      <c r="C27" s="77"/>
      <c r="D27" s="82" t="s">
        <v>103</v>
      </c>
      <c r="E27" s="100" t="s">
        <v>115</v>
      </c>
      <c r="F27" s="84">
        <f t="shared" si="1"/>
        <v>1</v>
      </c>
      <c r="G27" s="91">
        <f>SUMIFS('LANÇAMENTOS'!$H:$H,'LANÇAMENTOS'!$E:$E,"ENTRADA",'LANÇAMENTOS'!$G:$G,$E27)</f>
        <v>3</v>
      </c>
      <c r="H27" s="91">
        <f>SUMIFS('LANÇAMENTOS'!$H:$H,'LANÇAMENTOS'!$E:$E,"SAIDA",'LANÇAMENTOS'!$G:$G,$E27)</f>
        <v>2</v>
      </c>
      <c r="I27" s="92"/>
      <c r="J27" s="93">
        <f t="shared" si="2"/>
        <v>0</v>
      </c>
      <c r="K27" s="76"/>
      <c r="L27" s="76"/>
      <c r="M27" s="76"/>
      <c r="N27" s="76"/>
      <c r="O27" s="76"/>
      <c r="P27" s="76"/>
      <c r="Q27" s="76"/>
      <c r="R27" s="76"/>
      <c r="S27" s="76"/>
      <c r="T27" s="76"/>
      <c r="U27" s="76"/>
      <c r="V27" s="76"/>
      <c r="W27" s="76"/>
      <c r="X27" s="76"/>
      <c r="Y27" s="76"/>
      <c r="Z27" s="76"/>
      <c r="AA27" s="76"/>
    </row>
    <row r="28">
      <c r="A28" s="76"/>
      <c r="B28" s="76"/>
      <c r="C28" s="77"/>
      <c r="D28" s="82" t="s">
        <v>103</v>
      </c>
      <c r="E28" s="100" t="s">
        <v>116</v>
      </c>
      <c r="F28" s="84">
        <f t="shared" si="1"/>
        <v>0</v>
      </c>
      <c r="G28" s="85">
        <f>SUMIFS('LANÇAMENTOS'!$H:$H,'LANÇAMENTOS'!$E:$E,"ENTRADA",'LANÇAMENTOS'!$G:$G,$E28)</f>
        <v>0</v>
      </c>
      <c r="H28" s="85">
        <f>SUMIFS('LANÇAMENTOS'!$H:$H,'LANÇAMENTOS'!$E:$E,"SAIDA",'LANÇAMENTOS'!$G:$G,$E28)</f>
        <v>0</v>
      </c>
      <c r="I28" s="101"/>
      <c r="J28" s="87">
        <f t="shared" si="2"/>
        <v>0</v>
      </c>
      <c r="K28" s="76"/>
      <c r="L28" s="76"/>
      <c r="M28" s="76"/>
      <c r="N28" s="76"/>
      <c r="O28" s="76"/>
      <c r="P28" s="76"/>
      <c r="Q28" s="76"/>
      <c r="R28" s="76"/>
      <c r="S28" s="76"/>
      <c r="T28" s="76"/>
      <c r="U28" s="76"/>
      <c r="V28" s="76"/>
      <c r="W28" s="76"/>
      <c r="X28" s="76"/>
      <c r="Y28" s="76"/>
      <c r="Z28" s="76"/>
      <c r="AA28" s="76"/>
    </row>
    <row r="29">
      <c r="A29" s="76"/>
      <c r="B29" s="76"/>
      <c r="C29" s="77"/>
      <c r="D29" s="82" t="s">
        <v>103</v>
      </c>
      <c r="E29" s="100" t="s">
        <v>117</v>
      </c>
      <c r="F29" s="84">
        <f t="shared" si="1"/>
        <v>20</v>
      </c>
      <c r="G29" s="91">
        <f>SUMIFS('LANÇAMENTOS'!$H:$H,'LANÇAMENTOS'!$E:$E,"ENTRADA",'LANÇAMENTOS'!$G:$G,$E29)</f>
        <v>23</v>
      </c>
      <c r="H29" s="91">
        <f>SUMIFS('LANÇAMENTOS'!$H:$H,'LANÇAMENTOS'!$E:$E,"SAIDA",'LANÇAMENTOS'!$G:$G,$E29)</f>
        <v>3</v>
      </c>
      <c r="I29" s="102">
        <v>27.61</v>
      </c>
      <c r="J29" s="93">
        <f t="shared" si="2"/>
        <v>552.2</v>
      </c>
      <c r="K29" s="76"/>
      <c r="L29" s="76"/>
      <c r="M29" s="76"/>
      <c r="N29" s="76"/>
      <c r="O29" s="76"/>
      <c r="P29" s="76"/>
      <c r="Q29" s="76"/>
      <c r="R29" s="76"/>
      <c r="S29" s="76"/>
      <c r="T29" s="76"/>
      <c r="U29" s="76"/>
      <c r="V29" s="76"/>
      <c r="W29" s="76"/>
      <c r="X29" s="76"/>
      <c r="Y29" s="76"/>
      <c r="Z29" s="76"/>
      <c r="AA29" s="76"/>
    </row>
    <row r="30">
      <c r="A30" s="76"/>
      <c r="B30" s="76"/>
      <c r="C30" s="77"/>
      <c r="D30" s="82" t="s">
        <v>103</v>
      </c>
      <c r="E30" s="100" t="s">
        <v>118</v>
      </c>
      <c r="F30" s="84">
        <f t="shared" si="1"/>
        <v>13</v>
      </c>
      <c r="G30" s="85">
        <f>SUMIFS('LANÇAMENTOS'!$H:$H,'LANÇAMENTOS'!$E:$E,"ENTRADA",'LANÇAMENTOS'!$G:$G,$E30)</f>
        <v>13</v>
      </c>
      <c r="H30" s="85">
        <f>SUMIFS('LANÇAMENTOS'!$H:$H,'LANÇAMENTOS'!$E:$E,"SAIDA",'LANÇAMENTOS'!$G:$G,$E30)</f>
        <v>0</v>
      </c>
      <c r="I30" s="103">
        <v>14.63</v>
      </c>
      <c r="J30" s="87">
        <f t="shared" si="2"/>
        <v>190.19</v>
      </c>
      <c r="K30" s="76"/>
      <c r="L30" s="76"/>
      <c r="M30" s="76"/>
      <c r="N30" s="76"/>
      <c r="O30" s="76"/>
      <c r="P30" s="76"/>
      <c r="Q30" s="76"/>
      <c r="R30" s="76"/>
      <c r="S30" s="76"/>
      <c r="T30" s="76"/>
      <c r="U30" s="76"/>
      <c r="V30" s="76"/>
      <c r="W30" s="76"/>
      <c r="X30" s="76"/>
      <c r="Y30" s="76"/>
      <c r="Z30" s="76"/>
      <c r="AA30" s="76"/>
    </row>
    <row r="31">
      <c r="A31" s="76"/>
      <c r="B31" s="76"/>
      <c r="C31" s="77"/>
      <c r="D31" s="82" t="s">
        <v>103</v>
      </c>
      <c r="E31" s="100" t="s">
        <v>119</v>
      </c>
      <c r="F31" s="84">
        <f t="shared" si="1"/>
        <v>17</v>
      </c>
      <c r="G31" s="91">
        <f>SUMIFS('LANÇAMENTOS'!$H:$H,'LANÇAMENTOS'!$E:$E,"ENTRADA",'LANÇAMENTOS'!$G:$G,$E31)</f>
        <v>20</v>
      </c>
      <c r="H31" s="91">
        <f>SUMIFS('LANÇAMENTOS'!$H:$H,'LANÇAMENTOS'!$E:$E,"SAIDA",'LANÇAMENTOS'!$G:$G,$E31)</f>
        <v>3</v>
      </c>
      <c r="I31" s="102">
        <v>30.83</v>
      </c>
      <c r="J31" s="93">
        <f t="shared" si="2"/>
        <v>524.11</v>
      </c>
      <c r="K31" s="76"/>
      <c r="L31" s="76"/>
      <c r="M31" s="76"/>
      <c r="N31" s="76"/>
      <c r="O31" s="76"/>
      <c r="P31" s="76"/>
      <c r="Q31" s="76"/>
      <c r="R31" s="76"/>
      <c r="S31" s="76"/>
      <c r="T31" s="76"/>
      <c r="U31" s="76"/>
      <c r="V31" s="76"/>
      <c r="W31" s="76"/>
      <c r="X31" s="76"/>
      <c r="Y31" s="76"/>
      <c r="Z31" s="76"/>
      <c r="AA31" s="76"/>
    </row>
    <row r="32">
      <c r="A32" s="76"/>
      <c r="B32" s="76"/>
      <c r="C32" s="77"/>
      <c r="D32" s="82" t="s">
        <v>103</v>
      </c>
      <c r="E32" s="100" t="s">
        <v>120</v>
      </c>
      <c r="F32" s="84">
        <f t="shared" si="1"/>
        <v>12</v>
      </c>
      <c r="G32" s="85">
        <f>SUMIFS('LANÇAMENTOS'!$H:$H,'LANÇAMENTOS'!$E:$E,"ENTRADA",'LANÇAMENTOS'!$G:$G,$E32)</f>
        <v>15</v>
      </c>
      <c r="H32" s="85">
        <f>SUMIFS('LANÇAMENTOS'!$H:$H,'LANÇAMENTOS'!$E:$E,"SAIDA",'LANÇAMENTOS'!$G:$G,$E32)</f>
        <v>3</v>
      </c>
      <c r="I32" s="103">
        <v>25.03</v>
      </c>
      <c r="J32" s="87">
        <f t="shared" si="2"/>
        <v>300.36</v>
      </c>
      <c r="K32" s="76"/>
      <c r="L32" s="76"/>
      <c r="M32" s="76"/>
      <c r="N32" s="76"/>
      <c r="O32" s="76"/>
      <c r="P32" s="76"/>
      <c r="Q32" s="76"/>
      <c r="R32" s="76"/>
      <c r="S32" s="76"/>
      <c r="T32" s="76"/>
      <c r="U32" s="76"/>
      <c r="V32" s="76"/>
      <c r="W32" s="76"/>
      <c r="X32" s="76"/>
      <c r="Y32" s="76"/>
      <c r="Z32" s="76"/>
      <c r="AA32" s="76"/>
    </row>
    <row r="33">
      <c r="A33" s="76"/>
      <c r="B33" s="76"/>
      <c r="C33" s="77"/>
      <c r="D33" s="82" t="s">
        <v>103</v>
      </c>
      <c r="E33" s="100" t="s">
        <v>121</v>
      </c>
      <c r="F33" s="84">
        <f t="shared" si="1"/>
        <v>0</v>
      </c>
      <c r="G33" s="91">
        <f>SUMIFS('LANÇAMENTOS'!$H:$H,'LANÇAMENTOS'!$E:$E,"ENTRADA",'LANÇAMENTOS'!$G:$G,$E33)</f>
        <v>0</v>
      </c>
      <c r="H33" s="91">
        <f>SUMIFS('LANÇAMENTOS'!$H:$H,'LANÇAMENTOS'!$E:$E,"SAIDA",'LANÇAMENTOS'!$G:$G,$E33)</f>
        <v>0</v>
      </c>
      <c r="I33" s="102">
        <v>49.61</v>
      </c>
      <c r="J33" s="93">
        <f t="shared" si="2"/>
        <v>0</v>
      </c>
      <c r="K33" s="76"/>
      <c r="L33" s="76"/>
      <c r="M33" s="76"/>
      <c r="N33" s="76"/>
      <c r="O33" s="76"/>
      <c r="P33" s="76"/>
      <c r="Q33" s="76"/>
      <c r="R33" s="76"/>
      <c r="S33" s="76"/>
      <c r="T33" s="76"/>
      <c r="U33" s="76"/>
      <c r="V33" s="76"/>
      <c r="W33" s="76"/>
      <c r="X33" s="76"/>
      <c r="Y33" s="76"/>
      <c r="Z33" s="76"/>
      <c r="AA33" s="76"/>
    </row>
    <row r="34">
      <c r="A34" s="76"/>
      <c r="B34" s="76"/>
      <c r="C34" s="77"/>
      <c r="D34" s="82" t="s">
        <v>103</v>
      </c>
      <c r="E34" s="99" t="s">
        <v>122</v>
      </c>
      <c r="F34" s="84">
        <f t="shared" si="1"/>
        <v>13</v>
      </c>
      <c r="G34" s="85">
        <f>SUMIFS('LANÇAMENTOS'!$H:$H,'LANÇAMENTOS'!$E:$E,"ENTRADA",'LANÇAMENTOS'!$G:$G,$E34)</f>
        <v>13</v>
      </c>
      <c r="H34" s="85">
        <f>SUMIFS('LANÇAMENTOS'!$H:$H,'LANÇAMENTOS'!$E:$E,"SAIDA",'LANÇAMENTOS'!$G:$G,$E34)</f>
        <v>0</v>
      </c>
      <c r="I34" s="86"/>
      <c r="J34" s="87">
        <f t="shared" si="2"/>
        <v>0</v>
      </c>
      <c r="K34" s="76"/>
      <c r="L34" s="76"/>
      <c r="M34" s="76"/>
      <c r="N34" s="76"/>
      <c r="O34" s="76"/>
      <c r="P34" s="76"/>
      <c r="Q34" s="76"/>
      <c r="R34" s="76"/>
      <c r="S34" s="76"/>
      <c r="T34" s="76"/>
      <c r="U34" s="76"/>
      <c r="V34" s="76"/>
      <c r="W34" s="76"/>
      <c r="X34" s="76"/>
      <c r="Y34" s="76"/>
      <c r="Z34" s="76"/>
      <c r="AA34" s="76"/>
    </row>
    <row r="35">
      <c r="A35" s="76"/>
      <c r="B35" s="76"/>
      <c r="C35" s="77"/>
      <c r="D35" s="82" t="s">
        <v>103</v>
      </c>
      <c r="E35" s="99" t="s">
        <v>123</v>
      </c>
      <c r="F35" s="84">
        <f t="shared" si="1"/>
        <v>6</v>
      </c>
      <c r="G35" s="91">
        <f>SUMIFS('LANÇAMENTOS'!$H:$H,'LANÇAMENTOS'!$E:$E,"ENTRADA",'LANÇAMENTOS'!$G:$G,$E35)</f>
        <v>6</v>
      </c>
      <c r="H35" s="91">
        <f>SUMIFS('LANÇAMENTOS'!$H:$H,'LANÇAMENTOS'!$E:$E,"SAIDA",'LANÇAMENTOS'!$G:$G,$E35)</f>
        <v>0</v>
      </c>
      <c r="I35" s="92"/>
      <c r="J35" s="93">
        <f t="shared" si="2"/>
        <v>0</v>
      </c>
      <c r="K35" s="76"/>
      <c r="L35" s="76"/>
      <c r="M35" s="76"/>
      <c r="N35" s="76"/>
      <c r="O35" s="76"/>
      <c r="P35" s="76"/>
      <c r="Q35" s="76"/>
      <c r="R35" s="76"/>
      <c r="S35" s="76"/>
      <c r="T35" s="76"/>
      <c r="U35" s="76"/>
      <c r="V35" s="76"/>
      <c r="W35" s="76"/>
      <c r="X35" s="76"/>
      <c r="Y35" s="76"/>
      <c r="Z35" s="76"/>
      <c r="AA35" s="76"/>
    </row>
    <row r="36">
      <c r="A36" s="76"/>
      <c r="B36" s="76"/>
      <c r="C36" s="77"/>
      <c r="D36" s="82" t="s">
        <v>103</v>
      </c>
      <c r="E36" s="99" t="s">
        <v>124</v>
      </c>
      <c r="F36" s="84">
        <f t="shared" si="1"/>
        <v>4</v>
      </c>
      <c r="G36" s="85">
        <f>SUMIFS('LANÇAMENTOS'!$H:$H,'LANÇAMENTOS'!$E:$E,"ENTRADA",'LANÇAMENTOS'!$G:$G,$E36)</f>
        <v>7</v>
      </c>
      <c r="H36" s="85">
        <f>SUMIFS('LANÇAMENTOS'!$H:$H,'LANÇAMENTOS'!$E:$E,"SAIDA",'LANÇAMENTOS'!$G:$G,$E36)</f>
        <v>3</v>
      </c>
      <c r="I36" s="86"/>
      <c r="J36" s="87">
        <f t="shared" si="2"/>
        <v>0</v>
      </c>
      <c r="K36" s="76"/>
      <c r="L36" s="76"/>
      <c r="M36" s="76"/>
      <c r="N36" s="76"/>
      <c r="O36" s="76"/>
      <c r="P36" s="76"/>
      <c r="Q36" s="76"/>
      <c r="R36" s="76"/>
      <c r="S36" s="76"/>
      <c r="T36" s="76"/>
      <c r="U36" s="76"/>
      <c r="V36" s="76"/>
      <c r="W36" s="76"/>
      <c r="X36" s="76"/>
      <c r="Y36" s="76"/>
      <c r="Z36" s="76"/>
      <c r="AA36" s="76"/>
    </row>
    <row r="37">
      <c r="A37" s="76"/>
      <c r="B37" s="76"/>
      <c r="C37" s="77"/>
      <c r="D37" s="82" t="s">
        <v>103</v>
      </c>
      <c r="E37" s="99" t="s">
        <v>125</v>
      </c>
      <c r="F37" s="84">
        <f t="shared" si="1"/>
        <v>20</v>
      </c>
      <c r="G37" s="91">
        <f>SUMIFS('LANÇAMENTOS'!$H:$H,'LANÇAMENTOS'!$E:$E,"ENTRADA",'LANÇAMENTOS'!$G:$G,$E37)</f>
        <v>21</v>
      </c>
      <c r="H37" s="91">
        <f>SUMIFS('LANÇAMENTOS'!$H:$H,'LANÇAMENTOS'!$E:$E,"SAIDA",'LANÇAMENTOS'!$G:$G,$E37)</f>
        <v>1</v>
      </c>
      <c r="I37" s="92"/>
      <c r="J37" s="93">
        <f t="shared" si="2"/>
        <v>0</v>
      </c>
      <c r="K37" s="76"/>
      <c r="L37" s="76"/>
      <c r="M37" s="76"/>
      <c r="N37" s="76"/>
      <c r="O37" s="76"/>
      <c r="P37" s="76"/>
      <c r="Q37" s="76"/>
      <c r="R37" s="76"/>
      <c r="S37" s="76"/>
      <c r="T37" s="76"/>
      <c r="U37" s="76"/>
      <c r="V37" s="76"/>
      <c r="W37" s="76"/>
      <c r="X37" s="76"/>
      <c r="Y37" s="76"/>
      <c r="Z37" s="76"/>
      <c r="AA37" s="76"/>
    </row>
    <row r="38">
      <c r="A38" s="76"/>
      <c r="B38" s="76"/>
      <c r="C38" s="77"/>
      <c r="D38" s="82" t="s">
        <v>103</v>
      </c>
      <c r="E38" s="99" t="s">
        <v>126</v>
      </c>
      <c r="F38" s="84">
        <f t="shared" si="1"/>
        <v>5</v>
      </c>
      <c r="G38" s="85">
        <f>SUMIFS('LANÇAMENTOS'!$H:$H,'LANÇAMENTOS'!$E:$E,"ENTRADA",'LANÇAMENTOS'!$G:$G,$E38)</f>
        <v>6</v>
      </c>
      <c r="H38" s="85">
        <f>SUMIFS('LANÇAMENTOS'!$H:$H,'LANÇAMENTOS'!$E:$E,"SAIDA",'LANÇAMENTOS'!$G:$G,$E38)</f>
        <v>1</v>
      </c>
      <c r="I38" s="86"/>
      <c r="J38" s="87">
        <f t="shared" si="2"/>
        <v>0</v>
      </c>
      <c r="K38" s="76"/>
      <c r="L38" s="76"/>
      <c r="M38" s="76"/>
      <c r="N38" s="76"/>
      <c r="O38" s="76"/>
      <c r="P38" s="76"/>
      <c r="Q38" s="76"/>
      <c r="R38" s="76"/>
      <c r="S38" s="76"/>
      <c r="T38" s="76"/>
      <c r="U38" s="76"/>
      <c r="V38" s="76"/>
      <c r="W38" s="76"/>
      <c r="X38" s="76"/>
      <c r="Y38" s="76"/>
      <c r="Z38" s="76"/>
      <c r="AA38" s="76"/>
    </row>
    <row r="39">
      <c r="A39" s="76"/>
      <c r="B39" s="76"/>
      <c r="C39" s="77"/>
      <c r="D39" s="82" t="s">
        <v>103</v>
      </c>
      <c r="E39" s="99" t="s">
        <v>127</v>
      </c>
      <c r="F39" s="84">
        <f t="shared" si="1"/>
        <v>6</v>
      </c>
      <c r="G39" s="91">
        <f>SUMIFS('LANÇAMENTOS'!$H:$H,'LANÇAMENTOS'!$E:$E,"ENTRADA",'LANÇAMENTOS'!$G:$G,$E39)</f>
        <v>8</v>
      </c>
      <c r="H39" s="91">
        <f>SUMIFS('LANÇAMENTOS'!$H:$H,'LANÇAMENTOS'!$E:$E,"SAIDA",'LANÇAMENTOS'!$G:$G,$E39)</f>
        <v>2</v>
      </c>
      <c r="I39" s="92"/>
      <c r="J39" s="93">
        <f t="shared" si="2"/>
        <v>0</v>
      </c>
      <c r="K39" s="76"/>
      <c r="L39" s="76"/>
      <c r="M39" s="76"/>
      <c r="N39" s="76"/>
      <c r="O39" s="76"/>
      <c r="P39" s="76"/>
      <c r="Q39" s="76"/>
      <c r="R39" s="76"/>
      <c r="S39" s="76"/>
      <c r="T39" s="76"/>
      <c r="U39" s="76"/>
      <c r="V39" s="76"/>
      <c r="W39" s="76"/>
      <c r="X39" s="76"/>
      <c r="Y39" s="76"/>
      <c r="Z39" s="76"/>
      <c r="AA39" s="76"/>
    </row>
    <row r="40">
      <c r="A40" s="76"/>
      <c r="B40" s="76"/>
      <c r="C40" s="77"/>
      <c r="D40" s="82" t="s">
        <v>103</v>
      </c>
      <c r="E40" s="99" t="s">
        <v>128</v>
      </c>
      <c r="F40" s="84">
        <f t="shared" si="1"/>
        <v>0.25</v>
      </c>
      <c r="G40" s="85">
        <f>SUMIFS('LANÇAMENTOS'!$H:$H,'LANÇAMENTOS'!$E:$E,"ENTRADA",'LANÇAMENTOS'!$G:$G,$E40)</f>
        <v>0.25</v>
      </c>
      <c r="H40" s="85">
        <f>SUMIFS('LANÇAMENTOS'!$H:$H,'LANÇAMENTOS'!$E:$E,"SAIDA",'LANÇAMENTOS'!$G:$G,$E40)</f>
        <v>0</v>
      </c>
      <c r="I40" s="86"/>
      <c r="J40" s="87">
        <f t="shared" si="2"/>
        <v>0</v>
      </c>
      <c r="K40" s="76"/>
      <c r="L40" s="76"/>
      <c r="M40" s="76"/>
      <c r="N40" s="76"/>
      <c r="O40" s="76"/>
      <c r="P40" s="76"/>
      <c r="Q40" s="76"/>
      <c r="R40" s="76"/>
      <c r="S40" s="76"/>
      <c r="T40" s="76"/>
      <c r="U40" s="76"/>
      <c r="V40" s="76"/>
      <c r="W40" s="76"/>
      <c r="X40" s="76"/>
      <c r="Y40" s="76"/>
      <c r="Z40" s="76"/>
      <c r="AA40" s="76"/>
    </row>
    <row r="41">
      <c r="A41" s="76"/>
      <c r="B41" s="76"/>
      <c r="C41" s="77"/>
      <c r="D41" s="82" t="s">
        <v>103</v>
      </c>
      <c r="E41" s="99" t="s">
        <v>129</v>
      </c>
      <c r="F41" s="84">
        <f t="shared" si="1"/>
        <v>6</v>
      </c>
      <c r="G41" s="91">
        <f>SUMIFS('LANÇAMENTOS'!$H:$H,'LANÇAMENTOS'!$E:$E,"ENTRADA",'LANÇAMENTOS'!$G:$G,$E41)</f>
        <v>6</v>
      </c>
      <c r="H41" s="91">
        <f>SUMIFS('LANÇAMENTOS'!$H:$H,'LANÇAMENTOS'!$E:$E,"SAIDA",'LANÇAMENTOS'!$G:$G,$E41)</f>
        <v>0</v>
      </c>
      <c r="I41" s="92"/>
      <c r="J41" s="93">
        <f t="shared" si="2"/>
        <v>0</v>
      </c>
      <c r="K41" s="76"/>
      <c r="L41" s="76"/>
      <c r="M41" s="76"/>
      <c r="N41" s="76"/>
      <c r="O41" s="76"/>
      <c r="P41" s="76"/>
      <c r="Q41" s="76"/>
      <c r="R41" s="76"/>
      <c r="S41" s="76"/>
      <c r="T41" s="76"/>
      <c r="U41" s="76"/>
      <c r="V41" s="76"/>
      <c r="W41" s="76"/>
      <c r="X41" s="76"/>
      <c r="Y41" s="76"/>
      <c r="Z41" s="76"/>
      <c r="AA41" s="76"/>
    </row>
    <row r="42">
      <c r="A42" s="76"/>
      <c r="B42" s="76"/>
      <c r="C42" s="77"/>
      <c r="D42" s="82" t="s">
        <v>103</v>
      </c>
      <c r="E42" s="99" t="s">
        <v>130</v>
      </c>
      <c r="F42" s="84">
        <f t="shared" si="1"/>
        <v>6</v>
      </c>
      <c r="G42" s="85">
        <f>SUMIFS('LANÇAMENTOS'!$H:$H,'LANÇAMENTOS'!$E:$E,"ENTRADA",'LANÇAMENTOS'!$G:$G,$E42)</f>
        <v>6</v>
      </c>
      <c r="H42" s="85">
        <f>SUMIFS('LANÇAMENTOS'!$H:$H,'LANÇAMENTOS'!$E:$E,"SAIDA",'LANÇAMENTOS'!$G:$G,$E42)</f>
        <v>0</v>
      </c>
      <c r="I42" s="86"/>
      <c r="J42" s="87">
        <f t="shared" si="2"/>
        <v>0</v>
      </c>
      <c r="K42" s="76"/>
      <c r="L42" s="76"/>
      <c r="M42" s="76"/>
      <c r="N42" s="76"/>
      <c r="O42" s="76"/>
      <c r="P42" s="76"/>
      <c r="Q42" s="76"/>
      <c r="R42" s="76"/>
      <c r="S42" s="76"/>
      <c r="T42" s="76"/>
      <c r="U42" s="76"/>
      <c r="V42" s="76"/>
      <c r="W42" s="76"/>
      <c r="X42" s="76"/>
      <c r="Y42" s="76"/>
      <c r="Z42" s="76"/>
      <c r="AA42" s="76"/>
    </row>
    <row r="43">
      <c r="A43" s="76"/>
      <c r="B43" s="76"/>
      <c r="C43" s="77"/>
      <c r="D43" s="82" t="s">
        <v>103</v>
      </c>
      <c r="E43" s="99" t="s">
        <v>131</v>
      </c>
      <c r="F43" s="84">
        <f t="shared" si="1"/>
        <v>16</v>
      </c>
      <c r="G43" s="91">
        <f>SUMIFS('LANÇAMENTOS'!$H:$H,'LANÇAMENTOS'!$E:$E,"ENTRADA",'LANÇAMENTOS'!$G:$G,$E43)</f>
        <v>16</v>
      </c>
      <c r="H43" s="91">
        <f>SUMIFS('LANÇAMENTOS'!$H:$H,'LANÇAMENTOS'!$E:$E,"SAIDA",'LANÇAMENTOS'!$G:$G,$E43)</f>
        <v>0</v>
      </c>
      <c r="I43" s="92"/>
      <c r="J43" s="93">
        <f t="shared" si="2"/>
        <v>0</v>
      </c>
      <c r="K43" s="76"/>
      <c r="L43" s="76"/>
      <c r="M43" s="76"/>
      <c r="N43" s="76"/>
      <c r="O43" s="76"/>
      <c r="P43" s="76"/>
      <c r="Q43" s="76"/>
      <c r="R43" s="76"/>
      <c r="S43" s="76"/>
      <c r="T43" s="76"/>
      <c r="U43" s="76"/>
      <c r="V43" s="76"/>
      <c r="W43" s="76"/>
      <c r="X43" s="76"/>
      <c r="Y43" s="76"/>
      <c r="Z43" s="76"/>
      <c r="AA43" s="76"/>
    </row>
    <row r="44">
      <c r="A44" s="76"/>
      <c r="B44" s="76"/>
      <c r="C44" s="77"/>
      <c r="D44" s="82" t="s">
        <v>103</v>
      </c>
      <c r="E44" s="99" t="s">
        <v>132</v>
      </c>
      <c r="F44" s="84">
        <f t="shared" si="1"/>
        <v>4</v>
      </c>
      <c r="G44" s="85">
        <f>SUMIFS('LANÇAMENTOS'!$H:$H,'LANÇAMENTOS'!$E:$E,"ENTRADA",'LANÇAMENTOS'!$G:$G,$E44)</f>
        <v>4</v>
      </c>
      <c r="H44" s="85">
        <f>SUMIFS('LANÇAMENTOS'!$H:$H,'LANÇAMENTOS'!$E:$E,"SAIDA",'LANÇAMENTOS'!$G:$G,$E44)</f>
        <v>0</v>
      </c>
      <c r="I44" s="86"/>
      <c r="J44" s="87">
        <f t="shared" si="2"/>
        <v>0</v>
      </c>
      <c r="K44" s="76"/>
      <c r="L44" s="76"/>
      <c r="M44" s="76"/>
      <c r="N44" s="76"/>
      <c r="O44" s="76"/>
      <c r="P44" s="76"/>
      <c r="Q44" s="76"/>
      <c r="R44" s="76"/>
      <c r="S44" s="76"/>
      <c r="T44" s="76"/>
      <c r="U44" s="76"/>
      <c r="V44" s="76"/>
      <c r="W44" s="76"/>
      <c r="X44" s="76"/>
      <c r="Y44" s="76"/>
      <c r="Z44" s="76"/>
      <c r="AA44" s="76"/>
    </row>
    <row r="45">
      <c r="A45" s="76"/>
      <c r="B45" s="76"/>
      <c r="C45" s="77"/>
      <c r="D45" s="82" t="s">
        <v>103</v>
      </c>
      <c r="E45" s="99" t="s">
        <v>133</v>
      </c>
      <c r="F45" s="84">
        <f t="shared" si="1"/>
        <v>3</v>
      </c>
      <c r="G45" s="91">
        <f>SUMIFS('LANÇAMENTOS'!$H:$H,'LANÇAMENTOS'!$E:$E,"ENTRADA",'LANÇAMENTOS'!$G:$G,$E45)</f>
        <v>3</v>
      </c>
      <c r="H45" s="91">
        <f>SUMIFS('LANÇAMENTOS'!$H:$H,'LANÇAMENTOS'!$E:$E,"SAIDA",'LANÇAMENTOS'!$G:$G,$E45)</f>
        <v>0</v>
      </c>
      <c r="I45" s="92"/>
      <c r="J45" s="93">
        <f t="shared" si="2"/>
        <v>0</v>
      </c>
      <c r="K45" s="76"/>
      <c r="L45" s="76"/>
      <c r="M45" s="76"/>
      <c r="N45" s="76"/>
      <c r="O45" s="76"/>
      <c r="P45" s="76"/>
      <c r="Q45" s="76"/>
      <c r="R45" s="76"/>
      <c r="S45" s="76"/>
      <c r="T45" s="76"/>
      <c r="U45" s="76"/>
      <c r="V45" s="76"/>
      <c r="W45" s="76"/>
      <c r="X45" s="76"/>
      <c r="Y45" s="76"/>
      <c r="Z45" s="76"/>
      <c r="AA45" s="76"/>
    </row>
    <row r="46">
      <c r="A46" s="76"/>
      <c r="B46" s="76"/>
      <c r="C46" s="77"/>
      <c r="D46" s="82" t="s">
        <v>103</v>
      </c>
      <c r="E46" s="99" t="s">
        <v>134</v>
      </c>
      <c r="F46" s="84">
        <f t="shared" si="1"/>
        <v>2</v>
      </c>
      <c r="G46" s="85">
        <f>SUMIFS('LANÇAMENTOS'!$H:$H,'LANÇAMENTOS'!$E:$E,"ENTRADA",'LANÇAMENTOS'!$G:$G,$E46)</f>
        <v>2</v>
      </c>
      <c r="H46" s="85">
        <f>SUMIFS('LANÇAMENTOS'!$H:$H,'LANÇAMENTOS'!$E:$E,"SAIDA",'LANÇAMENTOS'!$G:$G,$E46)</f>
        <v>0</v>
      </c>
      <c r="I46" s="86"/>
      <c r="J46" s="87">
        <f t="shared" si="2"/>
        <v>0</v>
      </c>
      <c r="K46" s="76"/>
      <c r="L46" s="76"/>
      <c r="M46" s="76"/>
      <c r="N46" s="76"/>
      <c r="O46" s="76"/>
      <c r="P46" s="76"/>
      <c r="Q46" s="76"/>
      <c r="R46" s="76"/>
      <c r="S46" s="76"/>
      <c r="T46" s="76"/>
      <c r="U46" s="76"/>
      <c r="V46" s="76"/>
      <c r="W46" s="76"/>
      <c r="X46" s="76"/>
      <c r="Y46" s="76"/>
      <c r="Z46" s="76"/>
      <c r="AA46" s="76"/>
    </row>
    <row r="47">
      <c r="A47" s="76"/>
      <c r="B47" s="76"/>
      <c r="C47" s="77"/>
      <c r="D47" s="82" t="s">
        <v>103</v>
      </c>
      <c r="E47" s="99" t="s">
        <v>135</v>
      </c>
      <c r="F47" s="84">
        <f t="shared" si="1"/>
        <v>1</v>
      </c>
      <c r="G47" s="91">
        <f>SUMIFS('LANÇAMENTOS'!$H:$H,'LANÇAMENTOS'!$E:$E,"ENTRADA",'LANÇAMENTOS'!$G:$G,$E47)</f>
        <v>1</v>
      </c>
      <c r="H47" s="91">
        <f>SUMIFS('LANÇAMENTOS'!$H:$H,'LANÇAMENTOS'!$E:$E,"SAIDA",'LANÇAMENTOS'!$G:$G,$E47)</f>
        <v>0</v>
      </c>
      <c r="I47" s="92"/>
      <c r="J47" s="93">
        <f t="shared" si="2"/>
        <v>0</v>
      </c>
      <c r="K47" s="76"/>
      <c r="L47" s="76"/>
      <c r="M47" s="76"/>
      <c r="N47" s="76"/>
      <c r="O47" s="76"/>
      <c r="P47" s="76"/>
      <c r="Q47" s="76"/>
      <c r="R47" s="76"/>
      <c r="S47" s="76"/>
      <c r="T47" s="76"/>
      <c r="U47" s="76"/>
      <c r="V47" s="76"/>
      <c r="W47" s="76"/>
      <c r="X47" s="76"/>
      <c r="Y47" s="76"/>
      <c r="Z47" s="76"/>
      <c r="AA47" s="76"/>
    </row>
    <row r="48">
      <c r="A48" s="76"/>
      <c r="B48" s="76"/>
      <c r="C48" s="77"/>
      <c r="D48" s="82" t="s">
        <v>103</v>
      </c>
      <c r="E48" s="99" t="s">
        <v>136</v>
      </c>
      <c r="F48" s="84">
        <f t="shared" si="1"/>
        <v>3</v>
      </c>
      <c r="G48" s="85">
        <f>SUMIFS('LANÇAMENTOS'!$H:$H,'LANÇAMENTOS'!$E:$E,"ENTRADA",'LANÇAMENTOS'!$G:$G,$E48)</f>
        <v>5</v>
      </c>
      <c r="H48" s="85">
        <f>SUMIFS('LANÇAMENTOS'!$H:$H,'LANÇAMENTOS'!$E:$E,"SAIDA",'LANÇAMENTOS'!$G:$G,$E48)</f>
        <v>2</v>
      </c>
      <c r="I48" s="86"/>
      <c r="J48" s="87">
        <f t="shared" si="2"/>
        <v>0</v>
      </c>
      <c r="K48" s="76"/>
      <c r="L48" s="76"/>
      <c r="M48" s="76"/>
      <c r="N48" s="76"/>
      <c r="O48" s="76"/>
      <c r="P48" s="76"/>
      <c r="Q48" s="76"/>
      <c r="R48" s="76"/>
      <c r="S48" s="76"/>
      <c r="T48" s="76"/>
      <c r="U48" s="76"/>
      <c r="V48" s="76"/>
      <c r="W48" s="76"/>
      <c r="X48" s="76"/>
      <c r="Y48" s="76"/>
      <c r="Z48" s="76"/>
      <c r="AA48" s="76"/>
    </row>
    <row r="49">
      <c r="A49" s="76"/>
      <c r="B49" s="76"/>
      <c r="C49" s="77"/>
      <c r="D49" s="82" t="s">
        <v>137</v>
      </c>
      <c r="E49" s="99" t="s">
        <v>138</v>
      </c>
      <c r="F49" s="84">
        <f t="shared" si="1"/>
        <v>7</v>
      </c>
      <c r="G49" s="91">
        <f>SUMIFS('LANÇAMENTOS'!$H:$H,'LANÇAMENTOS'!$E:$E,"ENTRADA",'LANÇAMENTOS'!$G:$G,$E49)</f>
        <v>7</v>
      </c>
      <c r="H49" s="91">
        <f>SUMIFS('LANÇAMENTOS'!$H:$H,'LANÇAMENTOS'!$E:$E,"SAIDA",'LANÇAMENTOS'!$G:$G,$E49)</f>
        <v>0</v>
      </c>
      <c r="I49" s="92"/>
      <c r="J49" s="93">
        <f t="shared" si="2"/>
        <v>0</v>
      </c>
      <c r="K49" s="76"/>
      <c r="L49" s="76"/>
      <c r="M49" s="76"/>
      <c r="N49" s="76"/>
      <c r="O49" s="76"/>
      <c r="P49" s="76"/>
      <c r="Q49" s="76"/>
      <c r="R49" s="76"/>
      <c r="S49" s="76"/>
      <c r="T49" s="76"/>
      <c r="U49" s="76"/>
      <c r="V49" s="76"/>
      <c r="W49" s="76"/>
      <c r="X49" s="76"/>
      <c r="Y49" s="76"/>
      <c r="Z49" s="76"/>
      <c r="AA49" s="76"/>
    </row>
    <row r="50">
      <c r="A50" s="76"/>
      <c r="B50" s="76"/>
      <c r="C50" s="77"/>
      <c r="D50" s="82" t="s">
        <v>137</v>
      </c>
      <c r="E50" s="99" t="s">
        <v>139</v>
      </c>
      <c r="F50" s="84">
        <f t="shared" si="1"/>
        <v>1</v>
      </c>
      <c r="G50" s="85">
        <f>SUMIFS('LANÇAMENTOS'!$H:$H,'LANÇAMENTOS'!$E:$E,"ENTRADA",'LANÇAMENTOS'!$G:$G,$E50)</f>
        <v>4</v>
      </c>
      <c r="H50" s="85">
        <f>SUMIFS('LANÇAMENTOS'!$H:$H,'LANÇAMENTOS'!$E:$E,"SAIDA",'LANÇAMENTOS'!$G:$G,$E50)</f>
        <v>3</v>
      </c>
      <c r="I50" s="86"/>
      <c r="J50" s="87">
        <f t="shared" si="2"/>
        <v>0</v>
      </c>
      <c r="K50" s="76"/>
      <c r="L50" s="76"/>
      <c r="M50" s="76"/>
      <c r="N50" s="76"/>
      <c r="O50" s="76"/>
      <c r="P50" s="76"/>
      <c r="Q50" s="76"/>
      <c r="R50" s="76"/>
      <c r="S50" s="76"/>
      <c r="T50" s="76"/>
      <c r="U50" s="76"/>
      <c r="V50" s="76"/>
      <c r="W50" s="76"/>
      <c r="X50" s="76"/>
      <c r="Y50" s="76"/>
      <c r="Z50" s="76"/>
      <c r="AA50" s="76"/>
    </row>
    <row r="51">
      <c r="A51" s="76"/>
      <c r="B51" s="76"/>
      <c r="C51" s="77"/>
      <c r="D51" s="82" t="s">
        <v>140</v>
      </c>
      <c r="E51" s="99" t="s">
        <v>141</v>
      </c>
      <c r="F51" s="84">
        <f t="shared" si="1"/>
        <v>0</v>
      </c>
      <c r="G51" s="91">
        <f>SUMIFS('LANÇAMENTOS'!$H:$H,'LANÇAMENTOS'!$E:$E,"ENTRADA",'LANÇAMENTOS'!$G:$G,$E51)</f>
        <v>29</v>
      </c>
      <c r="H51" s="91">
        <f>SUMIFS('LANÇAMENTOS'!$H:$H,'LANÇAMENTOS'!$E:$E,"SAIDA",'LANÇAMENTOS'!$G:$G,$E51)</f>
        <v>29</v>
      </c>
      <c r="I51" s="104">
        <v>228.74</v>
      </c>
      <c r="J51" s="93">
        <f t="shared" si="2"/>
        <v>0</v>
      </c>
      <c r="K51" s="76"/>
      <c r="L51" s="76"/>
      <c r="M51" s="76"/>
      <c r="N51" s="76"/>
      <c r="O51" s="76"/>
      <c r="P51" s="76"/>
      <c r="Q51" s="76"/>
      <c r="R51" s="76"/>
      <c r="S51" s="76"/>
      <c r="T51" s="76"/>
      <c r="U51" s="76"/>
      <c r="V51" s="76"/>
      <c r="W51" s="76"/>
      <c r="X51" s="76"/>
      <c r="Y51" s="76"/>
      <c r="Z51" s="76"/>
      <c r="AA51" s="76"/>
    </row>
    <row r="52">
      <c r="A52" s="76"/>
      <c r="B52" s="76"/>
      <c r="C52" s="77"/>
      <c r="D52" s="82" t="s">
        <v>140</v>
      </c>
      <c r="E52" s="99" t="s">
        <v>142</v>
      </c>
      <c r="F52" s="84">
        <f t="shared" si="1"/>
        <v>0</v>
      </c>
      <c r="G52" s="85">
        <f>SUMIFS('LANÇAMENTOS'!$H:$H,'LANÇAMENTOS'!$E:$E,"ENTRADA",'LANÇAMENTOS'!$G:$G,$E52)</f>
        <v>1</v>
      </c>
      <c r="H52" s="85">
        <f>SUMIFS('LANÇAMENTOS'!$H:$H,'LANÇAMENTOS'!$E:$E,"SAIDA",'LANÇAMENTOS'!$G:$G,$E52)</f>
        <v>1</v>
      </c>
      <c r="I52" s="105"/>
      <c r="J52" s="87">
        <f t="shared" si="2"/>
        <v>0</v>
      </c>
      <c r="K52" s="76"/>
      <c r="L52" s="76"/>
      <c r="M52" s="76"/>
      <c r="N52" s="76"/>
      <c r="O52" s="76"/>
      <c r="P52" s="76"/>
      <c r="Q52" s="76"/>
      <c r="R52" s="76"/>
      <c r="S52" s="76"/>
      <c r="T52" s="76"/>
      <c r="U52" s="76"/>
      <c r="V52" s="76"/>
      <c r="W52" s="76"/>
      <c r="X52" s="76"/>
      <c r="Y52" s="76"/>
      <c r="Z52" s="76"/>
      <c r="AA52" s="76"/>
    </row>
    <row r="53">
      <c r="A53" s="76"/>
      <c r="B53" s="76"/>
      <c r="C53" s="77"/>
      <c r="D53" s="82" t="s">
        <v>140</v>
      </c>
      <c r="E53" s="99" t="s">
        <v>143</v>
      </c>
      <c r="F53" s="84">
        <f t="shared" si="1"/>
        <v>6</v>
      </c>
      <c r="G53" s="91">
        <f>SUMIFS('LANÇAMENTOS'!$H:$H,'LANÇAMENTOS'!$E:$E,"ENTRADA",'LANÇAMENTOS'!$G:$G,$E53)</f>
        <v>27</v>
      </c>
      <c r="H53" s="91">
        <f>SUMIFS('LANÇAMENTOS'!$H:$H,'LANÇAMENTOS'!$E:$E,"SAIDA",'LANÇAMENTOS'!$G:$G,$E53)</f>
        <v>21</v>
      </c>
      <c r="I53" s="106"/>
      <c r="J53" s="93">
        <f t="shared" si="2"/>
        <v>0</v>
      </c>
      <c r="K53" s="76"/>
      <c r="L53" s="76"/>
      <c r="M53" s="76"/>
      <c r="N53" s="76"/>
      <c r="O53" s="76"/>
      <c r="P53" s="76"/>
      <c r="Q53" s="76"/>
      <c r="R53" s="76"/>
      <c r="S53" s="76"/>
      <c r="T53" s="76"/>
      <c r="U53" s="76"/>
      <c r="V53" s="76"/>
      <c r="W53" s="76"/>
      <c r="X53" s="76"/>
      <c r="Y53" s="76"/>
      <c r="Z53" s="76"/>
      <c r="AA53" s="76"/>
    </row>
    <row r="54">
      <c r="A54" s="76"/>
      <c r="B54" s="76"/>
      <c r="C54" s="77"/>
      <c r="D54" s="82" t="s">
        <v>140</v>
      </c>
      <c r="E54" s="99" t="s">
        <v>144</v>
      </c>
      <c r="F54" s="84">
        <f t="shared" si="1"/>
        <v>8</v>
      </c>
      <c r="G54" s="85">
        <f>SUMIFS('LANÇAMENTOS'!$H:$H,'LANÇAMENTOS'!$E:$E,"ENTRADA",'LANÇAMENTOS'!$G:$G,$E54)</f>
        <v>12</v>
      </c>
      <c r="H54" s="85">
        <f>SUMIFS('LANÇAMENTOS'!$H:$H,'LANÇAMENTOS'!$E:$E,"SAIDA",'LANÇAMENTOS'!$G:$G,$E54)</f>
        <v>4</v>
      </c>
      <c r="I54" s="107">
        <v>664.73</v>
      </c>
      <c r="J54" s="87">
        <f t="shared" si="2"/>
        <v>5317.84</v>
      </c>
      <c r="K54" s="76"/>
      <c r="L54" s="76"/>
      <c r="M54" s="76"/>
      <c r="N54" s="76"/>
      <c r="O54" s="76"/>
      <c r="P54" s="76"/>
      <c r="Q54" s="76"/>
      <c r="R54" s="76"/>
      <c r="S54" s="76"/>
      <c r="T54" s="76"/>
      <c r="U54" s="76"/>
      <c r="V54" s="76"/>
      <c r="W54" s="76"/>
      <c r="X54" s="76"/>
      <c r="Y54" s="76"/>
      <c r="Z54" s="76"/>
      <c r="AA54" s="76"/>
    </row>
    <row r="55">
      <c r="A55" s="76"/>
      <c r="B55" s="76"/>
      <c r="C55" s="77"/>
      <c r="D55" s="82" t="s">
        <v>140</v>
      </c>
      <c r="E55" s="99" t="s">
        <v>145</v>
      </c>
      <c r="F55" s="84">
        <f t="shared" si="1"/>
        <v>0</v>
      </c>
      <c r="G55" s="91">
        <f>SUMIFS('LANÇAMENTOS'!$H:$H,'LANÇAMENTOS'!$E:$E,"ENTRADA",'LANÇAMENTOS'!$G:$G,$E55)</f>
        <v>4</v>
      </c>
      <c r="H55" s="91">
        <f>SUMIFS('LANÇAMENTOS'!$H:$H,'LANÇAMENTOS'!$E:$E,"SAIDA",'LANÇAMENTOS'!$G:$G,$E55)</f>
        <v>4</v>
      </c>
      <c r="I55" s="104"/>
      <c r="J55" s="93">
        <f t="shared" si="2"/>
        <v>0</v>
      </c>
      <c r="K55" s="76"/>
      <c r="L55" s="76"/>
      <c r="M55" s="76"/>
      <c r="N55" s="76"/>
      <c r="O55" s="76"/>
      <c r="P55" s="76"/>
      <c r="Q55" s="76"/>
      <c r="R55" s="76"/>
      <c r="S55" s="76"/>
      <c r="T55" s="76"/>
      <c r="U55" s="76"/>
      <c r="V55" s="76"/>
      <c r="W55" s="76"/>
      <c r="X55" s="76"/>
      <c r="Y55" s="76"/>
      <c r="Z55" s="76"/>
      <c r="AA55" s="76"/>
    </row>
    <row r="56">
      <c r="A56" s="76"/>
      <c r="B56" s="76"/>
      <c r="C56" s="77"/>
      <c r="D56" s="82" t="s">
        <v>140</v>
      </c>
      <c r="E56" s="99" t="s">
        <v>146</v>
      </c>
      <c r="F56" s="84">
        <f t="shared" si="1"/>
        <v>0</v>
      </c>
      <c r="G56" s="85">
        <f>SUMIFS('LANÇAMENTOS'!$H:$H,'LANÇAMENTOS'!$E:$E,"ENTRADA",'LANÇAMENTOS'!$G:$G,$E56)</f>
        <v>3</v>
      </c>
      <c r="H56" s="85">
        <f>SUMIFS('LANÇAMENTOS'!$H:$H,'LANÇAMENTOS'!$E:$E,"SAIDA",'LANÇAMENTOS'!$G:$G,$E56)</f>
        <v>3</v>
      </c>
      <c r="I56" s="101"/>
      <c r="J56" s="87">
        <f t="shared" si="2"/>
        <v>0</v>
      </c>
      <c r="K56" s="76"/>
      <c r="L56" s="76"/>
      <c r="M56" s="76"/>
      <c r="N56" s="76"/>
      <c r="O56" s="76"/>
      <c r="P56" s="76"/>
      <c r="Q56" s="76"/>
      <c r="R56" s="76"/>
      <c r="S56" s="76"/>
      <c r="T56" s="76"/>
      <c r="U56" s="76"/>
      <c r="V56" s="76"/>
      <c r="W56" s="76"/>
      <c r="X56" s="76"/>
      <c r="Y56" s="76"/>
      <c r="Z56" s="76"/>
      <c r="AA56" s="76"/>
    </row>
    <row r="57">
      <c r="A57" s="76"/>
      <c r="B57" s="76"/>
      <c r="C57" s="77"/>
      <c r="D57" s="82" t="s">
        <v>140</v>
      </c>
      <c r="E57" s="99" t="s">
        <v>147</v>
      </c>
      <c r="F57" s="84">
        <f t="shared" si="1"/>
        <v>7</v>
      </c>
      <c r="G57" s="91">
        <f>SUMIFS('LANÇAMENTOS'!$H:$H,'LANÇAMENTOS'!$E:$E,"ENTRADA",'LANÇAMENTOS'!$G:$G,$E57)</f>
        <v>28</v>
      </c>
      <c r="H57" s="91">
        <f>SUMIFS('LANÇAMENTOS'!$H:$H,'LANÇAMENTOS'!$E:$E,"SAIDA",'LANÇAMENTOS'!$G:$G,$E57)</f>
        <v>21</v>
      </c>
      <c r="I57" s="92"/>
      <c r="J57" s="93">
        <f t="shared" si="2"/>
        <v>0</v>
      </c>
      <c r="K57" s="76"/>
      <c r="L57" s="76"/>
      <c r="M57" s="76"/>
      <c r="N57" s="76"/>
      <c r="O57" s="76"/>
      <c r="P57" s="76"/>
      <c r="Q57" s="76"/>
      <c r="R57" s="76"/>
      <c r="S57" s="76"/>
      <c r="T57" s="76"/>
      <c r="U57" s="76"/>
      <c r="V57" s="76"/>
      <c r="W57" s="76"/>
      <c r="X57" s="76"/>
      <c r="Y57" s="76"/>
      <c r="Z57" s="76"/>
      <c r="AA57" s="76"/>
    </row>
    <row r="58">
      <c r="A58" s="76"/>
      <c r="B58" s="76"/>
      <c r="C58" s="77"/>
      <c r="D58" s="82" t="s">
        <v>140</v>
      </c>
      <c r="E58" s="99" t="s">
        <v>148</v>
      </c>
      <c r="F58" s="84">
        <f t="shared" si="1"/>
        <v>12</v>
      </c>
      <c r="G58" s="85">
        <f>SUMIFS('LANÇAMENTOS'!$H:$H,'LANÇAMENTOS'!$E:$E,"ENTRADA",'LANÇAMENTOS'!$G:$G,$E58)</f>
        <v>18</v>
      </c>
      <c r="H58" s="85">
        <f>SUMIFS('LANÇAMENTOS'!$H:$H,'LANÇAMENTOS'!$E:$E,"SAIDA",'LANÇAMENTOS'!$G:$G,$E58)</f>
        <v>6</v>
      </c>
      <c r="I58" s="86"/>
      <c r="J58" s="87">
        <f t="shared" si="2"/>
        <v>0</v>
      </c>
      <c r="K58" s="76"/>
      <c r="L58" s="76"/>
      <c r="M58" s="76"/>
      <c r="N58" s="76"/>
      <c r="O58" s="76"/>
      <c r="P58" s="76"/>
      <c r="Q58" s="76"/>
      <c r="R58" s="76"/>
      <c r="S58" s="76"/>
      <c r="T58" s="76"/>
      <c r="U58" s="76"/>
      <c r="V58" s="76"/>
      <c r="W58" s="76"/>
      <c r="X58" s="76"/>
      <c r="Y58" s="76"/>
      <c r="Z58" s="76"/>
      <c r="AA58" s="76"/>
    </row>
    <row r="59">
      <c r="A59" s="76"/>
      <c r="B59" s="76"/>
      <c r="C59" s="77"/>
      <c r="D59" s="82" t="s">
        <v>140</v>
      </c>
      <c r="E59" s="99" t="s">
        <v>149</v>
      </c>
      <c r="F59" s="84">
        <f t="shared" si="1"/>
        <v>3</v>
      </c>
      <c r="G59" s="91">
        <f>SUMIFS('LANÇAMENTOS'!$H:$H,'LANÇAMENTOS'!$E:$E,"ENTRADA",'LANÇAMENTOS'!$G:$G,$E59)</f>
        <v>6</v>
      </c>
      <c r="H59" s="91">
        <f>SUMIFS('LANÇAMENTOS'!$H:$H,'LANÇAMENTOS'!$E:$E,"SAIDA",'LANÇAMENTOS'!$G:$G,$E59)</f>
        <v>3</v>
      </c>
      <c r="I59" s="92"/>
      <c r="J59" s="93">
        <f t="shared" si="2"/>
        <v>0</v>
      </c>
      <c r="K59" s="76"/>
      <c r="L59" s="76"/>
      <c r="M59" s="76"/>
      <c r="N59" s="76"/>
      <c r="O59" s="76"/>
      <c r="P59" s="76"/>
      <c r="Q59" s="76"/>
      <c r="R59" s="76"/>
      <c r="S59" s="76"/>
      <c r="T59" s="76"/>
      <c r="U59" s="76"/>
      <c r="V59" s="76"/>
      <c r="W59" s="76"/>
      <c r="X59" s="76"/>
      <c r="Y59" s="76"/>
      <c r="Z59" s="76"/>
      <c r="AA59" s="76"/>
    </row>
    <row r="60">
      <c r="A60" s="76"/>
      <c r="B60" s="76"/>
      <c r="C60" s="77"/>
      <c r="D60" s="82" t="s">
        <v>140</v>
      </c>
      <c r="E60" s="99" t="s">
        <v>150</v>
      </c>
      <c r="F60" s="84">
        <f t="shared" si="1"/>
        <v>5</v>
      </c>
      <c r="G60" s="85">
        <f>SUMIFS('LANÇAMENTOS'!$H:$H,'LANÇAMENTOS'!$E:$E,"ENTRADA",'LANÇAMENTOS'!$G:$G,$E60)</f>
        <v>5</v>
      </c>
      <c r="H60" s="85">
        <f>SUMIFS('LANÇAMENTOS'!$H:$H,'LANÇAMENTOS'!$E:$E,"SAIDA",'LANÇAMENTOS'!$G:$G,$E60)</f>
        <v>0</v>
      </c>
      <c r="I60" s="105"/>
      <c r="J60" s="87">
        <f t="shared" si="2"/>
        <v>0</v>
      </c>
      <c r="K60" s="76"/>
      <c r="L60" s="76"/>
      <c r="M60" s="76"/>
      <c r="N60" s="76"/>
      <c r="O60" s="76"/>
      <c r="P60" s="76"/>
      <c r="Q60" s="76"/>
      <c r="R60" s="76"/>
      <c r="S60" s="76"/>
      <c r="T60" s="76"/>
      <c r="U60" s="76"/>
      <c r="V60" s="76"/>
      <c r="W60" s="76"/>
      <c r="X60" s="76"/>
      <c r="Y60" s="76"/>
      <c r="Z60" s="76"/>
      <c r="AA60" s="76"/>
    </row>
    <row r="61">
      <c r="A61" s="76"/>
      <c r="B61" s="76"/>
      <c r="C61" s="77"/>
      <c r="D61" s="82" t="s">
        <v>140</v>
      </c>
      <c r="E61" s="99" t="s">
        <v>151</v>
      </c>
      <c r="F61" s="84">
        <f t="shared" si="1"/>
        <v>1</v>
      </c>
      <c r="G61" s="91">
        <f>SUMIFS('LANÇAMENTOS'!$H:$H,'LANÇAMENTOS'!$E:$E,"ENTRADA",'LANÇAMENTOS'!$G:$G,$E61)</f>
        <v>5</v>
      </c>
      <c r="H61" s="91">
        <f>SUMIFS('LANÇAMENTOS'!$H:$H,'LANÇAMENTOS'!$E:$E,"SAIDA",'LANÇAMENTOS'!$G:$G,$E61)</f>
        <v>4</v>
      </c>
      <c r="I61" s="92"/>
      <c r="J61" s="93">
        <f t="shared" si="2"/>
        <v>0</v>
      </c>
      <c r="K61" s="76"/>
      <c r="L61" s="76"/>
      <c r="M61" s="76"/>
      <c r="N61" s="76"/>
      <c r="O61" s="76"/>
      <c r="P61" s="76"/>
      <c r="Q61" s="76"/>
      <c r="R61" s="76"/>
      <c r="S61" s="76"/>
      <c r="T61" s="76"/>
      <c r="U61" s="76"/>
      <c r="V61" s="76"/>
      <c r="W61" s="76"/>
      <c r="X61" s="76"/>
      <c r="Y61" s="76"/>
      <c r="Z61" s="76"/>
      <c r="AA61" s="76"/>
    </row>
    <row r="62">
      <c r="A62" s="76"/>
      <c r="B62" s="76"/>
      <c r="C62" s="77"/>
      <c r="D62" s="82" t="s">
        <v>140</v>
      </c>
      <c r="E62" s="99" t="s">
        <v>152</v>
      </c>
      <c r="F62" s="84">
        <f t="shared" si="1"/>
        <v>6</v>
      </c>
      <c r="G62" s="85">
        <f>SUMIFS('LANÇAMENTOS'!$H:$H,'LANÇAMENTOS'!$E:$E,"ENTRADA",'LANÇAMENTOS'!$G:$G,$E62)</f>
        <v>6</v>
      </c>
      <c r="H62" s="85">
        <f>SUMIFS('LANÇAMENTOS'!$H:$H,'LANÇAMENTOS'!$E:$E,"SAIDA",'LANÇAMENTOS'!$G:$G,$E62)</f>
        <v>0</v>
      </c>
      <c r="I62" s="86"/>
      <c r="J62" s="87">
        <f t="shared" si="2"/>
        <v>0</v>
      </c>
      <c r="K62" s="76"/>
      <c r="L62" s="76"/>
      <c r="M62" s="76"/>
      <c r="N62" s="76"/>
      <c r="O62" s="76"/>
      <c r="P62" s="76"/>
      <c r="Q62" s="76"/>
      <c r="R62" s="76"/>
      <c r="S62" s="76"/>
      <c r="T62" s="76"/>
      <c r="U62" s="76"/>
      <c r="V62" s="76"/>
      <c r="W62" s="76"/>
      <c r="X62" s="76"/>
      <c r="Y62" s="76"/>
      <c r="Z62" s="76"/>
      <c r="AA62" s="76"/>
    </row>
    <row r="63">
      <c r="A63" s="76"/>
      <c r="B63" s="76"/>
      <c r="C63" s="77"/>
      <c r="D63" s="82" t="s">
        <v>140</v>
      </c>
      <c r="E63" s="99" t="s">
        <v>153</v>
      </c>
      <c r="F63" s="84">
        <f t="shared" si="1"/>
        <v>4</v>
      </c>
      <c r="G63" s="91">
        <f>SUMIFS('LANÇAMENTOS'!$H:$H,'LANÇAMENTOS'!$E:$E,"ENTRADA",'LANÇAMENTOS'!$G:$G,$E63)</f>
        <v>4</v>
      </c>
      <c r="H63" s="91">
        <f>SUMIFS('LANÇAMENTOS'!$H:$H,'LANÇAMENTOS'!$E:$E,"SAIDA",'LANÇAMENTOS'!$G:$G,$E63)</f>
        <v>0</v>
      </c>
      <c r="I63" s="92"/>
      <c r="J63" s="93">
        <f t="shared" si="2"/>
        <v>0</v>
      </c>
      <c r="K63" s="76"/>
      <c r="L63" s="76"/>
      <c r="M63" s="76"/>
      <c r="N63" s="76"/>
      <c r="O63" s="76"/>
      <c r="P63" s="76"/>
      <c r="Q63" s="76"/>
      <c r="R63" s="76"/>
      <c r="S63" s="76"/>
      <c r="T63" s="76"/>
      <c r="U63" s="76"/>
      <c r="V63" s="76"/>
      <c r="W63" s="76"/>
      <c r="X63" s="76"/>
      <c r="Y63" s="76"/>
      <c r="Z63" s="76"/>
      <c r="AA63" s="76"/>
    </row>
    <row r="64">
      <c r="A64" s="76"/>
      <c r="B64" s="76"/>
      <c r="C64" s="77"/>
      <c r="D64" s="82" t="s">
        <v>140</v>
      </c>
      <c r="E64" s="99" t="s">
        <v>154</v>
      </c>
      <c r="F64" s="84">
        <f t="shared" si="1"/>
        <v>32</v>
      </c>
      <c r="G64" s="85">
        <f>SUMIFS('LANÇAMENTOS'!$H:$H,'LANÇAMENTOS'!$E:$E,"ENTRADA",'LANÇAMENTOS'!$G:$G,$E64)</f>
        <v>32</v>
      </c>
      <c r="H64" s="85">
        <f>SUMIFS('LANÇAMENTOS'!$H:$H,'LANÇAMENTOS'!$E:$E,"SAIDA",'LANÇAMENTOS'!$G:$G,$E64)</f>
        <v>0</v>
      </c>
      <c r="I64" s="86"/>
      <c r="J64" s="87">
        <f t="shared" si="2"/>
        <v>0</v>
      </c>
      <c r="K64" s="76"/>
      <c r="L64" s="76"/>
      <c r="M64" s="76"/>
      <c r="N64" s="76"/>
      <c r="O64" s="76"/>
      <c r="P64" s="76"/>
      <c r="Q64" s="76"/>
      <c r="R64" s="76"/>
      <c r="S64" s="76"/>
      <c r="T64" s="76"/>
      <c r="U64" s="76"/>
      <c r="V64" s="76"/>
      <c r="W64" s="76"/>
      <c r="X64" s="76"/>
      <c r="Y64" s="76"/>
      <c r="Z64" s="76"/>
      <c r="AA64" s="76"/>
    </row>
    <row r="65">
      <c r="A65" s="76"/>
      <c r="B65" s="76"/>
      <c r="C65" s="77"/>
      <c r="D65" s="82" t="s">
        <v>140</v>
      </c>
      <c r="E65" s="99" t="s">
        <v>155</v>
      </c>
      <c r="F65" s="84">
        <f t="shared" si="1"/>
        <v>0</v>
      </c>
      <c r="G65" s="91">
        <f>SUMIFS('LANÇAMENTOS'!$H:$H,'LANÇAMENTOS'!$E:$E,"ENTRADA",'LANÇAMENTOS'!$G:$G,$E65)</f>
        <v>0</v>
      </c>
      <c r="H65" s="91">
        <f>SUMIFS('LANÇAMENTOS'!$H:$H,'LANÇAMENTOS'!$E:$E,"SAIDA",'LANÇAMENTOS'!$G:$G,$E65)</f>
        <v>0</v>
      </c>
      <c r="I65" s="92"/>
      <c r="J65" s="93">
        <f t="shared" si="2"/>
        <v>0</v>
      </c>
      <c r="K65" s="76"/>
      <c r="L65" s="76"/>
      <c r="M65" s="76"/>
      <c r="N65" s="76"/>
      <c r="O65" s="76"/>
      <c r="P65" s="76"/>
      <c r="Q65" s="76"/>
      <c r="R65" s="76"/>
      <c r="S65" s="76"/>
      <c r="T65" s="76"/>
      <c r="U65" s="76"/>
      <c r="V65" s="76"/>
      <c r="W65" s="76"/>
      <c r="X65" s="76"/>
      <c r="Y65" s="76"/>
      <c r="Z65" s="76"/>
      <c r="AA65" s="76"/>
    </row>
    <row r="66">
      <c r="A66" s="76"/>
      <c r="B66" s="76"/>
      <c r="C66" s="77"/>
      <c r="D66" s="82" t="s">
        <v>156</v>
      </c>
      <c r="E66" s="100" t="s">
        <v>157</v>
      </c>
      <c r="F66" s="84">
        <f t="shared" si="1"/>
        <v>9</v>
      </c>
      <c r="G66" s="85">
        <f>SUMIFS('LANÇAMENTOS'!$H:$H,'LANÇAMENTOS'!$E:$E,"ENTRADA",'LANÇAMENTOS'!$G:$G,$E66)</f>
        <v>17</v>
      </c>
      <c r="H66" s="85">
        <f>SUMIFS('LANÇAMENTOS'!$H:$H,'LANÇAMENTOS'!$E:$E,"SAIDA",'LANÇAMENTOS'!$G:$G,$E66)</f>
        <v>8</v>
      </c>
      <c r="I66" s="101"/>
      <c r="J66" s="87">
        <f t="shared" si="2"/>
        <v>0</v>
      </c>
      <c r="K66" s="76"/>
      <c r="L66" s="76"/>
      <c r="M66" s="76"/>
      <c r="N66" s="76"/>
      <c r="O66" s="76"/>
      <c r="P66" s="76"/>
      <c r="Q66" s="76"/>
      <c r="R66" s="76"/>
      <c r="S66" s="76"/>
      <c r="T66" s="76"/>
      <c r="U66" s="76"/>
      <c r="V66" s="76"/>
      <c r="W66" s="76"/>
      <c r="X66" s="76"/>
      <c r="Y66" s="76"/>
      <c r="Z66" s="76"/>
      <c r="AA66" s="76"/>
    </row>
    <row r="67">
      <c r="A67" s="76"/>
      <c r="B67" s="76"/>
      <c r="C67" s="77"/>
      <c r="D67" s="82" t="s">
        <v>158</v>
      </c>
      <c r="E67" s="100" t="s">
        <v>159</v>
      </c>
      <c r="F67" s="84">
        <f t="shared" si="1"/>
        <v>20</v>
      </c>
      <c r="G67" s="91">
        <f>SUMIFS('LANÇAMENTOS'!$H:$H,'LANÇAMENTOS'!$E:$E,"ENTRADA",'LANÇAMENTOS'!$G:$G,$E67)</f>
        <v>20</v>
      </c>
      <c r="H67" s="91">
        <f>SUMIFS('LANÇAMENTOS'!$H:$H,'LANÇAMENTOS'!$E:$E,"SAIDA",'LANÇAMENTOS'!$G:$G,$E67)</f>
        <v>0</v>
      </c>
      <c r="I67" s="92"/>
      <c r="J67" s="93">
        <f t="shared" si="2"/>
        <v>0</v>
      </c>
      <c r="K67" s="76"/>
      <c r="L67" s="76"/>
      <c r="M67" s="76"/>
      <c r="N67" s="76"/>
      <c r="O67" s="76"/>
      <c r="P67" s="76"/>
      <c r="Q67" s="76"/>
      <c r="R67" s="76"/>
      <c r="S67" s="76"/>
      <c r="T67" s="76"/>
      <c r="U67" s="76"/>
      <c r="V67" s="76"/>
      <c r="W67" s="76"/>
      <c r="X67" s="76"/>
      <c r="Y67" s="76"/>
      <c r="Z67" s="76"/>
      <c r="AA67" s="76"/>
    </row>
    <row r="68">
      <c r="A68" s="76"/>
      <c r="B68" s="76"/>
      <c r="C68" s="77"/>
      <c r="D68" s="82" t="s">
        <v>158</v>
      </c>
      <c r="E68" s="100" t="s">
        <v>160</v>
      </c>
      <c r="F68" s="84">
        <f t="shared" si="1"/>
        <v>0</v>
      </c>
      <c r="G68" s="85">
        <f>SUMIFS('LANÇAMENTOS'!$H:$H,'LANÇAMENTOS'!$E:$E,"ENTRADA",'LANÇAMENTOS'!$G:$G,$E68)</f>
        <v>0</v>
      </c>
      <c r="H68" s="85">
        <f>SUMIFS('LANÇAMENTOS'!$H:$H,'LANÇAMENTOS'!$E:$E,"SAIDA",'LANÇAMENTOS'!$G:$G,$E68)</f>
        <v>0</v>
      </c>
      <c r="I68" s="86"/>
      <c r="J68" s="87">
        <f t="shared" si="2"/>
        <v>0</v>
      </c>
      <c r="K68" s="76"/>
      <c r="L68" s="76"/>
      <c r="M68" s="76"/>
      <c r="N68" s="76"/>
      <c r="O68" s="76"/>
      <c r="P68" s="76"/>
      <c r="Q68" s="76"/>
      <c r="R68" s="76"/>
      <c r="S68" s="76"/>
      <c r="T68" s="76"/>
      <c r="U68" s="76"/>
      <c r="V68" s="76"/>
      <c r="W68" s="76"/>
      <c r="X68" s="76"/>
      <c r="Y68" s="76"/>
      <c r="Z68" s="76"/>
      <c r="AA68" s="76"/>
    </row>
    <row r="69">
      <c r="A69" s="76"/>
      <c r="B69" s="76"/>
      <c r="C69" s="77"/>
      <c r="D69" s="82" t="s">
        <v>158</v>
      </c>
      <c r="E69" s="100" t="s">
        <v>161</v>
      </c>
      <c r="F69" s="84">
        <f t="shared" si="1"/>
        <v>0</v>
      </c>
      <c r="G69" s="91">
        <f>SUMIFS('LANÇAMENTOS'!$H:$H,'LANÇAMENTOS'!$E:$E,"ENTRADA",'LANÇAMENTOS'!$G:$G,$E69)</f>
        <v>1</v>
      </c>
      <c r="H69" s="91">
        <f>SUMIFS('LANÇAMENTOS'!$H:$H,'LANÇAMENTOS'!$E:$E,"SAIDA",'LANÇAMENTOS'!$G:$G,$E69)</f>
        <v>1</v>
      </c>
      <c r="I69" s="92"/>
      <c r="J69" s="93">
        <f t="shared" si="2"/>
        <v>0</v>
      </c>
      <c r="K69" s="76"/>
      <c r="L69" s="76"/>
      <c r="M69" s="76"/>
      <c r="N69" s="76"/>
      <c r="O69" s="76"/>
      <c r="P69" s="76"/>
      <c r="Q69" s="76"/>
      <c r="R69" s="76"/>
      <c r="S69" s="76"/>
      <c r="T69" s="76"/>
      <c r="U69" s="76"/>
      <c r="V69" s="76"/>
      <c r="W69" s="76"/>
      <c r="X69" s="76"/>
      <c r="Y69" s="76"/>
      <c r="Z69" s="76"/>
      <c r="AA69" s="76"/>
    </row>
    <row r="70">
      <c r="A70" s="76"/>
      <c r="B70" s="76"/>
      <c r="C70" s="77"/>
      <c r="D70" s="82" t="s">
        <v>162</v>
      </c>
      <c r="E70" s="100" t="s">
        <v>163</v>
      </c>
      <c r="F70" s="84">
        <f t="shared" si="1"/>
        <v>2</v>
      </c>
      <c r="G70" s="85">
        <f>SUMIFS('LANÇAMENTOS'!$H:$H,'LANÇAMENTOS'!$E:$E,"ENTRADA",'LANÇAMENTOS'!$G:$G,$E70)</f>
        <v>4</v>
      </c>
      <c r="H70" s="85">
        <f>SUMIFS('LANÇAMENTOS'!$H:$H,'LANÇAMENTOS'!$E:$E,"SAIDA",'LANÇAMENTOS'!$G:$G,$E70)</f>
        <v>2</v>
      </c>
      <c r="I70" s="101">
        <v>3142.36</v>
      </c>
      <c r="J70" s="87">
        <f t="shared" si="2"/>
        <v>6284.72</v>
      </c>
      <c r="K70" s="76"/>
      <c r="L70" s="76"/>
      <c r="M70" s="76"/>
      <c r="N70" s="76"/>
      <c r="O70" s="76"/>
      <c r="P70" s="76"/>
      <c r="Q70" s="76"/>
      <c r="R70" s="76"/>
      <c r="S70" s="76"/>
      <c r="T70" s="76"/>
      <c r="U70" s="76"/>
      <c r="V70" s="76"/>
      <c r="W70" s="76"/>
      <c r="X70" s="76"/>
      <c r="Y70" s="76"/>
      <c r="Z70" s="76"/>
      <c r="AA70" s="76"/>
    </row>
    <row r="71">
      <c r="A71" s="76"/>
      <c r="B71" s="76"/>
      <c r="C71" s="77"/>
      <c r="D71" s="82" t="s">
        <v>162</v>
      </c>
      <c r="E71" s="99" t="s">
        <v>164</v>
      </c>
      <c r="F71" s="84">
        <f t="shared" si="1"/>
        <v>1</v>
      </c>
      <c r="G71" s="91">
        <f>SUMIFS('LANÇAMENTOS'!$H:$H,'LANÇAMENTOS'!$E:$E,"ENTRADA",'LANÇAMENTOS'!$G:$G,$E71)</f>
        <v>1</v>
      </c>
      <c r="H71" s="91">
        <f>SUMIFS('LANÇAMENTOS'!$H:$H,'LANÇAMENTOS'!$E:$E,"SAIDA",'LANÇAMENTOS'!$G:$G,$E71)</f>
        <v>0</v>
      </c>
      <c r="I71" s="92"/>
      <c r="J71" s="93">
        <f t="shared" si="2"/>
        <v>0</v>
      </c>
      <c r="K71" s="76"/>
      <c r="L71" s="76"/>
      <c r="M71" s="76"/>
      <c r="N71" s="76"/>
      <c r="O71" s="76"/>
      <c r="P71" s="76"/>
      <c r="Q71" s="76"/>
      <c r="R71" s="76"/>
      <c r="S71" s="76"/>
      <c r="T71" s="76"/>
      <c r="U71" s="76"/>
      <c r="V71" s="76"/>
      <c r="W71" s="76"/>
      <c r="X71" s="76"/>
      <c r="Y71" s="76"/>
      <c r="Z71" s="76"/>
      <c r="AA71" s="76"/>
    </row>
    <row r="72">
      <c r="A72" s="76"/>
      <c r="B72" s="76"/>
      <c r="C72" s="77"/>
      <c r="D72" s="82" t="s">
        <v>162</v>
      </c>
      <c r="E72" s="99" t="s">
        <v>165</v>
      </c>
      <c r="F72" s="84">
        <f t="shared" si="1"/>
        <v>1</v>
      </c>
      <c r="G72" s="85">
        <f>SUMIFS('LANÇAMENTOS'!$H:$H,'LANÇAMENTOS'!$E:$E,"ENTRADA",'LANÇAMENTOS'!$G:$G,$E72)</f>
        <v>1</v>
      </c>
      <c r="H72" s="85">
        <f>SUMIFS('LANÇAMENTOS'!$H:$H,'LANÇAMENTOS'!$E:$E,"SAIDA",'LANÇAMENTOS'!$G:$G,$E72)</f>
        <v>0</v>
      </c>
      <c r="I72" s="86"/>
      <c r="J72" s="87">
        <f t="shared" si="2"/>
        <v>0</v>
      </c>
      <c r="K72" s="76"/>
      <c r="L72" s="76"/>
      <c r="M72" s="76"/>
      <c r="N72" s="76"/>
      <c r="O72" s="76"/>
      <c r="P72" s="76"/>
      <c r="Q72" s="76"/>
      <c r="R72" s="76"/>
      <c r="S72" s="76"/>
      <c r="T72" s="76"/>
      <c r="U72" s="76"/>
      <c r="V72" s="76"/>
      <c r="W72" s="76"/>
      <c r="X72" s="76"/>
      <c r="Y72" s="76"/>
      <c r="Z72" s="76"/>
      <c r="AA72" s="76"/>
    </row>
    <row r="73">
      <c r="A73" s="76"/>
      <c r="B73" s="76"/>
      <c r="C73" s="77"/>
      <c r="D73" s="82" t="s">
        <v>166</v>
      </c>
      <c r="E73" s="99" t="s">
        <v>167</v>
      </c>
      <c r="F73" s="84">
        <f t="shared" si="1"/>
        <v>16</v>
      </c>
      <c r="G73" s="91">
        <f>SUMIFS('LANÇAMENTOS'!$H:$H,'LANÇAMENTOS'!$E:$E,"ENTRADA",'LANÇAMENTOS'!$G:$G,$E73)</f>
        <v>16</v>
      </c>
      <c r="H73" s="91">
        <f>SUMIFS('LANÇAMENTOS'!$H:$H,'LANÇAMENTOS'!$E:$E,"SAIDA",'LANÇAMENTOS'!$G:$G,$E73)</f>
        <v>0</v>
      </c>
      <c r="I73" s="92"/>
      <c r="J73" s="108">
        <v>0.0</v>
      </c>
      <c r="K73" s="76"/>
      <c r="L73" s="76"/>
      <c r="M73" s="76"/>
      <c r="N73" s="76"/>
      <c r="O73" s="76"/>
      <c r="P73" s="76"/>
      <c r="Q73" s="76"/>
      <c r="R73" s="76"/>
      <c r="S73" s="76"/>
      <c r="T73" s="76"/>
      <c r="U73" s="76"/>
      <c r="V73" s="76"/>
      <c r="W73" s="76"/>
      <c r="X73" s="76"/>
      <c r="Y73" s="76"/>
      <c r="Z73" s="76"/>
      <c r="AA73" s="76"/>
    </row>
    <row r="74">
      <c r="A74" s="76"/>
      <c r="B74" s="76"/>
      <c r="C74" s="77"/>
      <c r="D74" s="82" t="s">
        <v>166</v>
      </c>
      <c r="E74" s="99" t="s">
        <v>168</v>
      </c>
      <c r="F74" s="84">
        <f t="shared" si="1"/>
        <v>0</v>
      </c>
      <c r="G74" s="85">
        <f>SUMIFS('LANÇAMENTOS'!$H:$H,'LANÇAMENTOS'!$E:$E,"ENTRADA",'LANÇAMENTOS'!$G:$G,$E74)</f>
        <v>2</v>
      </c>
      <c r="H74" s="85">
        <f>SUMIFS('LANÇAMENTOS'!$H:$H,'LANÇAMENTOS'!$E:$E,"SAIDA",'LANÇAMENTOS'!$G:$G,$E74)</f>
        <v>2</v>
      </c>
      <c r="I74" s="86"/>
      <c r="J74" s="87">
        <f t="shared" ref="J74:J80" si="3">I74*F74</f>
        <v>0</v>
      </c>
      <c r="K74" s="76"/>
      <c r="L74" s="76"/>
      <c r="M74" s="76"/>
      <c r="N74" s="76"/>
      <c r="O74" s="76"/>
      <c r="P74" s="76"/>
      <c r="Q74" s="76"/>
      <c r="R74" s="76"/>
      <c r="S74" s="76"/>
      <c r="T74" s="76"/>
      <c r="U74" s="76"/>
      <c r="V74" s="76"/>
      <c r="W74" s="76"/>
      <c r="X74" s="76"/>
      <c r="Y74" s="76"/>
      <c r="Z74" s="76"/>
      <c r="AA74" s="76"/>
    </row>
    <row r="75">
      <c r="A75" s="76"/>
      <c r="B75" s="76"/>
      <c r="C75" s="77"/>
      <c r="D75" s="82" t="s">
        <v>166</v>
      </c>
      <c r="E75" s="99" t="s">
        <v>169</v>
      </c>
      <c r="F75" s="84">
        <f t="shared" si="1"/>
        <v>2</v>
      </c>
      <c r="G75" s="91">
        <f>SUMIFS('LANÇAMENTOS'!$H:$H,'LANÇAMENTOS'!$E:$E,"ENTRADA",'LANÇAMENTOS'!$G:$G,$E75)</f>
        <v>6</v>
      </c>
      <c r="H75" s="91">
        <f>SUMIFS('LANÇAMENTOS'!$H:$H,'LANÇAMENTOS'!$E:$E,"SAIDA",'LANÇAMENTOS'!$G:$G,$E75)</f>
        <v>4</v>
      </c>
      <c r="I75" s="92"/>
      <c r="J75" s="93">
        <f t="shared" si="3"/>
        <v>0</v>
      </c>
      <c r="K75" s="76"/>
      <c r="L75" s="76"/>
      <c r="M75" s="76"/>
      <c r="N75" s="76"/>
      <c r="O75" s="76"/>
      <c r="P75" s="76"/>
      <c r="Q75" s="76"/>
      <c r="R75" s="76"/>
      <c r="S75" s="76"/>
      <c r="T75" s="76"/>
      <c r="U75" s="76"/>
      <c r="V75" s="76"/>
      <c r="W75" s="76"/>
      <c r="X75" s="76"/>
      <c r="Y75" s="76"/>
      <c r="Z75" s="76"/>
      <c r="AA75" s="76"/>
    </row>
    <row r="76">
      <c r="A76" s="76"/>
      <c r="B76" s="76"/>
      <c r="C76" s="77"/>
      <c r="D76" s="109"/>
      <c r="E76" s="100"/>
      <c r="F76" s="84">
        <f t="shared" si="1"/>
        <v>0</v>
      </c>
      <c r="G76" s="85">
        <f>SUMIFS('LANÇAMENTOS'!$H:$H,'LANÇAMENTOS'!$E:$E,"ENTRADA",'LANÇAMENTOS'!$G:$G,$E76)</f>
        <v>0</v>
      </c>
      <c r="H76" s="85">
        <f>SUMIFS('LANÇAMENTOS'!$H:$H,'LANÇAMENTOS'!$E:$E,"SAIDA",'LANÇAMENTOS'!$G:$G,$E76)</f>
        <v>0</v>
      </c>
      <c r="I76" s="86"/>
      <c r="J76" s="87">
        <f t="shared" si="3"/>
        <v>0</v>
      </c>
      <c r="K76" s="76"/>
      <c r="L76" s="76"/>
      <c r="M76" s="76"/>
      <c r="N76" s="76"/>
      <c r="O76" s="76"/>
      <c r="P76" s="76"/>
      <c r="Q76" s="76"/>
      <c r="R76" s="76"/>
      <c r="S76" s="76"/>
      <c r="T76" s="76"/>
      <c r="U76" s="76"/>
      <c r="V76" s="76"/>
      <c r="W76" s="76"/>
      <c r="X76" s="76"/>
      <c r="Y76" s="76"/>
      <c r="Z76" s="76"/>
      <c r="AA76" s="76"/>
    </row>
    <row r="77">
      <c r="A77" s="76"/>
      <c r="B77" s="76"/>
      <c r="C77" s="77"/>
      <c r="D77" s="109"/>
      <c r="E77" s="100"/>
      <c r="F77" s="84">
        <f t="shared" si="1"/>
        <v>0</v>
      </c>
      <c r="G77" s="91">
        <f>SUMIFS('LANÇAMENTOS'!$H:$H,'LANÇAMENTOS'!$E:$E,"ENTRADA",'LANÇAMENTOS'!$G:$G,$E77)</f>
        <v>0</v>
      </c>
      <c r="H77" s="91">
        <f>SUMIFS('LANÇAMENTOS'!$H:$H,'LANÇAMENTOS'!$E:$E,"SAIDA",'LANÇAMENTOS'!$G:$G,$E77)</f>
        <v>0</v>
      </c>
      <c r="I77" s="92"/>
      <c r="J77" s="93">
        <f t="shared" si="3"/>
        <v>0</v>
      </c>
      <c r="K77" s="76"/>
      <c r="L77" s="76"/>
      <c r="M77" s="76"/>
      <c r="N77" s="76"/>
      <c r="O77" s="76"/>
      <c r="P77" s="76"/>
      <c r="Q77" s="76"/>
      <c r="R77" s="76"/>
      <c r="S77" s="76"/>
      <c r="T77" s="76"/>
      <c r="U77" s="76"/>
      <c r="V77" s="76"/>
      <c r="W77" s="76"/>
      <c r="X77" s="76"/>
      <c r="Y77" s="76"/>
      <c r="Z77" s="76"/>
      <c r="AA77" s="76"/>
    </row>
    <row r="78">
      <c r="A78" s="76"/>
      <c r="B78" s="76"/>
      <c r="C78" s="77"/>
      <c r="D78" s="109"/>
      <c r="E78" s="100"/>
      <c r="F78" s="84">
        <f t="shared" si="1"/>
        <v>0</v>
      </c>
      <c r="G78" s="85">
        <f>SUMIFS('LANÇAMENTOS'!$H:$H,'LANÇAMENTOS'!$E:$E,"ENTRADA",'LANÇAMENTOS'!$G:$G,$E78)</f>
        <v>0</v>
      </c>
      <c r="H78" s="85">
        <f>SUMIFS('LANÇAMENTOS'!$H:$H,'LANÇAMENTOS'!$E:$E,"SAIDA",'LANÇAMENTOS'!$G:$G,$E78)</f>
        <v>0</v>
      </c>
      <c r="I78" s="86"/>
      <c r="J78" s="87">
        <f t="shared" si="3"/>
        <v>0</v>
      </c>
      <c r="K78" s="76"/>
      <c r="L78" s="76"/>
      <c r="M78" s="76"/>
      <c r="N78" s="76"/>
      <c r="O78" s="76"/>
      <c r="P78" s="76"/>
      <c r="Q78" s="76"/>
      <c r="R78" s="76"/>
      <c r="S78" s="76"/>
      <c r="T78" s="76"/>
      <c r="U78" s="76"/>
      <c r="V78" s="76"/>
      <c r="W78" s="76"/>
      <c r="X78" s="76"/>
      <c r="Y78" s="76"/>
      <c r="Z78" s="76"/>
      <c r="AA78" s="76"/>
    </row>
    <row r="79">
      <c r="A79" s="76"/>
      <c r="B79" s="76"/>
      <c r="C79" s="77"/>
      <c r="D79" s="109"/>
      <c r="E79" s="100"/>
      <c r="F79" s="84">
        <f t="shared" si="1"/>
        <v>0</v>
      </c>
      <c r="G79" s="91">
        <f>SUMIFS('LANÇAMENTOS'!$H:$H,'LANÇAMENTOS'!$E:$E,"ENTRADA",'LANÇAMENTOS'!$G:$G,$E79)</f>
        <v>0</v>
      </c>
      <c r="H79" s="91">
        <f>SUMIFS('LANÇAMENTOS'!$H:$H,'LANÇAMENTOS'!$E:$E,"SAIDA",'LANÇAMENTOS'!$G:$G,$E79)</f>
        <v>0</v>
      </c>
      <c r="I79" s="92"/>
      <c r="J79" s="93">
        <f t="shared" si="3"/>
        <v>0</v>
      </c>
      <c r="K79" s="76"/>
      <c r="L79" s="76"/>
      <c r="M79" s="76"/>
      <c r="N79" s="76"/>
      <c r="O79" s="76"/>
      <c r="P79" s="76"/>
      <c r="Q79" s="76"/>
      <c r="R79" s="76"/>
      <c r="S79" s="76"/>
      <c r="T79" s="76"/>
      <c r="U79" s="76"/>
      <c r="V79" s="76"/>
      <c r="W79" s="76"/>
      <c r="X79" s="76"/>
      <c r="Y79" s="76"/>
      <c r="Z79" s="76"/>
      <c r="AA79" s="76"/>
    </row>
    <row r="80">
      <c r="A80" s="76"/>
      <c r="B80" s="76"/>
      <c r="C80" s="77"/>
      <c r="D80" s="110"/>
      <c r="E80" s="111"/>
      <c r="F80" s="112">
        <f t="shared" si="1"/>
        <v>0</v>
      </c>
      <c r="G80" s="113">
        <f>SUMIFS('LANÇAMENTOS'!$H:$H,'LANÇAMENTOS'!$E:$E,"ENTRADA",'LANÇAMENTOS'!$G:$G,$E80)</f>
        <v>0</v>
      </c>
      <c r="H80" s="113">
        <f>SUMIFS('LANÇAMENTOS'!$H:$H,'LANÇAMENTOS'!$E:$E,"SAIDA",'LANÇAMENTOS'!$G:$G,$E80)</f>
        <v>0</v>
      </c>
      <c r="I80" s="114"/>
      <c r="J80" s="115">
        <f t="shared" si="3"/>
        <v>0</v>
      </c>
      <c r="K80" s="76"/>
      <c r="L80" s="76"/>
      <c r="M80" s="76"/>
      <c r="N80" s="76"/>
      <c r="O80" s="76"/>
      <c r="P80" s="76"/>
      <c r="Q80" s="76"/>
      <c r="R80" s="76"/>
      <c r="S80" s="76"/>
      <c r="T80" s="76"/>
      <c r="U80" s="76"/>
      <c r="V80" s="76"/>
      <c r="W80" s="76"/>
      <c r="X80" s="76"/>
      <c r="Y80" s="76"/>
      <c r="Z80" s="76"/>
      <c r="AA80" s="76"/>
    </row>
  </sheetData>
  <mergeCells count="1">
    <mergeCell ref="A3:C5"/>
  </mergeCells>
  <dataValidations>
    <dataValidation type="custom" allowBlank="1" showDropDown="1" sqref="F2:F80 I2:J80">
      <formula1>AND(ISNUMBER(F2),(NOT(OR(NOT(ISERROR(DATEVALUE(F2))), AND(ISNUMBER(F2), LEFT(CELL("format", F2))="D")))))</formula1>
    </dataValidation>
  </dataValidations>
  <printOptions gridLines="1" horizontalCentered="1"/>
  <pageMargins bottom="0.0" footer="0.0" header="0.0" left="0.0" right="3.633794767589536" top="0.23336296672593349"/>
  <pageSetup paperSize="9" scale="65" cellComments="atEnd" orientation="portrait"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4.43" defaultRowHeight="15.75"/>
  <cols>
    <col customWidth="1" min="4" max="4" width="14.71"/>
    <col customWidth="1" min="5" max="5" width="15.71"/>
    <col customWidth="1" min="6" max="6" width="18.86"/>
    <col customWidth="1" min="7" max="7" width="34.0"/>
    <col customWidth="1" min="8" max="8" width="17.86"/>
  </cols>
  <sheetData>
    <row r="1">
      <c r="A1" s="76"/>
      <c r="B1" s="76"/>
      <c r="C1" s="77"/>
      <c r="D1" s="116" t="s">
        <v>170</v>
      </c>
      <c r="E1" s="116" t="s">
        <v>171</v>
      </c>
      <c r="F1" s="116" t="s">
        <v>172</v>
      </c>
      <c r="G1" s="116" t="s">
        <v>6</v>
      </c>
      <c r="H1" s="116" t="s">
        <v>7</v>
      </c>
      <c r="I1" s="117"/>
      <c r="J1" s="76"/>
      <c r="K1" s="76"/>
      <c r="L1" s="76"/>
      <c r="M1" s="76"/>
      <c r="N1" s="118"/>
      <c r="O1" s="118"/>
      <c r="P1" s="118"/>
      <c r="Q1" s="118"/>
      <c r="R1" s="118"/>
      <c r="S1" s="118"/>
      <c r="T1" s="118"/>
      <c r="U1" s="118"/>
      <c r="V1" s="118"/>
      <c r="W1" s="118"/>
      <c r="X1" s="118"/>
      <c r="Y1" s="118"/>
    </row>
    <row r="2">
      <c r="A2" s="76"/>
      <c r="B2" s="76"/>
      <c r="C2" s="77"/>
      <c r="D2" s="119"/>
      <c r="E2" s="120"/>
      <c r="F2" s="121"/>
      <c r="G2" s="122"/>
      <c r="H2" s="123"/>
      <c r="I2" s="117"/>
      <c r="J2" s="76"/>
      <c r="K2" s="76"/>
      <c r="L2" s="76"/>
      <c r="M2" s="76"/>
      <c r="N2" s="118"/>
      <c r="O2" s="118"/>
      <c r="P2" s="118"/>
      <c r="Q2" s="118"/>
      <c r="R2" s="118"/>
      <c r="S2" s="118"/>
      <c r="T2" s="118"/>
      <c r="U2" s="118"/>
      <c r="V2" s="118"/>
      <c r="W2" s="118"/>
      <c r="X2" s="118"/>
      <c r="Y2" s="118"/>
    </row>
    <row r="3">
      <c r="A3" s="76"/>
      <c r="B3" s="76"/>
      <c r="C3" s="77"/>
      <c r="D3" s="124"/>
      <c r="E3" s="124"/>
      <c r="F3" s="125"/>
      <c r="G3" s="124"/>
      <c r="H3" s="124"/>
      <c r="I3" s="77"/>
      <c r="J3" s="76"/>
      <c r="K3" s="76"/>
      <c r="L3" s="76"/>
      <c r="M3" s="76"/>
      <c r="N3" s="118"/>
      <c r="O3" s="118"/>
      <c r="P3" s="118"/>
      <c r="Q3" s="118"/>
      <c r="R3" s="118"/>
      <c r="S3" s="118"/>
      <c r="T3" s="118"/>
      <c r="U3" s="118"/>
      <c r="V3" s="118"/>
      <c r="W3" s="118"/>
      <c r="X3" s="118"/>
      <c r="Y3" s="118"/>
    </row>
    <row r="4">
      <c r="A4" s="76"/>
      <c r="B4" s="76"/>
      <c r="C4" s="77"/>
      <c r="D4" s="126"/>
      <c r="E4" s="126"/>
      <c r="F4" s="127"/>
      <c r="G4" s="126"/>
      <c r="H4" s="126"/>
      <c r="I4" s="77"/>
      <c r="J4" s="76"/>
      <c r="K4" s="76"/>
      <c r="L4" s="76"/>
      <c r="M4" s="76"/>
      <c r="N4" s="118"/>
      <c r="O4" s="118"/>
      <c r="P4" s="118"/>
      <c r="Q4" s="118"/>
      <c r="R4" s="118"/>
      <c r="S4" s="118"/>
      <c r="T4" s="118"/>
      <c r="U4" s="118"/>
      <c r="V4" s="118"/>
      <c r="W4" s="118"/>
      <c r="X4" s="118"/>
      <c r="Y4" s="118"/>
    </row>
    <row r="5">
      <c r="A5" s="76"/>
      <c r="B5" s="76"/>
      <c r="C5" s="77"/>
      <c r="D5" s="128"/>
      <c r="E5" s="128"/>
      <c r="F5" s="129"/>
      <c r="G5" s="128"/>
      <c r="H5" s="128"/>
      <c r="I5" s="77"/>
      <c r="J5" s="76"/>
      <c r="K5" s="76"/>
      <c r="L5" s="76"/>
      <c r="M5" s="76"/>
      <c r="N5" s="118"/>
      <c r="O5" s="118"/>
      <c r="P5" s="118"/>
      <c r="Q5" s="118"/>
      <c r="R5" s="118"/>
      <c r="S5" s="118"/>
      <c r="T5" s="118"/>
      <c r="U5" s="118"/>
      <c r="V5" s="118"/>
      <c r="W5" s="118"/>
      <c r="X5" s="118"/>
      <c r="Y5" s="118"/>
    </row>
    <row r="6">
      <c r="A6" s="130"/>
      <c r="B6" s="130"/>
      <c r="C6" s="131"/>
      <c r="D6" s="132" t="s">
        <v>170</v>
      </c>
      <c r="E6" s="133" t="s">
        <v>171</v>
      </c>
      <c r="F6" s="134" t="s">
        <v>172</v>
      </c>
      <c r="G6" s="133" t="s">
        <v>6</v>
      </c>
      <c r="H6" s="135" t="s">
        <v>7</v>
      </c>
      <c r="I6" s="136"/>
      <c r="J6" s="76"/>
      <c r="K6" s="76"/>
      <c r="L6" s="76"/>
      <c r="M6" s="76"/>
      <c r="N6" s="130"/>
      <c r="O6" s="130"/>
      <c r="P6" s="130"/>
      <c r="Q6" s="130"/>
      <c r="R6" s="130"/>
      <c r="S6" s="130"/>
      <c r="T6" s="130"/>
      <c r="U6" s="130"/>
      <c r="V6" s="130"/>
      <c r="W6" s="130"/>
      <c r="X6" s="130"/>
      <c r="Y6" s="130"/>
    </row>
    <row r="7">
      <c r="A7" s="137"/>
      <c r="B7" s="138"/>
      <c r="C7" s="139"/>
      <c r="D7" s="140"/>
      <c r="E7" s="141"/>
      <c r="F7" s="141"/>
      <c r="G7" s="142"/>
      <c r="H7" s="143"/>
      <c r="I7" s="118"/>
      <c r="J7" s="138"/>
      <c r="K7" s="138"/>
      <c r="L7" s="138"/>
      <c r="M7" s="138"/>
      <c r="N7" s="138"/>
      <c r="O7" s="138"/>
      <c r="P7" s="138"/>
      <c r="Q7" s="138"/>
      <c r="R7" s="138"/>
      <c r="S7" s="138"/>
      <c r="T7" s="138"/>
      <c r="U7" s="138"/>
      <c r="V7" s="138"/>
      <c r="W7" s="138"/>
      <c r="X7" s="138"/>
      <c r="Y7" s="139"/>
    </row>
    <row r="8">
      <c r="A8" s="137"/>
      <c r="B8" s="138"/>
      <c r="C8" s="139"/>
      <c r="D8" s="144">
        <v>45763.0</v>
      </c>
      <c r="E8" s="145" t="s">
        <v>84</v>
      </c>
      <c r="F8" s="145" t="s">
        <v>173</v>
      </c>
      <c r="G8" s="146" t="s">
        <v>143</v>
      </c>
      <c r="H8" s="147">
        <v>4.0</v>
      </c>
      <c r="I8" s="118"/>
      <c r="J8" s="138"/>
      <c r="K8" s="138"/>
      <c r="L8" s="138"/>
      <c r="M8" s="138"/>
      <c r="N8" s="138"/>
      <c r="O8" s="138"/>
      <c r="P8" s="138"/>
      <c r="Q8" s="138"/>
      <c r="R8" s="138"/>
      <c r="S8" s="138"/>
      <c r="T8" s="138"/>
      <c r="U8" s="138"/>
      <c r="V8" s="138"/>
      <c r="W8" s="138"/>
      <c r="X8" s="138"/>
      <c r="Y8" s="139"/>
    </row>
    <row r="9">
      <c r="A9" s="137"/>
      <c r="B9" s="138"/>
      <c r="C9" s="139"/>
      <c r="D9" s="140">
        <v>45757.0</v>
      </c>
      <c r="E9" s="141" t="s">
        <v>83</v>
      </c>
      <c r="F9" s="141" t="s">
        <v>174</v>
      </c>
      <c r="G9" s="142" t="s">
        <v>98</v>
      </c>
      <c r="H9" s="143">
        <v>8.0</v>
      </c>
      <c r="I9" s="118"/>
      <c r="J9" s="138"/>
      <c r="K9" s="138"/>
      <c r="L9" s="138"/>
      <c r="M9" s="138"/>
      <c r="N9" s="138"/>
      <c r="O9" s="138"/>
      <c r="P9" s="138"/>
      <c r="Q9" s="138"/>
      <c r="R9" s="138"/>
      <c r="S9" s="138"/>
      <c r="T9" s="138"/>
      <c r="U9" s="138"/>
      <c r="V9" s="138"/>
      <c r="W9" s="138"/>
      <c r="X9" s="138"/>
      <c r="Y9" s="139"/>
    </row>
    <row r="10">
      <c r="A10" s="137"/>
      <c r="B10" s="138"/>
      <c r="C10" s="139"/>
      <c r="D10" s="144">
        <v>45757.0</v>
      </c>
      <c r="E10" s="145" t="s">
        <v>83</v>
      </c>
      <c r="F10" s="145" t="s">
        <v>175</v>
      </c>
      <c r="G10" s="146" t="s">
        <v>102</v>
      </c>
      <c r="H10" s="147">
        <v>1.0</v>
      </c>
      <c r="I10" s="118"/>
      <c r="J10" s="138"/>
      <c r="K10" s="138"/>
      <c r="L10" s="138"/>
      <c r="M10" s="138"/>
      <c r="N10" s="138"/>
      <c r="O10" s="138"/>
      <c r="P10" s="138"/>
      <c r="Q10" s="138"/>
      <c r="R10" s="138"/>
      <c r="S10" s="138"/>
      <c r="T10" s="138"/>
      <c r="U10" s="138"/>
      <c r="V10" s="138"/>
      <c r="W10" s="138"/>
      <c r="X10" s="138"/>
      <c r="Y10" s="139"/>
    </row>
    <row r="11">
      <c r="A11" s="137"/>
      <c r="B11" s="138"/>
      <c r="C11" s="139"/>
      <c r="D11" s="140">
        <v>45757.0</v>
      </c>
      <c r="E11" s="141" t="s">
        <v>83</v>
      </c>
      <c r="F11" s="141" t="s">
        <v>174</v>
      </c>
      <c r="G11" s="142" t="s">
        <v>101</v>
      </c>
      <c r="H11" s="143">
        <v>2.0</v>
      </c>
      <c r="I11" s="118"/>
      <c r="J11" s="138"/>
      <c r="K11" s="138"/>
      <c r="L11" s="138"/>
      <c r="M11" s="138"/>
      <c r="N11" s="138"/>
      <c r="O11" s="138"/>
      <c r="P11" s="138"/>
      <c r="Q11" s="138"/>
      <c r="R11" s="138"/>
      <c r="S11" s="138"/>
      <c r="T11" s="138"/>
      <c r="U11" s="138"/>
      <c r="V11" s="138"/>
      <c r="W11" s="138"/>
      <c r="X11" s="138"/>
      <c r="Y11" s="139"/>
    </row>
    <row r="12">
      <c r="A12" s="137"/>
      <c r="B12" s="138"/>
      <c r="C12" s="139"/>
      <c r="D12" s="144">
        <v>45757.0</v>
      </c>
      <c r="E12" s="145" t="s">
        <v>83</v>
      </c>
      <c r="F12" s="145" t="s">
        <v>174</v>
      </c>
      <c r="G12" s="146" t="s">
        <v>100</v>
      </c>
      <c r="H12" s="147">
        <v>2.0</v>
      </c>
      <c r="I12" s="118"/>
      <c r="J12" s="138"/>
      <c r="K12" s="138"/>
      <c r="L12" s="138"/>
      <c r="M12" s="138"/>
      <c r="N12" s="138"/>
      <c r="O12" s="138"/>
      <c r="P12" s="138"/>
      <c r="Q12" s="138"/>
      <c r="R12" s="138"/>
      <c r="S12" s="138"/>
      <c r="T12" s="138"/>
      <c r="U12" s="138"/>
      <c r="V12" s="138"/>
      <c r="W12" s="138"/>
      <c r="X12" s="138"/>
      <c r="Y12" s="139"/>
    </row>
    <row r="13">
      <c r="A13" s="137"/>
      <c r="B13" s="138"/>
      <c r="C13" s="139"/>
      <c r="D13" s="140">
        <v>45757.0</v>
      </c>
      <c r="E13" s="141" t="s">
        <v>83</v>
      </c>
      <c r="F13" s="141" t="s">
        <v>174</v>
      </c>
      <c r="G13" s="142" t="s">
        <v>99</v>
      </c>
      <c r="H13" s="143">
        <v>3.0</v>
      </c>
      <c r="I13" s="118"/>
      <c r="J13" s="138"/>
      <c r="K13" s="138"/>
      <c r="L13" s="138"/>
      <c r="M13" s="138"/>
      <c r="N13" s="138"/>
      <c r="O13" s="138"/>
      <c r="P13" s="138"/>
      <c r="Q13" s="138"/>
      <c r="R13" s="138"/>
      <c r="S13" s="138"/>
      <c r="T13" s="138"/>
      <c r="U13" s="138"/>
      <c r="V13" s="138"/>
      <c r="W13" s="138"/>
      <c r="X13" s="138"/>
      <c r="Y13" s="139"/>
    </row>
    <row r="14">
      <c r="A14" s="137"/>
      <c r="B14" s="138"/>
      <c r="C14" s="139"/>
      <c r="D14" s="144">
        <v>45757.0</v>
      </c>
      <c r="E14" s="145" t="s">
        <v>84</v>
      </c>
      <c r="F14" s="145" t="s">
        <v>174</v>
      </c>
      <c r="G14" s="146" t="s">
        <v>163</v>
      </c>
      <c r="H14" s="147">
        <v>1.0</v>
      </c>
      <c r="I14" s="118"/>
      <c r="J14" s="138"/>
      <c r="K14" s="138"/>
      <c r="L14" s="138"/>
      <c r="M14" s="138"/>
      <c r="N14" s="138"/>
      <c r="O14" s="138"/>
      <c r="P14" s="138"/>
      <c r="Q14" s="138"/>
      <c r="R14" s="138"/>
      <c r="S14" s="138"/>
      <c r="T14" s="138"/>
      <c r="U14" s="138"/>
      <c r="V14" s="138"/>
      <c r="W14" s="138"/>
      <c r="X14" s="138"/>
      <c r="Y14" s="139"/>
    </row>
    <row r="15">
      <c r="A15" s="137"/>
      <c r="B15" s="138"/>
      <c r="C15" s="139"/>
      <c r="D15" s="140">
        <v>45757.0</v>
      </c>
      <c r="E15" s="141" t="s">
        <v>84</v>
      </c>
      <c r="F15" s="141" t="s">
        <v>174</v>
      </c>
      <c r="G15" s="142" t="s">
        <v>143</v>
      </c>
      <c r="H15" s="143">
        <v>3.0</v>
      </c>
      <c r="I15" s="118"/>
      <c r="J15" s="138"/>
      <c r="K15" s="138"/>
      <c r="L15" s="138"/>
      <c r="M15" s="138"/>
      <c r="N15" s="138"/>
      <c r="O15" s="138"/>
      <c r="P15" s="138"/>
      <c r="Q15" s="138"/>
      <c r="R15" s="138"/>
      <c r="S15" s="138"/>
      <c r="T15" s="138"/>
      <c r="U15" s="138"/>
      <c r="V15" s="138"/>
      <c r="W15" s="138"/>
      <c r="X15" s="138"/>
      <c r="Y15" s="139"/>
    </row>
    <row r="16">
      <c r="A16" s="137"/>
      <c r="B16" s="138"/>
      <c r="C16" s="139"/>
      <c r="D16" s="144">
        <v>45757.0</v>
      </c>
      <c r="E16" s="145" t="s">
        <v>84</v>
      </c>
      <c r="F16" s="145" t="s">
        <v>174</v>
      </c>
      <c r="G16" s="146" t="s">
        <v>141</v>
      </c>
      <c r="H16" s="147">
        <v>2.0</v>
      </c>
      <c r="I16" s="118"/>
      <c r="J16" s="138"/>
      <c r="K16" s="138"/>
      <c r="L16" s="138"/>
      <c r="M16" s="138"/>
      <c r="N16" s="138"/>
      <c r="O16" s="138"/>
      <c r="P16" s="138"/>
      <c r="Q16" s="138"/>
      <c r="R16" s="138"/>
      <c r="S16" s="138"/>
      <c r="T16" s="138"/>
      <c r="U16" s="138"/>
      <c r="V16" s="138"/>
      <c r="W16" s="138"/>
      <c r="X16" s="138"/>
      <c r="Y16" s="139"/>
    </row>
    <row r="17">
      <c r="A17" s="137"/>
      <c r="B17" s="138"/>
      <c r="C17" s="139"/>
      <c r="D17" s="140">
        <v>45757.0</v>
      </c>
      <c r="E17" s="141" t="s">
        <v>84</v>
      </c>
      <c r="F17" s="141" t="s">
        <v>174</v>
      </c>
      <c r="G17" s="142" t="s">
        <v>139</v>
      </c>
      <c r="H17" s="143">
        <v>3.0</v>
      </c>
      <c r="I17" s="118"/>
      <c r="J17" s="138"/>
      <c r="K17" s="138"/>
      <c r="L17" s="138"/>
      <c r="M17" s="138"/>
      <c r="N17" s="138"/>
      <c r="O17" s="138"/>
      <c r="P17" s="138"/>
      <c r="Q17" s="138"/>
      <c r="R17" s="138"/>
      <c r="S17" s="138"/>
      <c r="T17" s="138"/>
      <c r="U17" s="138"/>
      <c r="V17" s="138"/>
      <c r="W17" s="138"/>
      <c r="X17" s="138"/>
      <c r="Y17" s="139"/>
    </row>
    <row r="18">
      <c r="A18" s="137"/>
      <c r="B18" s="138"/>
      <c r="C18" s="139"/>
      <c r="D18" s="144">
        <v>45757.0</v>
      </c>
      <c r="E18" s="145" t="s">
        <v>84</v>
      </c>
      <c r="F18" s="145" t="s">
        <v>174</v>
      </c>
      <c r="G18" s="146" t="s">
        <v>136</v>
      </c>
      <c r="H18" s="147">
        <v>2.0</v>
      </c>
      <c r="I18" s="118"/>
      <c r="J18" s="138"/>
      <c r="K18" s="138"/>
      <c r="L18" s="138"/>
      <c r="M18" s="138"/>
      <c r="N18" s="138"/>
      <c r="O18" s="138"/>
      <c r="P18" s="138"/>
      <c r="Q18" s="138"/>
      <c r="R18" s="138"/>
      <c r="S18" s="138"/>
      <c r="T18" s="138"/>
      <c r="U18" s="138"/>
      <c r="V18" s="138"/>
      <c r="W18" s="138"/>
      <c r="X18" s="138"/>
      <c r="Y18" s="139"/>
    </row>
    <row r="19">
      <c r="A19" s="137"/>
      <c r="B19" s="138"/>
      <c r="C19" s="139"/>
      <c r="D19" s="140">
        <v>45757.0</v>
      </c>
      <c r="E19" s="141" t="s">
        <v>83</v>
      </c>
      <c r="F19" s="141" t="s">
        <v>174</v>
      </c>
      <c r="G19" s="142" t="s">
        <v>131</v>
      </c>
      <c r="H19" s="143">
        <v>10.0</v>
      </c>
      <c r="I19" s="118"/>
      <c r="J19" s="138"/>
      <c r="K19" s="138"/>
      <c r="L19" s="138"/>
      <c r="M19" s="138"/>
      <c r="N19" s="138"/>
      <c r="O19" s="138"/>
      <c r="P19" s="138"/>
      <c r="Q19" s="138"/>
      <c r="R19" s="138"/>
      <c r="S19" s="138"/>
      <c r="T19" s="138"/>
      <c r="U19" s="138"/>
      <c r="V19" s="138"/>
      <c r="W19" s="138"/>
      <c r="X19" s="138"/>
      <c r="Y19" s="139"/>
    </row>
    <row r="20">
      <c r="A20" s="137"/>
      <c r="B20" s="138"/>
      <c r="C20" s="139"/>
      <c r="D20" s="144">
        <v>45757.0</v>
      </c>
      <c r="E20" s="145" t="s">
        <v>84</v>
      </c>
      <c r="F20" s="145" t="s">
        <v>174</v>
      </c>
      <c r="G20" s="146" t="s">
        <v>124</v>
      </c>
      <c r="H20" s="147">
        <v>3.0</v>
      </c>
      <c r="I20" s="118"/>
      <c r="J20" s="138"/>
      <c r="K20" s="138"/>
      <c r="L20" s="138"/>
      <c r="M20" s="138"/>
      <c r="N20" s="138"/>
      <c r="O20" s="138"/>
      <c r="P20" s="138"/>
      <c r="Q20" s="138"/>
      <c r="R20" s="138"/>
      <c r="S20" s="138"/>
      <c r="T20" s="138"/>
      <c r="U20" s="138"/>
      <c r="V20" s="138"/>
      <c r="W20" s="138"/>
      <c r="X20" s="138"/>
      <c r="Y20" s="139"/>
    </row>
    <row r="21">
      <c r="A21" s="137"/>
      <c r="B21" s="138"/>
      <c r="C21" s="139"/>
      <c r="D21" s="140">
        <v>45734.0</v>
      </c>
      <c r="E21" s="141" t="s">
        <v>83</v>
      </c>
      <c r="F21" s="141" t="s">
        <v>176</v>
      </c>
      <c r="G21" s="142" t="s">
        <v>129</v>
      </c>
      <c r="H21" s="143">
        <v>2.0</v>
      </c>
      <c r="I21" s="118"/>
      <c r="J21" s="138"/>
      <c r="K21" s="138"/>
      <c r="L21" s="138"/>
      <c r="M21" s="138"/>
      <c r="N21" s="138"/>
      <c r="O21" s="138"/>
      <c r="P21" s="138"/>
      <c r="Q21" s="138"/>
      <c r="R21" s="138"/>
      <c r="S21" s="138"/>
      <c r="T21" s="138"/>
      <c r="U21" s="138"/>
      <c r="V21" s="138"/>
      <c r="W21" s="138"/>
      <c r="X21" s="138"/>
      <c r="Y21" s="139"/>
    </row>
    <row r="22">
      <c r="A22" s="137"/>
      <c r="B22" s="138"/>
      <c r="C22" s="139"/>
      <c r="D22" s="144">
        <v>45734.0</v>
      </c>
      <c r="E22" s="145" t="s">
        <v>83</v>
      </c>
      <c r="F22" s="145" t="s">
        <v>176</v>
      </c>
      <c r="G22" s="146" t="s">
        <v>130</v>
      </c>
      <c r="H22" s="147">
        <v>5.0</v>
      </c>
      <c r="I22" s="118"/>
      <c r="J22" s="138"/>
      <c r="K22" s="138"/>
      <c r="L22" s="138"/>
      <c r="M22" s="138"/>
      <c r="N22" s="138"/>
      <c r="O22" s="138"/>
      <c r="P22" s="138"/>
      <c r="Q22" s="138"/>
      <c r="R22" s="138"/>
      <c r="S22" s="138"/>
      <c r="T22" s="138"/>
      <c r="U22" s="138"/>
      <c r="V22" s="138"/>
      <c r="W22" s="138"/>
      <c r="X22" s="138"/>
      <c r="Y22" s="139"/>
    </row>
    <row r="23">
      <c r="A23" s="137"/>
      <c r="B23" s="138"/>
      <c r="C23" s="139"/>
      <c r="D23" s="140">
        <v>45734.0</v>
      </c>
      <c r="E23" s="141" t="s">
        <v>83</v>
      </c>
      <c r="F23" s="141" t="s">
        <v>176</v>
      </c>
      <c r="G23" s="142" t="s">
        <v>120</v>
      </c>
      <c r="H23" s="143">
        <v>12.0</v>
      </c>
      <c r="I23" s="118"/>
      <c r="J23" s="138"/>
      <c r="K23" s="138"/>
      <c r="L23" s="138"/>
      <c r="M23" s="138"/>
      <c r="N23" s="138"/>
      <c r="O23" s="138"/>
      <c r="P23" s="138"/>
      <c r="Q23" s="138"/>
      <c r="R23" s="138"/>
      <c r="S23" s="138"/>
      <c r="T23" s="138"/>
      <c r="U23" s="138"/>
      <c r="V23" s="138"/>
      <c r="W23" s="138"/>
      <c r="X23" s="138"/>
      <c r="Y23" s="139"/>
    </row>
    <row r="24">
      <c r="A24" s="137"/>
      <c r="B24" s="138"/>
      <c r="C24" s="139"/>
      <c r="D24" s="144">
        <v>45734.0</v>
      </c>
      <c r="E24" s="145" t="s">
        <v>83</v>
      </c>
      <c r="F24" s="145" t="s">
        <v>176</v>
      </c>
      <c r="G24" s="146" t="s">
        <v>118</v>
      </c>
      <c r="H24" s="147">
        <v>2.0</v>
      </c>
      <c r="I24" s="118"/>
      <c r="J24" s="138"/>
      <c r="K24" s="138"/>
      <c r="L24" s="138"/>
      <c r="M24" s="138"/>
      <c r="N24" s="138"/>
      <c r="O24" s="138"/>
      <c r="P24" s="138"/>
      <c r="Q24" s="138"/>
      <c r="R24" s="138"/>
      <c r="S24" s="138"/>
      <c r="T24" s="138"/>
      <c r="U24" s="138"/>
      <c r="V24" s="138"/>
      <c r="W24" s="138"/>
      <c r="X24" s="138"/>
      <c r="Y24" s="139"/>
    </row>
    <row r="25">
      <c r="A25" s="137"/>
      <c r="B25" s="138"/>
      <c r="C25" s="139"/>
      <c r="D25" s="140">
        <v>45734.0</v>
      </c>
      <c r="E25" s="141" t="s">
        <v>83</v>
      </c>
      <c r="F25" s="141" t="s">
        <v>176</v>
      </c>
      <c r="G25" s="142" t="s">
        <v>117</v>
      </c>
      <c r="H25" s="143">
        <v>12.0</v>
      </c>
      <c r="I25" s="118"/>
      <c r="J25" s="138"/>
      <c r="K25" s="138"/>
      <c r="L25" s="138"/>
      <c r="M25" s="138"/>
      <c r="N25" s="138"/>
      <c r="O25" s="138"/>
      <c r="P25" s="138"/>
      <c r="Q25" s="138"/>
      <c r="R25" s="138"/>
      <c r="S25" s="138"/>
      <c r="T25" s="138"/>
      <c r="U25" s="138"/>
      <c r="V25" s="138"/>
      <c r="W25" s="138"/>
      <c r="X25" s="138"/>
      <c r="Y25" s="139"/>
    </row>
    <row r="26">
      <c r="A26" s="137"/>
      <c r="B26" s="138"/>
      <c r="C26" s="139"/>
      <c r="D26" s="144">
        <v>45734.0</v>
      </c>
      <c r="E26" s="145" t="s">
        <v>83</v>
      </c>
      <c r="F26" s="145" t="s">
        <v>176</v>
      </c>
      <c r="G26" s="146" t="s">
        <v>119</v>
      </c>
      <c r="H26" s="147">
        <v>17.0</v>
      </c>
      <c r="I26" s="118"/>
      <c r="J26" s="138"/>
      <c r="K26" s="138"/>
      <c r="L26" s="138"/>
      <c r="M26" s="138"/>
      <c r="N26" s="138"/>
      <c r="O26" s="138"/>
      <c r="P26" s="138"/>
      <c r="Q26" s="138"/>
      <c r="R26" s="138"/>
      <c r="S26" s="138"/>
      <c r="T26" s="138"/>
      <c r="U26" s="138"/>
      <c r="V26" s="138"/>
      <c r="W26" s="138"/>
      <c r="X26" s="138"/>
      <c r="Y26" s="139"/>
    </row>
    <row r="27">
      <c r="A27" s="137"/>
      <c r="B27" s="138"/>
      <c r="C27" s="139"/>
      <c r="D27" s="140"/>
      <c r="E27" s="141"/>
      <c r="F27" s="141"/>
      <c r="G27" s="142"/>
      <c r="H27" s="143"/>
      <c r="I27" s="118"/>
      <c r="J27" s="138"/>
      <c r="K27" s="138"/>
      <c r="L27" s="138"/>
      <c r="M27" s="138"/>
      <c r="N27" s="138"/>
      <c r="O27" s="138"/>
      <c r="P27" s="138"/>
      <c r="Q27" s="138"/>
      <c r="R27" s="138"/>
      <c r="S27" s="138"/>
      <c r="T27" s="138"/>
      <c r="U27" s="138"/>
      <c r="V27" s="138"/>
      <c r="W27" s="138"/>
      <c r="X27" s="138"/>
      <c r="Y27" s="139"/>
    </row>
    <row r="28">
      <c r="A28" s="137"/>
      <c r="B28" s="138"/>
      <c r="C28" s="139"/>
      <c r="D28" s="144">
        <v>45729.0</v>
      </c>
      <c r="E28" s="145" t="s">
        <v>84</v>
      </c>
      <c r="F28" s="145" t="s">
        <v>177</v>
      </c>
      <c r="G28" s="146" t="s">
        <v>169</v>
      </c>
      <c r="H28" s="147">
        <v>4.0</v>
      </c>
      <c r="I28" s="118"/>
      <c r="J28" s="138"/>
      <c r="K28" s="138"/>
      <c r="L28" s="138"/>
      <c r="M28" s="138"/>
      <c r="N28" s="138"/>
      <c r="O28" s="138"/>
      <c r="P28" s="138"/>
      <c r="Q28" s="138"/>
      <c r="R28" s="138"/>
      <c r="S28" s="138"/>
      <c r="T28" s="138"/>
      <c r="U28" s="138"/>
      <c r="V28" s="138"/>
      <c r="W28" s="138"/>
      <c r="X28" s="138"/>
      <c r="Y28" s="139"/>
    </row>
    <row r="29">
      <c r="A29" s="137"/>
      <c r="B29" s="138"/>
      <c r="C29" s="139"/>
      <c r="D29" s="140">
        <v>45729.0</v>
      </c>
      <c r="E29" s="141" t="s">
        <v>84</v>
      </c>
      <c r="F29" s="141" t="s">
        <v>178</v>
      </c>
      <c r="G29" s="142" t="s">
        <v>161</v>
      </c>
      <c r="H29" s="143">
        <v>1.0</v>
      </c>
      <c r="I29" s="118"/>
      <c r="J29" s="138"/>
      <c r="K29" s="138"/>
      <c r="L29" s="138"/>
      <c r="M29" s="138"/>
      <c r="N29" s="138"/>
      <c r="O29" s="138"/>
      <c r="P29" s="138"/>
      <c r="Q29" s="138"/>
      <c r="R29" s="138"/>
      <c r="S29" s="138"/>
      <c r="T29" s="138"/>
      <c r="U29" s="138"/>
      <c r="V29" s="138"/>
      <c r="W29" s="138"/>
      <c r="X29" s="138"/>
      <c r="Y29" s="139"/>
    </row>
    <row r="30">
      <c r="A30" s="137"/>
      <c r="B30" s="138"/>
      <c r="C30" s="139"/>
      <c r="D30" s="144">
        <v>45729.0</v>
      </c>
      <c r="E30" s="145" t="s">
        <v>84</v>
      </c>
      <c r="F30" s="145" t="s">
        <v>177</v>
      </c>
      <c r="G30" s="146" t="s">
        <v>157</v>
      </c>
      <c r="H30" s="147">
        <v>1.0</v>
      </c>
      <c r="I30" s="118"/>
      <c r="J30" s="138"/>
      <c r="K30" s="138"/>
      <c r="L30" s="138"/>
      <c r="M30" s="138"/>
      <c r="N30" s="138"/>
      <c r="O30" s="138"/>
      <c r="P30" s="138"/>
      <c r="Q30" s="138"/>
      <c r="R30" s="138"/>
      <c r="S30" s="138"/>
      <c r="T30" s="138"/>
      <c r="U30" s="138"/>
      <c r="V30" s="138"/>
      <c r="W30" s="138"/>
      <c r="X30" s="138"/>
      <c r="Y30" s="139"/>
    </row>
    <row r="31">
      <c r="A31" s="137"/>
      <c r="B31" s="138"/>
      <c r="C31" s="139"/>
      <c r="D31" s="140">
        <v>45729.0</v>
      </c>
      <c r="E31" s="141" t="s">
        <v>84</v>
      </c>
      <c r="F31" s="141" t="s">
        <v>179</v>
      </c>
      <c r="G31" s="142" t="s">
        <v>109</v>
      </c>
      <c r="H31" s="143">
        <v>2.0</v>
      </c>
      <c r="I31" s="118"/>
      <c r="J31" s="138"/>
      <c r="K31" s="138"/>
      <c r="L31" s="138"/>
      <c r="M31" s="138"/>
      <c r="N31" s="138"/>
      <c r="O31" s="138"/>
      <c r="P31" s="138"/>
      <c r="Q31" s="138"/>
      <c r="R31" s="138"/>
      <c r="S31" s="138"/>
      <c r="T31" s="138"/>
      <c r="U31" s="138"/>
      <c r="V31" s="138"/>
      <c r="W31" s="138"/>
      <c r="X31" s="138"/>
      <c r="Y31" s="139"/>
    </row>
    <row r="32">
      <c r="A32" s="137"/>
      <c r="B32" s="138"/>
      <c r="C32" s="139"/>
      <c r="D32" s="144">
        <v>45729.0</v>
      </c>
      <c r="E32" s="145" t="s">
        <v>84</v>
      </c>
      <c r="F32" s="145" t="s">
        <v>179</v>
      </c>
      <c r="G32" s="146" t="s">
        <v>107</v>
      </c>
      <c r="H32" s="147">
        <v>3.0</v>
      </c>
      <c r="I32" s="118"/>
      <c r="J32" s="138"/>
      <c r="K32" s="138"/>
      <c r="L32" s="138"/>
      <c r="M32" s="138"/>
      <c r="N32" s="138"/>
      <c r="O32" s="138"/>
      <c r="P32" s="138"/>
      <c r="Q32" s="138"/>
      <c r="R32" s="138"/>
      <c r="S32" s="138"/>
      <c r="T32" s="138"/>
      <c r="U32" s="138"/>
      <c r="V32" s="138"/>
      <c r="W32" s="138"/>
      <c r="X32" s="138"/>
      <c r="Y32" s="139"/>
    </row>
    <row r="33">
      <c r="A33" s="137"/>
      <c r="B33" s="138"/>
      <c r="C33" s="139"/>
      <c r="D33" s="140">
        <v>45729.0</v>
      </c>
      <c r="E33" s="141" t="s">
        <v>84</v>
      </c>
      <c r="F33" s="141" t="s">
        <v>177</v>
      </c>
      <c r="G33" s="142" t="s">
        <v>94</v>
      </c>
      <c r="H33" s="143">
        <v>2.0</v>
      </c>
      <c r="I33" s="118"/>
      <c r="J33" s="138"/>
      <c r="K33" s="138"/>
      <c r="L33" s="138"/>
      <c r="M33" s="138"/>
      <c r="N33" s="138"/>
      <c r="O33" s="138"/>
      <c r="P33" s="138"/>
      <c r="Q33" s="138"/>
      <c r="R33" s="138"/>
      <c r="S33" s="138"/>
      <c r="T33" s="138"/>
      <c r="U33" s="138"/>
      <c r="V33" s="138"/>
      <c r="W33" s="138"/>
      <c r="X33" s="138"/>
      <c r="Y33" s="139"/>
    </row>
    <row r="34">
      <c r="A34" s="137"/>
      <c r="B34" s="138"/>
      <c r="C34" s="139"/>
      <c r="D34" s="144">
        <v>45719.0</v>
      </c>
      <c r="E34" s="145" t="s">
        <v>84</v>
      </c>
      <c r="F34" s="145" t="s">
        <v>180</v>
      </c>
      <c r="G34" s="146" t="s">
        <v>104</v>
      </c>
      <c r="H34" s="147">
        <v>2.0</v>
      </c>
      <c r="I34" s="118"/>
      <c r="J34" s="138"/>
      <c r="K34" s="138"/>
      <c r="L34" s="138"/>
      <c r="M34" s="138"/>
      <c r="N34" s="138"/>
      <c r="O34" s="138"/>
      <c r="P34" s="138"/>
      <c r="Q34" s="138"/>
      <c r="R34" s="138"/>
      <c r="S34" s="138"/>
      <c r="T34" s="138"/>
      <c r="U34" s="138"/>
      <c r="V34" s="138"/>
      <c r="W34" s="138"/>
      <c r="X34" s="138"/>
      <c r="Y34" s="139"/>
    </row>
    <row r="35">
      <c r="A35" s="137"/>
      <c r="B35" s="138"/>
      <c r="C35" s="139"/>
      <c r="D35" s="140">
        <v>45719.0</v>
      </c>
      <c r="E35" s="141" t="s">
        <v>84</v>
      </c>
      <c r="F35" s="141" t="s">
        <v>180</v>
      </c>
      <c r="G35" s="142" t="s">
        <v>109</v>
      </c>
      <c r="H35" s="143">
        <v>2.0</v>
      </c>
      <c r="I35" s="118"/>
      <c r="J35" s="138"/>
      <c r="K35" s="138"/>
      <c r="L35" s="138"/>
      <c r="M35" s="138"/>
      <c r="N35" s="138"/>
      <c r="O35" s="138"/>
      <c r="P35" s="138"/>
      <c r="Q35" s="138"/>
      <c r="R35" s="138"/>
      <c r="S35" s="138"/>
      <c r="T35" s="138"/>
      <c r="U35" s="138"/>
      <c r="V35" s="138"/>
      <c r="W35" s="138"/>
      <c r="X35" s="138"/>
      <c r="Y35" s="139"/>
    </row>
    <row r="36">
      <c r="A36" s="137"/>
      <c r="B36" s="138"/>
      <c r="C36" s="139"/>
      <c r="D36" s="144">
        <v>45719.0</v>
      </c>
      <c r="E36" s="145" t="s">
        <v>84</v>
      </c>
      <c r="F36" s="145" t="s">
        <v>180</v>
      </c>
      <c r="G36" s="146" t="s">
        <v>148</v>
      </c>
      <c r="H36" s="147">
        <v>3.0</v>
      </c>
      <c r="I36" s="118"/>
      <c r="J36" s="138"/>
      <c r="K36" s="138"/>
      <c r="L36" s="138"/>
      <c r="M36" s="138"/>
      <c r="N36" s="138"/>
      <c r="O36" s="138"/>
      <c r="P36" s="138"/>
      <c r="Q36" s="138"/>
      <c r="R36" s="138"/>
      <c r="S36" s="138"/>
      <c r="T36" s="138"/>
      <c r="U36" s="138"/>
      <c r="V36" s="138"/>
      <c r="W36" s="138"/>
      <c r="X36" s="138"/>
      <c r="Y36" s="139"/>
    </row>
    <row r="37">
      <c r="A37" s="137"/>
      <c r="B37" s="138"/>
      <c r="C37" s="139"/>
      <c r="D37" s="140">
        <v>45719.0</v>
      </c>
      <c r="E37" s="141" t="s">
        <v>84</v>
      </c>
      <c r="F37" s="141" t="s">
        <v>180</v>
      </c>
      <c r="G37" s="142" t="s">
        <v>147</v>
      </c>
      <c r="H37" s="143">
        <v>7.0</v>
      </c>
      <c r="I37" s="118"/>
      <c r="J37" s="138"/>
      <c r="K37" s="138"/>
      <c r="L37" s="138"/>
      <c r="M37" s="138"/>
      <c r="N37" s="138"/>
      <c r="O37" s="138"/>
      <c r="P37" s="138"/>
      <c r="Q37" s="138"/>
      <c r="R37" s="138"/>
      <c r="S37" s="138"/>
      <c r="T37" s="138"/>
      <c r="U37" s="138"/>
      <c r="V37" s="138"/>
      <c r="W37" s="138"/>
      <c r="X37" s="138"/>
      <c r="Y37" s="139"/>
    </row>
    <row r="38">
      <c r="A38" s="137"/>
      <c r="B38" s="138"/>
      <c r="C38" s="139"/>
      <c r="D38" s="144">
        <v>45716.0</v>
      </c>
      <c r="E38" s="145" t="s">
        <v>83</v>
      </c>
      <c r="F38" s="145" t="s">
        <v>174</v>
      </c>
      <c r="G38" s="146" t="s">
        <v>136</v>
      </c>
      <c r="H38" s="147">
        <v>5.0</v>
      </c>
      <c r="I38" s="118"/>
      <c r="J38" s="138"/>
      <c r="K38" s="138"/>
      <c r="L38" s="138"/>
      <c r="M38" s="138"/>
      <c r="N38" s="138"/>
      <c r="O38" s="138"/>
      <c r="P38" s="138"/>
      <c r="Q38" s="138"/>
      <c r="R38" s="138"/>
      <c r="S38" s="138"/>
      <c r="T38" s="138"/>
      <c r="U38" s="138"/>
      <c r="V38" s="138"/>
      <c r="W38" s="138"/>
      <c r="X38" s="138"/>
      <c r="Y38" s="139"/>
    </row>
    <row r="39">
      <c r="A39" s="137"/>
      <c r="B39" s="138"/>
      <c r="C39" s="139"/>
      <c r="D39" s="140">
        <v>45716.0</v>
      </c>
      <c r="E39" s="141" t="s">
        <v>83</v>
      </c>
      <c r="F39" s="141" t="s">
        <v>174</v>
      </c>
      <c r="G39" s="142" t="s">
        <v>93</v>
      </c>
      <c r="H39" s="143">
        <v>4.0</v>
      </c>
      <c r="I39" s="118"/>
      <c r="J39" s="138"/>
      <c r="K39" s="138"/>
      <c r="L39" s="138"/>
      <c r="M39" s="138"/>
      <c r="N39" s="138"/>
      <c r="O39" s="138"/>
      <c r="P39" s="138"/>
      <c r="Q39" s="138"/>
      <c r="R39" s="138"/>
      <c r="S39" s="138"/>
      <c r="T39" s="138"/>
      <c r="U39" s="138"/>
      <c r="V39" s="138"/>
      <c r="W39" s="138"/>
      <c r="X39" s="138"/>
      <c r="Y39" s="139"/>
    </row>
    <row r="40">
      <c r="A40" s="137"/>
      <c r="B40" s="138"/>
      <c r="C40" s="139"/>
      <c r="D40" s="144">
        <v>45716.0</v>
      </c>
      <c r="E40" s="145" t="s">
        <v>83</v>
      </c>
      <c r="F40" s="145" t="s">
        <v>174</v>
      </c>
      <c r="G40" s="146" t="s">
        <v>92</v>
      </c>
      <c r="H40" s="147">
        <v>11.0</v>
      </c>
      <c r="I40" s="118"/>
      <c r="J40" s="138"/>
      <c r="K40" s="138"/>
      <c r="L40" s="138"/>
      <c r="M40" s="138"/>
      <c r="N40" s="138"/>
      <c r="O40" s="138"/>
      <c r="P40" s="138"/>
      <c r="Q40" s="138"/>
      <c r="R40" s="138"/>
      <c r="S40" s="138"/>
      <c r="T40" s="138"/>
      <c r="U40" s="138"/>
      <c r="V40" s="138"/>
      <c r="W40" s="138"/>
      <c r="X40" s="138"/>
      <c r="Y40" s="139"/>
    </row>
    <row r="41">
      <c r="A41" s="137"/>
      <c r="B41" s="138"/>
      <c r="C41" s="139"/>
      <c r="D41" s="140">
        <v>45716.0</v>
      </c>
      <c r="E41" s="141" t="s">
        <v>83</v>
      </c>
      <c r="F41" s="141" t="s">
        <v>174</v>
      </c>
      <c r="G41" s="142" t="s">
        <v>135</v>
      </c>
      <c r="H41" s="143">
        <v>1.0</v>
      </c>
      <c r="I41" s="118"/>
      <c r="J41" s="138"/>
      <c r="K41" s="138"/>
      <c r="L41" s="138"/>
      <c r="M41" s="138"/>
      <c r="N41" s="138"/>
      <c r="O41" s="138"/>
      <c r="P41" s="138"/>
      <c r="Q41" s="138"/>
      <c r="R41" s="138"/>
      <c r="S41" s="138"/>
      <c r="T41" s="138"/>
      <c r="U41" s="138"/>
      <c r="V41" s="138"/>
      <c r="W41" s="138"/>
      <c r="X41" s="138"/>
      <c r="Y41" s="139"/>
    </row>
    <row r="42">
      <c r="A42" s="137"/>
      <c r="B42" s="138"/>
      <c r="C42" s="139"/>
      <c r="D42" s="144">
        <v>45716.0</v>
      </c>
      <c r="E42" s="145" t="s">
        <v>83</v>
      </c>
      <c r="F42" s="145" t="s">
        <v>174</v>
      </c>
      <c r="G42" s="146" t="s">
        <v>134</v>
      </c>
      <c r="H42" s="147">
        <v>2.0</v>
      </c>
      <c r="I42" s="118"/>
      <c r="J42" s="138"/>
      <c r="K42" s="138"/>
      <c r="L42" s="138"/>
      <c r="M42" s="138"/>
      <c r="N42" s="138"/>
      <c r="O42" s="138"/>
      <c r="P42" s="138"/>
      <c r="Q42" s="138"/>
      <c r="R42" s="138"/>
      <c r="S42" s="138"/>
      <c r="T42" s="138"/>
      <c r="U42" s="138"/>
      <c r="V42" s="138"/>
      <c r="W42" s="138"/>
      <c r="X42" s="138"/>
      <c r="Y42" s="139"/>
    </row>
    <row r="43">
      <c r="A43" s="137"/>
      <c r="B43" s="138"/>
      <c r="C43" s="139"/>
      <c r="D43" s="140">
        <v>45716.0</v>
      </c>
      <c r="E43" s="141" t="s">
        <v>83</v>
      </c>
      <c r="F43" s="141" t="s">
        <v>174</v>
      </c>
      <c r="G43" s="142" t="s">
        <v>133</v>
      </c>
      <c r="H43" s="143">
        <v>3.0</v>
      </c>
      <c r="I43" s="118"/>
      <c r="J43" s="138"/>
      <c r="K43" s="138"/>
      <c r="L43" s="138"/>
      <c r="M43" s="138"/>
      <c r="N43" s="138"/>
      <c r="O43" s="138"/>
      <c r="P43" s="138"/>
      <c r="Q43" s="138"/>
      <c r="R43" s="138"/>
      <c r="S43" s="138"/>
      <c r="T43" s="138"/>
      <c r="U43" s="138"/>
      <c r="V43" s="138"/>
      <c r="W43" s="138"/>
      <c r="X43" s="138"/>
      <c r="Y43" s="139"/>
    </row>
    <row r="44">
      <c r="A44" s="137"/>
      <c r="B44" s="138"/>
      <c r="C44" s="139"/>
      <c r="D44" s="144">
        <v>45716.0</v>
      </c>
      <c r="E44" s="145" t="s">
        <v>83</v>
      </c>
      <c r="F44" s="145" t="s">
        <v>174</v>
      </c>
      <c r="G44" s="146" t="s">
        <v>132</v>
      </c>
      <c r="H44" s="147">
        <v>4.0</v>
      </c>
      <c r="I44" s="118"/>
      <c r="J44" s="138"/>
      <c r="K44" s="138"/>
      <c r="L44" s="138"/>
      <c r="M44" s="138"/>
      <c r="N44" s="138"/>
      <c r="O44" s="138"/>
      <c r="P44" s="138"/>
      <c r="Q44" s="138"/>
      <c r="R44" s="138"/>
      <c r="S44" s="138"/>
      <c r="T44" s="138"/>
      <c r="U44" s="138"/>
      <c r="V44" s="138"/>
      <c r="W44" s="138"/>
      <c r="X44" s="138"/>
      <c r="Y44" s="139"/>
    </row>
    <row r="45">
      <c r="A45" s="137"/>
      <c r="B45" s="138"/>
      <c r="C45" s="139"/>
      <c r="D45" s="140">
        <v>45716.0</v>
      </c>
      <c r="E45" s="141" t="s">
        <v>83</v>
      </c>
      <c r="F45" s="141" t="s">
        <v>174</v>
      </c>
      <c r="G45" s="142" t="s">
        <v>91</v>
      </c>
      <c r="H45" s="143">
        <v>11.0</v>
      </c>
      <c r="I45" s="118"/>
      <c r="J45" s="138"/>
      <c r="K45" s="138"/>
      <c r="L45" s="138"/>
      <c r="M45" s="138"/>
      <c r="N45" s="138"/>
      <c r="O45" s="138"/>
      <c r="P45" s="138"/>
      <c r="Q45" s="138"/>
      <c r="R45" s="138"/>
      <c r="S45" s="138"/>
      <c r="T45" s="138"/>
      <c r="U45" s="138"/>
      <c r="V45" s="138"/>
      <c r="W45" s="138"/>
      <c r="X45" s="138"/>
      <c r="Y45" s="139"/>
    </row>
    <row r="46">
      <c r="A46" s="137"/>
      <c r="B46" s="138"/>
      <c r="C46" s="139"/>
      <c r="D46" s="144">
        <v>45716.0</v>
      </c>
      <c r="E46" s="145" t="s">
        <v>83</v>
      </c>
      <c r="F46" s="145" t="s">
        <v>174</v>
      </c>
      <c r="G46" s="146" t="s">
        <v>139</v>
      </c>
      <c r="H46" s="147">
        <v>4.0</v>
      </c>
      <c r="I46" s="118"/>
      <c r="J46" s="138"/>
      <c r="K46" s="138"/>
      <c r="L46" s="138"/>
      <c r="M46" s="138"/>
      <c r="N46" s="138"/>
      <c r="O46" s="138"/>
      <c r="P46" s="138"/>
      <c r="Q46" s="138"/>
      <c r="R46" s="138"/>
      <c r="S46" s="138"/>
      <c r="T46" s="138"/>
      <c r="U46" s="138"/>
      <c r="V46" s="138"/>
      <c r="W46" s="138"/>
      <c r="X46" s="138"/>
      <c r="Y46" s="139"/>
    </row>
    <row r="47">
      <c r="A47" s="137"/>
      <c r="B47" s="138"/>
      <c r="C47" s="139"/>
      <c r="D47" s="140">
        <v>45716.0</v>
      </c>
      <c r="E47" s="141" t="s">
        <v>83</v>
      </c>
      <c r="F47" s="141" t="s">
        <v>174</v>
      </c>
      <c r="G47" s="142" t="s">
        <v>138</v>
      </c>
      <c r="H47" s="143">
        <v>7.0</v>
      </c>
      <c r="I47" s="118"/>
      <c r="J47" s="138"/>
      <c r="K47" s="138"/>
      <c r="L47" s="138"/>
      <c r="M47" s="138"/>
      <c r="N47" s="138"/>
      <c r="O47" s="138"/>
      <c r="P47" s="138"/>
      <c r="Q47" s="138"/>
      <c r="R47" s="138"/>
      <c r="S47" s="138"/>
      <c r="T47" s="138"/>
      <c r="U47" s="138"/>
      <c r="V47" s="138"/>
      <c r="W47" s="138"/>
      <c r="X47" s="138"/>
      <c r="Y47" s="139"/>
    </row>
    <row r="48">
      <c r="A48" s="137"/>
      <c r="B48" s="138"/>
      <c r="C48" s="139"/>
      <c r="D48" s="144">
        <v>45716.0</v>
      </c>
      <c r="E48" s="145" t="s">
        <v>83</v>
      </c>
      <c r="F48" s="145" t="s">
        <v>174</v>
      </c>
      <c r="G48" s="146" t="s">
        <v>131</v>
      </c>
      <c r="H48" s="147">
        <v>6.0</v>
      </c>
      <c r="I48" s="118"/>
      <c r="J48" s="138"/>
      <c r="K48" s="138"/>
      <c r="L48" s="138"/>
      <c r="M48" s="138"/>
      <c r="N48" s="138"/>
      <c r="O48" s="138"/>
      <c r="P48" s="138"/>
      <c r="Q48" s="138"/>
      <c r="R48" s="138"/>
      <c r="S48" s="138"/>
      <c r="T48" s="138"/>
      <c r="U48" s="138"/>
      <c r="V48" s="138"/>
      <c r="W48" s="138"/>
      <c r="X48" s="138"/>
      <c r="Y48" s="139"/>
    </row>
    <row r="49">
      <c r="A49" s="137"/>
      <c r="B49" s="138"/>
      <c r="C49" s="139"/>
      <c r="D49" s="140">
        <v>45716.0</v>
      </c>
      <c r="E49" s="141" t="s">
        <v>83</v>
      </c>
      <c r="F49" s="141" t="s">
        <v>174</v>
      </c>
      <c r="G49" s="142" t="s">
        <v>130</v>
      </c>
      <c r="H49" s="143">
        <v>1.0</v>
      </c>
      <c r="I49" s="118"/>
      <c r="J49" s="138"/>
      <c r="K49" s="138"/>
      <c r="L49" s="138"/>
      <c r="M49" s="138"/>
      <c r="N49" s="138"/>
      <c r="O49" s="138"/>
      <c r="P49" s="138"/>
      <c r="Q49" s="138"/>
      <c r="R49" s="138"/>
      <c r="S49" s="138"/>
      <c r="T49" s="138"/>
      <c r="U49" s="138"/>
      <c r="V49" s="138"/>
      <c r="W49" s="138"/>
      <c r="X49" s="138"/>
      <c r="Y49" s="139"/>
    </row>
    <row r="50">
      <c r="A50" s="137"/>
      <c r="B50" s="138"/>
      <c r="C50" s="139"/>
      <c r="D50" s="144">
        <v>45716.0</v>
      </c>
      <c r="E50" s="145" t="s">
        <v>83</v>
      </c>
      <c r="F50" s="145" t="s">
        <v>174</v>
      </c>
      <c r="G50" s="146" t="s">
        <v>129</v>
      </c>
      <c r="H50" s="147">
        <v>4.0</v>
      </c>
      <c r="I50" s="118"/>
      <c r="J50" s="138"/>
      <c r="K50" s="138"/>
      <c r="L50" s="138"/>
      <c r="M50" s="138"/>
      <c r="N50" s="138"/>
      <c r="O50" s="138"/>
      <c r="P50" s="138"/>
      <c r="Q50" s="138"/>
      <c r="R50" s="138"/>
      <c r="S50" s="138"/>
      <c r="T50" s="138"/>
      <c r="U50" s="138"/>
      <c r="V50" s="138"/>
      <c r="W50" s="138"/>
      <c r="X50" s="138"/>
      <c r="Y50" s="139"/>
    </row>
    <row r="51">
      <c r="A51" s="137"/>
      <c r="B51" s="138"/>
      <c r="C51" s="139"/>
      <c r="D51" s="140">
        <v>45716.0</v>
      </c>
      <c r="E51" s="141" t="s">
        <v>83</v>
      </c>
      <c r="F51" s="141" t="s">
        <v>174</v>
      </c>
      <c r="G51" s="142" t="s">
        <v>128</v>
      </c>
      <c r="H51" s="143">
        <v>0.25</v>
      </c>
      <c r="I51" s="118"/>
      <c r="J51" s="138"/>
      <c r="K51" s="138"/>
      <c r="L51" s="138"/>
      <c r="M51" s="138"/>
      <c r="N51" s="138"/>
      <c r="O51" s="138"/>
      <c r="P51" s="138"/>
      <c r="Q51" s="138"/>
      <c r="R51" s="138"/>
      <c r="S51" s="138"/>
      <c r="T51" s="138"/>
      <c r="U51" s="138"/>
      <c r="V51" s="138"/>
      <c r="W51" s="138"/>
      <c r="X51" s="138"/>
      <c r="Y51" s="139"/>
    </row>
    <row r="52">
      <c r="A52" s="137"/>
      <c r="B52" s="138"/>
      <c r="C52" s="139"/>
      <c r="D52" s="144">
        <v>45716.0</v>
      </c>
      <c r="E52" s="145" t="s">
        <v>83</v>
      </c>
      <c r="F52" s="145" t="s">
        <v>174</v>
      </c>
      <c r="G52" s="146" t="s">
        <v>169</v>
      </c>
      <c r="H52" s="147">
        <v>6.0</v>
      </c>
      <c r="I52" s="118"/>
      <c r="J52" s="138"/>
      <c r="K52" s="138"/>
      <c r="L52" s="138"/>
      <c r="M52" s="138"/>
      <c r="N52" s="138"/>
      <c r="O52" s="138"/>
      <c r="P52" s="138"/>
      <c r="Q52" s="138"/>
      <c r="R52" s="138"/>
      <c r="S52" s="138"/>
      <c r="T52" s="138"/>
      <c r="U52" s="138"/>
      <c r="V52" s="138"/>
      <c r="W52" s="138"/>
      <c r="X52" s="138"/>
      <c r="Y52" s="139"/>
    </row>
    <row r="53">
      <c r="A53" s="137"/>
      <c r="B53" s="138"/>
      <c r="C53" s="139"/>
      <c r="D53" s="140">
        <v>45716.0</v>
      </c>
      <c r="E53" s="141" t="s">
        <v>83</v>
      </c>
      <c r="F53" s="141" t="s">
        <v>174</v>
      </c>
      <c r="G53" s="142" t="s">
        <v>94</v>
      </c>
      <c r="H53" s="143">
        <v>3.0</v>
      </c>
      <c r="I53" s="118"/>
      <c r="J53" s="138"/>
      <c r="K53" s="138"/>
      <c r="L53" s="138"/>
      <c r="M53" s="138"/>
      <c r="N53" s="138"/>
      <c r="O53" s="138"/>
      <c r="P53" s="138"/>
      <c r="Q53" s="138"/>
      <c r="R53" s="138"/>
      <c r="S53" s="138"/>
      <c r="T53" s="138"/>
      <c r="U53" s="138"/>
      <c r="V53" s="138"/>
      <c r="W53" s="138"/>
      <c r="X53" s="138"/>
      <c r="Y53" s="139"/>
    </row>
    <row r="54">
      <c r="A54" s="137"/>
      <c r="B54" s="138"/>
      <c r="C54" s="139"/>
      <c r="D54" s="144">
        <v>45716.0</v>
      </c>
      <c r="E54" s="145" t="s">
        <v>83</v>
      </c>
      <c r="F54" s="145" t="s">
        <v>176</v>
      </c>
      <c r="G54" s="146" t="s">
        <v>154</v>
      </c>
      <c r="H54" s="147">
        <v>9.0</v>
      </c>
      <c r="I54" s="118"/>
      <c r="J54" s="138"/>
      <c r="K54" s="138"/>
      <c r="L54" s="138"/>
      <c r="M54" s="138"/>
      <c r="N54" s="138"/>
      <c r="O54" s="138"/>
      <c r="P54" s="138"/>
      <c r="Q54" s="138"/>
      <c r="R54" s="138"/>
      <c r="S54" s="138"/>
      <c r="T54" s="138"/>
      <c r="U54" s="138"/>
      <c r="V54" s="138"/>
      <c r="W54" s="138"/>
      <c r="X54" s="138"/>
      <c r="Y54" s="139"/>
    </row>
    <row r="55">
      <c r="A55" s="137"/>
      <c r="B55" s="138"/>
      <c r="C55" s="139"/>
      <c r="D55" s="140">
        <v>45716.0</v>
      </c>
      <c r="E55" s="141" t="s">
        <v>83</v>
      </c>
      <c r="F55" s="141" t="s">
        <v>176</v>
      </c>
      <c r="G55" s="142" t="s">
        <v>154</v>
      </c>
      <c r="H55" s="143">
        <v>23.0</v>
      </c>
      <c r="I55" s="118"/>
      <c r="J55" s="138"/>
      <c r="K55" s="138"/>
      <c r="L55" s="138"/>
      <c r="M55" s="138"/>
      <c r="N55" s="138"/>
      <c r="O55" s="138"/>
      <c r="P55" s="138"/>
      <c r="Q55" s="138"/>
      <c r="R55" s="138"/>
      <c r="S55" s="138"/>
      <c r="T55" s="138"/>
      <c r="U55" s="138"/>
      <c r="V55" s="138"/>
      <c r="W55" s="138"/>
      <c r="X55" s="138"/>
      <c r="Y55" s="139"/>
    </row>
    <row r="56">
      <c r="A56" s="137"/>
      <c r="B56" s="138"/>
      <c r="C56" s="139"/>
      <c r="D56" s="144">
        <v>45716.0</v>
      </c>
      <c r="E56" s="145" t="s">
        <v>83</v>
      </c>
      <c r="F56" s="145" t="s">
        <v>176</v>
      </c>
      <c r="G56" s="146" t="s">
        <v>96</v>
      </c>
      <c r="H56" s="147">
        <v>3.0</v>
      </c>
      <c r="I56" s="118"/>
      <c r="J56" s="138"/>
      <c r="K56" s="138"/>
      <c r="L56" s="138"/>
      <c r="M56" s="138"/>
      <c r="N56" s="138"/>
      <c r="O56" s="138"/>
      <c r="P56" s="138"/>
      <c r="Q56" s="138"/>
      <c r="R56" s="138"/>
      <c r="S56" s="138"/>
      <c r="T56" s="138"/>
      <c r="U56" s="138"/>
      <c r="V56" s="138"/>
      <c r="W56" s="138"/>
      <c r="X56" s="138"/>
      <c r="Y56" s="139"/>
    </row>
    <row r="57">
      <c r="A57" s="137"/>
      <c r="B57" s="138"/>
      <c r="C57" s="139"/>
      <c r="D57" s="140">
        <v>45716.0</v>
      </c>
      <c r="E57" s="141" t="s">
        <v>83</v>
      </c>
      <c r="F57" s="141" t="s">
        <v>174</v>
      </c>
      <c r="G57" s="142" t="s">
        <v>165</v>
      </c>
      <c r="H57" s="143">
        <v>1.0</v>
      </c>
      <c r="I57" s="118"/>
      <c r="J57" s="138"/>
      <c r="K57" s="138"/>
      <c r="L57" s="138"/>
      <c r="M57" s="138"/>
      <c r="N57" s="138"/>
      <c r="O57" s="138"/>
      <c r="P57" s="138"/>
      <c r="Q57" s="138"/>
      <c r="R57" s="138"/>
      <c r="S57" s="138"/>
      <c r="T57" s="138"/>
      <c r="U57" s="138"/>
      <c r="V57" s="138"/>
      <c r="W57" s="138"/>
      <c r="X57" s="138"/>
      <c r="Y57" s="139"/>
    </row>
    <row r="58">
      <c r="A58" s="137"/>
      <c r="B58" s="138"/>
      <c r="C58" s="139"/>
      <c r="D58" s="144">
        <v>45897.0</v>
      </c>
      <c r="E58" s="145" t="s">
        <v>84</v>
      </c>
      <c r="F58" s="145" t="s">
        <v>174</v>
      </c>
      <c r="G58" s="146" t="s">
        <v>168</v>
      </c>
      <c r="H58" s="147">
        <v>2.0</v>
      </c>
      <c r="I58" s="118"/>
      <c r="J58" s="138"/>
      <c r="K58" s="138"/>
      <c r="L58" s="138"/>
      <c r="M58" s="138"/>
      <c r="N58" s="138"/>
      <c r="O58" s="138"/>
      <c r="P58" s="138"/>
      <c r="Q58" s="138"/>
      <c r="R58" s="138"/>
      <c r="S58" s="138"/>
      <c r="T58" s="138"/>
      <c r="U58" s="138"/>
      <c r="V58" s="138"/>
      <c r="W58" s="138"/>
      <c r="X58" s="138"/>
      <c r="Y58" s="139"/>
    </row>
    <row r="59">
      <c r="A59" s="137"/>
      <c r="B59" s="138"/>
      <c r="C59" s="139"/>
      <c r="D59" s="140">
        <v>45716.0</v>
      </c>
      <c r="E59" s="141" t="s">
        <v>83</v>
      </c>
      <c r="F59" s="141" t="s">
        <v>174</v>
      </c>
      <c r="G59" s="142" t="s">
        <v>167</v>
      </c>
      <c r="H59" s="143">
        <v>6.0</v>
      </c>
      <c r="I59" s="118"/>
      <c r="J59" s="138"/>
      <c r="K59" s="138"/>
      <c r="L59" s="138"/>
      <c r="M59" s="138"/>
      <c r="N59" s="138"/>
      <c r="O59" s="138"/>
      <c r="P59" s="138"/>
      <c r="Q59" s="138"/>
      <c r="R59" s="138"/>
      <c r="S59" s="138"/>
      <c r="T59" s="138"/>
      <c r="U59" s="138"/>
      <c r="V59" s="138"/>
      <c r="W59" s="138"/>
      <c r="X59" s="138"/>
      <c r="Y59" s="139"/>
    </row>
    <row r="60">
      <c r="A60" s="137"/>
      <c r="B60" s="138"/>
      <c r="C60" s="139"/>
      <c r="D60" s="144">
        <v>45716.0</v>
      </c>
      <c r="E60" s="145" t="s">
        <v>83</v>
      </c>
      <c r="F60" s="145" t="s">
        <v>174</v>
      </c>
      <c r="G60" s="146" t="s">
        <v>161</v>
      </c>
      <c r="H60" s="147">
        <v>1.0</v>
      </c>
      <c r="I60" s="118"/>
      <c r="J60" s="138"/>
      <c r="K60" s="138"/>
      <c r="L60" s="138"/>
      <c r="M60" s="138"/>
      <c r="N60" s="138"/>
      <c r="O60" s="138"/>
      <c r="P60" s="138"/>
      <c r="Q60" s="138"/>
      <c r="R60" s="138"/>
      <c r="S60" s="138"/>
      <c r="T60" s="138"/>
      <c r="U60" s="138"/>
      <c r="V60" s="138"/>
      <c r="W60" s="138"/>
      <c r="X60" s="138"/>
      <c r="Y60" s="139"/>
    </row>
    <row r="61">
      <c r="A61" s="137"/>
      <c r="B61" s="138"/>
      <c r="C61" s="139"/>
      <c r="D61" s="140">
        <v>45716.0</v>
      </c>
      <c r="E61" s="141" t="s">
        <v>83</v>
      </c>
      <c r="F61" s="141" t="s">
        <v>176</v>
      </c>
      <c r="G61" s="142" t="s">
        <v>157</v>
      </c>
      <c r="H61" s="143">
        <v>10.0</v>
      </c>
      <c r="I61" s="118"/>
      <c r="J61" s="138"/>
      <c r="K61" s="138"/>
      <c r="L61" s="138"/>
      <c r="M61" s="138"/>
      <c r="N61" s="138"/>
      <c r="O61" s="138"/>
      <c r="P61" s="138"/>
      <c r="Q61" s="138"/>
      <c r="R61" s="138"/>
      <c r="S61" s="138"/>
      <c r="T61" s="138"/>
      <c r="U61" s="138"/>
      <c r="V61" s="138"/>
      <c r="W61" s="138"/>
      <c r="X61" s="138"/>
      <c r="Y61" s="139"/>
    </row>
    <row r="62">
      <c r="A62" s="137"/>
      <c r="B62" s="138"/>
      <c r="C62" s="139"/>
      <c r="D62" s="144">
        <v>45716.0</v>
      </c>
      <c r="E62" s="145" t="s">
        <v>84</v>
      </c>
      <c r="F62" s="145" t="s">
        <v>174</v>
      </c>
      <c r="G62" s="146" t="s">
        <v>151</v>
      </c>
      <c r="H62" s="147">
        <v>2.0</v>
      </c>
      <c r="I62" s="118"/>
      <c r="J62" s="138"/>
      <c r="K62" s="138"/>
      <c r="L62" s="138"/>
      <c r="M62" s="138"/>
      <c r="N62" s="138"/>
      <c r="O62" s="138"/>
      <c r="P62" s="138"/>
      <c r="Q62" s="138"/>
      <c r="R62" s="138"/>
      <c r="S62" s="138"/>
      <c r="T62" s="138"/>
      <c r="U62" s="138"/>
      <c r="V62" s="138"/>
      <c r="W62" s="138"/>
      <c r="X62" s="138"/>
      <c r="Y62" s="139"/>
    </row>
    <row r="63">
      <c r="A63" s="137"/>
      <c r="B63" s="138"/>
      <c r="C63" s="139"/>
      <c r="D63" s="140">
        <v>45716.0</v>
      </c>
      <c r="E63" s="141" t="s">
        <v>84</v>
      </c>
      <c r="F63" s="141" t="s">
        <v>174</v>
      </c>
      <c r="G63" s="142" t="s">
        <v>149</v>
      </c>
      <c r="H63" s="143">
        <v>1.0</v>
      </c>
      <c r="I63" s="118"/>
      <c r="J63" s="138"/>
      <c r="K63" s="138"/>
      <c r="L63" s="138"/>
      <c r="M63" s="138"/>
      <c r="N63" s="138"/>
      <c r="O63" s="138"/>
      <c r="P63" s="138"/>
      <c r="Q63" s="138"/>
      <c r="R63" s="138"/>
      <c r="S63" s="138"/>
      <c r="T63" s="138"/>
      <c r="U63" s="138"/>
      <c r="V63" s="138"/>
      <c r="W63" s="138"/>
      <c r="X63" s="138"/>
      <c r="Y63" s="139"/>
    </row>
    <row r="64">
      <c r="A64" s="137"/>
      <c r="B64" s="138"/>
      <c r="C64" s="139"/>
      <c r="D64" s="144">
        <v>45716.0</v>
      </c>
      <c r="E64" s="145" t="s">
        <v>84</v>
      </c>
      <c r="F64" s="145" t="s">
        <v>174</v>
      </c>
      <c r="G64" s="146" t="s">
        <v>143</v>
      </c>
      <c r="H64" s="147">
        <v>3.0</v>
      </c>
      <c r="I64" s="118"/>
      <c r="J64" s="138"/>
      <c r="K64" s="138"/>
      <c r="L64" s="138"/>
      <c r="M64" s="138"/>
      <c r="N64" s="138"/>
      <c r="O64" s="138"/>
      <c r="P64" s="138"/>
      <c r="Q64" s="138"/>
      <c r="R64" s="138"/>
      <c r="S64" s="138"/>
      <c r="T64" s="138"/>
      <c r="U64" s="138"/>
      <c r="V64" s="138"/>
      <c r="W64" s="138"/>
      <c r="X64" s="138"/>
      <c r="Y64" s="139"/>
    </row>
    <row r="65">
      <c r="A65" s="137"/>
      <c r="B65" s="138"/>
      <c r="C65" s="139"/>
      <c r="D65" s="140">
        <v>45716.0</v>
      </c>
      <c r="E65" s="141" t="s">
        <v>83</v>
      </c>
      <c r="F65" s="141" t="s">
        <v>174</v>
      </c>
      <c r="G65" s="142" t="s">
        <v>141</v>
      </c>
      <c r="H65" s="143">
        <v>1.0</v>
      </c>
      <c r="I65" s="118"/>
      <c r="J65" s="138"/>
      <c r="K65" s="138"/>
      <c r="L65" s="138"/>
      <c r="M65" s="138"/>
      <c r="N65" s="138"/>
      <c r="O65" s="138"/>
      <c r="P65" s="138"/>
      <c r="Q65" s="138"/>
      <c r="R65" s="138"/>
      <c r="S65" s="138"/>
      <c r="T65" s="138"/>
      <c r="U65" s="138"/>
      <c r="V65" s="138"/>
      <c r="W65" s="138"/>
      <c r="X65" s="138"/>
      <c r="Y65" s="139"/>
    </row>
    <row r="66">
      <c r="A66" s="137"/>
      <c r="B66" s="138"/>
      <c r="C66" s="139"/>
      <c r="D66" s="144">
        <v>45716.0</v>
      </c>
      <c r="E66" s="145" t="s">
        <v>84</v>
      </c>
      <c r="F66" s="145" t="s">
        <v>174</v>
      </c>
      <c r="G66" s="146" t="s">
        <v>127</v>
      </c>
      <c r="H66" s="147">
        <v>1.0</v>
      </c>
      <c r="I66" s="118"/>
      <c r="J66" s="138"/>
      <c r="K66" s="138"/>
      <c r="L66" s="138"/>
      <c r="M66" s="138"/>
      <c r="N66" s="138"/>
      <c r="O66" s="138"/>
      <c r="P66" s="138"/>
      <c r="Q66" s="138"/>
      <c r="R66" s="138"/>
      <c r="S66" s="138"/>
      <c r="T66" s="138"/>
      <c r="U66" s="138"/>
      <c r="V66" s="138"/>
      <c r="W66" s="138"/>
      <c r="X66" s="138"/>
      <c r="Y66" s="139"/>
    </row>
    <row r="67">
      <c r="A67" s="137"/>
      <c r="B67" s="138"/>
      <c r="C67" s="139"/>
      <c r="D67" s="140">
        <v>45716.0</v>
      </c>
      <c r="E67" s="141" t="s">
        <v>84</v>
      </c>
      <c r="F67" s="141" t="s">
        <v>174</v>
      </c>
      <c r="G67" s="142" t="s">
        <v>125</v>
      </c>
      <c r="H67" s="143">
        <v>1.0</v>
      </c>
      <c r="I67" s="118"/>
      <c r="J67" s="138"/>
      <c r="K67" s="138"/>
      <c r="L67" s="138"/>
      <c r="M67" s="138"/>
      <c r="N67" s="138"/>
      <c r="O67" s="138"/>
      <c r="P67" s="138"/>
      <c r="Q67" s="138"/>
      <c r="R67" s="138"/>
      <c r="S67" s="138"/>
      <c r="T67" s="138"/>
      <c r="U67" s="138"/>
      <c r="V67" s="138"/>
      <c r="W67" s="138"/>
      <c r="X67" s="138"/>
      <c r="Y67" s="139"/>
    </row>
    <row r="68">
      <c r="A68" s="137"/>
      <c r="B68" s="138"/>
      <c r="C68" s="139"/>
      <c r="D68" s="144">
        <v>45716.0</v>
      </c>
      <c r="E68" s="145" t="s">
        <v>84</v>
      </c>
      <c r="F68" s="145" t="s">
        <v>174</v>
      </c>
      <c r="G68" s="146" t="s">
        <v>119</v>
      </c>
      <c r="H68" s="147">
        <v>3.0</v>
      </c>
      <c r="I68" s="118"/>
      <c r="J68" s="138"/>
      <c r="K68" s="138"/>
      <c r="L68" s="138"/>
      <c r="M68" s="138"/>
      <c r="N68" s="138"/>
      <c r="O68" s="138"/>
      <c r="P68" s="138"/>
      <c r="Q68" s="138"/>
      <c r="R68" s="138"/>
      <c r="S68" s="138"/>
      <c r="T68" s="138"/>
      <c r="U68" s="138"/>
      <c r="V68" s="138"/>
      <c r="W68" s="138"/>
      <c r="X68" s="138"/>
      <c r="Y68" s="139"/>
    </row>
    <row r="69">
      <c r="A69" s="137"/>
      <c r="B69" s="138"/>
      <c r="C69" s="139"/>
      <c r="D69" s="140">
        <v>45716.0</v>
      </c>
      <c r="E69" s="141" t="s">
        <v>83</v>
      </c>
      <c r="F69" s="141" t="s">
        <v>175</v>
      </c>
      <c r="G69" s="142" t="s">
        <v>118</v>
      </c>
      <c r="H69" s="143">
        <v>4.0</v>
      </c>
      <c r="I69" s="118"/>
      <c r="J69" s="138"/>
      <c r="K69" s="138"/>
      <c r="L69" s="138"/>
      <c r="M69" s="138"/>
      <c r="N69" s="138"/>
      <c r="O69" s="138"/>
      <c r="P69" s="138"/>
      <c r="Q69" s="138"/>
      <c r="R69" s="138"/>
      <c r="S69" s="138"/>
      <c r="T69" s="138"/>
      <c r="U69" s="138"/>
      <c r="V69" s="138"/>
      <c r="W69" s="138"/>
      <c r="X69" s="138"/>
      <c r="Y69" s="139"/>
    </row>
    <row r="70">
      <c r="A70" s="137"/>
      <c r="B70" s="138"/>
      <c r="C70" s="139"/>
      <c r="D70" s="144">
        <v>45716.0</v>
      </c>
      <c r="E70" s="145" t="s">
        <v>83</v>
      </c>
      <c r="F70" s="145" t="s">
        <v>175</v>
      </c>
      <c r="G70" s="146" t="s">
        <v>117</v>
      </c>
      <c r="H70" s="147">
        <v>4.0</v>
      </c>
      <c r="I70" s="118"/>
      <c r="J70" s="138"/>
      <c r="K70" s="138"/>
      <c r="L70" s="138"/>
      <c r="M70" s="138"/>
      <c r="N70" s="138"/>
      <c r="O70" s="138"/>
      <c r="P70" s="138"/>
      <c r="Q70" s="138"/>
      <c r="R70" s="138"/>
      <c r="S70" s="138"/>
      <c r="T70" s="138"/>
      <c r="U70" s="138"/>
      <c r="V70" s="138"/>
      <c r="W70" s="138"/>
      <c r="X70" s="138"/>
      <c r="Y70" s="139"/>
    </row>
    <row r="71">
      <c r="A71" s="137"/>
      <c r="B71" s="138"/>
      <c r="C71" s="139"/>
      <c r="D71" s="140">
        <v>45716.0</v>
      </c>
      <c r="E71" s="141" t="s">
        <v>84</v>
      </c>
      <c r="F71" s="141" t="s">
        <v>174</v>
      </c>
      <c r="G71" s="142" t="s">
        <v>115</v>
      </c>
      <c r="H71" s="143">
        <v>2.0</v>
      </c>
      <c r="I71" s="118"/>
      <c r="J71" s="138"/>
      <c r="K71" s="138"/>
      <c r="L71" s="138"/>
      <c r="M71" s="138"/>
      <c r="N71" s="138"/>
      <c r="O71" s="138"/>
      <c r="P71" s="138"/>
      <c r="Q71" s="138"/>
      <c r="R71" s="138"/>
      <c r="S71" s="138"/>
      <c r="T71" s="138"/>
      <c r="U71" s="138"/>
      <c r="V71" s="138"/>
      <c r="W71" s="138"/>
      <c r="X71" s="138"/>
      <c r="Y71" s="139"/>
    </row>
    <row r="72">
      <c r="A72" s="137"/>
      <c r="B72" s="138"/>
      <c r="C72" s="139"/>
      <c r="D72" s="144">
        <v>45716.0</v>
      </c>
      <c r="E72" s="145" t="s">
        <v>84</v>
      </c>
      <c r="F72" s="145" t="s">
        <v>175</v>
      </c>
      <c r="G72" s="146" t="s">
        <v>113</v>
      </c>
      <c r="H72" s="147">
        <v>4.0</v>
      </c>
      <c r="I72" s="118"/>
      <c r="J72" s="138"/>
      <c r="K72" s="138"/>
      <c r="L72" s="138"/>
      <c r="M72" s="138"/>
      <c r="N72" s="138"/>
      <c r="O72" s="138"/>
      <c r="P72" s="138"/>
      <c r="Q72" s="138"/>
      <c r="R72" s="138"/>
      <c r="S72" s="138"/>
      <c r="T72" s="138"/>
      <c r="U72" s="138"/>
      <c r="V72" s="138"/>
      <c r="W72" s="138"/>
      <c r="X72" s="138"/>
      <c r="Y72" s="139"/>
    </row>
    <row r="73">
      <c r="A73" s="137"/>
      <c r="B73" s="138"/>
      <c r="C73" s="139"/>
      <c r="D73" s="140">
        <v>45716.0</v>
      </c>
      <c r="E73" s="141" t="s">
        <v>84</v>
      </c>
      <c r="F73" s="141" t="s">
        <v>175</v>
      </c>
      <c r="G73" s="142" t="s">
        <v>181</v>
      </c>
      <c r="H73" s="143">
        <v>3.0</v>
      </c>
      <c r="I73" s="118"/>
      <c r="J73" s="138"/>
      <c r="K73" s="138"/>
      <c r="L73" s="138"/>
      <c r="M73" s="138"/>
      <c r="N73" s="138"/>
      <c r="O73" s="138"/>
      <c r="P73" s="138"/>
      <c r="Q73" s="138"/>
      <c r="R73" s="138"/>
      <c r="S73" s="138"/>
      <c r="T73" s="138"/>
      <c r="U73" s="138"/>
      <c r="V73" s="138"/>
      <c r="W73" s="138"/>
      <c r="X73" s="138"/>
      <c r="Y73" s="139"/>
    </row>
    <row r="74">
      <c r="A74" s="137"/>
      <c r="B74" s="138"/>
      <c r="C74" s="139"/>
      <c r="D74" s="144">
        <v>45716.0</v>
      </c>
      <c r="E74" s="145" t="s">
        <v>84</v>
      </c>
      <c r="F74" s="145" t="s">
        <v>175</v>
      </c>
      <c r="G74" s="146" t="s">
        <v>110</v>
      </c>
      <c r="H74" s="147">
        <v>2.0</v>
      </c>
      <c r="I74" s="118"/>
      <c r="J74" s="138"/>
      <c r="K74" s="138"/>
      <c r="L74" s="138"/>
      <c r="M74" s="138"/>
      <c r="N74" s="138"/>
      <c r="O74" s="138"/>
      <c r="P74" s="138"/>
      <c r="Q74" s="138"/>
      <c r="R74" s="138"/>
      <c r="S74" s="138"/>
      <c r="T74" s="138"/>
      <c r="U74" s="138"/>
      <c r="V74" s="138"/>
      <c r="W74" s="138"/>
      <c r="X74" s="138"/>
      <c r="Y74" s="139"/>
    </row>
    <row r="75">
      <c r="A75" s="137"/>
      <c r="B75" s="138"/>
      <c r="C75" s="139"/>
      <c r="D75" s="140">
        <v>45716.0</v>
      </c>
      <c r="E75" s="141" t="s">
        <v>83</v>
      </c>
      <c r="F75" s="141" t="s">
        <v>174</v>
      </c>
      <c r="G75" s="142" t="s">
        <v>109</v>
      </c>
      <c r="H75" s="143">
        <v>2.0</v>
      </c>
      <c r="I75" s="118"/>
      <c r="J75" s="138"/>
      <c r="K75" s="138"/>
      <c r="L75" s="138"/>
      <c r="M75" s="138"/>
      <c r="N75" s="138"/>
      <c r="O75" s="138"/>
      <c r="P75" s="138"/>
      <c r="Q75" s="138"/>
      <c r="R75" s="138"/>
      <c r="S75" s="138"/>
      <c r="T75" s="138"/>
      <c r="U75" s="138"/>
      <c r="V75" s="138"/>
      <c r="W75" s="138"/>
      <c r="X75" s="138"/>
      <c r="Y75" s="139"/>
    </row>
    <row r="76">
      <c r="A76" s="137"/>
      <c r="B76" s="138"/>
      <c r="C76" s="139"/>
      <c r="D76" s="144">
        <v>45716.0</v>
      </c>
      <c r="E76" s="145" t="s">
        <v>84</v>
      </c>
      <c r="F76" s="145" t="s">
        <v>178</v>
      </c>
      <c r="G76" s="146" t="s">
        <v>108</v>
      </c>
      <c r="H76" s="147">
        <v>1.0</v>
      </c>
      <c r="I76" s="118"/>
      <c r="J76" s="138"/>
      <c r="K76" s="138"/>
      <c r="L76" s="138"/>
      <c r="M76" s="138"/>
      <c r="N76" s="138"/>
      <c r="O76" s="138"/>
      <c r="P76" s="138"/>
      <c r="Q76" s="138"/>
      <c r="R76" s="138"/>
      <c r="S76" s="138"/>
      <c r="T76" s="138"/>
      <c r="U76" s="138"/>
      <c r="V76" s="138"/>
      <c r="W76" s="138"/>
      <c r="X76" s="138"/>
      <c r="Y76" s="139"/>
    </row>
    <row r="77">
      <c r="A77" s="137"/>
      <c r="B77" s="138"/>
      <c r="C77" s="139"/>
      <c r="D77" s="140">
        <v>45716.0</v>
      </c>
      <c r="E77" s="141" t="s">
        <v>84</v>
      </c>
      <c r="F77" s="141" t="s">
        <v>178</v>
      </c>
      <c r="G77" s="142" t="s">
        <v>107</v>
      </c>
      <c r="H77" s="143">
        <v>2.0</v>
      </c>
      <c r="I77" s="118"/>
      <c r="J77" s="138"/>
      <c r="K77" s="138"/>
      <c r="L77" s="138"/>
      <c r="M77" s="138"/>
      <c r="N77" s="138"/>
      <c r="O77" s="138"/>
      <c r="P77" s="138"/>
      <c r="Q77" s="138"/>
      <c r="R77" s="138"/>
      <c r="S77" s="138"/>
      <c r="T77" s="138"/>
      <c r="U77" s="138"/>
      <c r="V77" s="138"/>
      <c r="W77" s="138"/>
      <c r="X77" s="138"/>
      <c r="Y77" s="139"/>
    </row>
    <row r="78">
      <c r="A78" s="137"/>
      <c r="B78" s="138"/>
      <c r="C78" s="139"/>
      <c r="D78" s="144">
        <v>45716.0</v>
      </c>
      <c r="E78" s="145" t="s">
        <v>83</v>
      </c>
      <c r="F78" s="145" t="s">
        <v>174</v>
      </c>
      <c r="G78" s="146" t="s">
        <v>104</v>
      </c>
      <c r="H78" s="147">
        <v>2.0</v>
      </c>
      <c r="I78" s="118"/>
      <c r="J78" s="138"/>
      <c r="K78" s="138"/>
      <c r="L78" s="138"/>
      <c r="M78" s="138"/>
      <c r="N78" s="138"/>
      <c r="O78" s="138"/>
      <c r="P78" s="138"/>
      <c r="Q78" s="138"/>
      <c r="R78" s="138"/>
      <c r="S78" s="138"/>
      <c r="T78" s="138"/>
      <c r="U78" s="138"/>
      <c r="V78" s="138"/>
      <c r="W78" s="138"/>
      <c r="X78" s="138"/>
      <c r="Y78" s="139"/>
    </row>
    <row r="79">
      <c r="A79" s="137"/>
      <c r="B79" s="138"/>
      <c r="C79" s="139"/>
      <c r="D79" s="140">
        <v>45716.0</v>
      </c>
      <c r="E79" s="141" t="s">
        <v>84</v>
      </c>
      <c r="F79" s="141" t="s">
        <v>182</v>
      </c>
      <c r="G79" s="142" t="s">
        <v>90</v>
      </c>
      <c r="H79" s="143">
        <v>1.0</v>
      </c>
      <c r="I79" s="118"/>
      <c r="J79" s="138"/>
      <c r="K79" s="138"/>
      <c r="L79" s="138"/>
      <c r="M79" s="138"/>
      <c r="N79" s="138"/>
      <c r="O79" s="138"/>
      <c r="P79" s="138"/>
      <c r="Q79" s="138"/>
      <c r="R79" s="138"/>
      <c r="S79" s="138"/>
      <c r="T79" s="138"/>
      <c r="U79" s="138"/>
      <c r="V79" s="138"/>
      <c r="W79" s="138"/>
      <c r="X79" s="138"/>
      <c r="Y79" s="139"/>
    </row>
    <row r="80">
      <c r="A80" s="137"/>
      <c r="B80" s="138"/>
      <c r="C80" s="139"/>
      <c r="D80" s="144">
        <v>45692.0</v>
      </c>
      <c r="E80" s="145" t="s">
        <v>84</v>
      </c>
      <c r="F80" s="145" t="s">
        <v>183</v>
      </c>
      <c r="G80" s="146" t="s">
        <v>117</v>
      </c>
      <c r="H80" s="147">
        <v>3.0</v>
      </c>
      <c r="I80" s="118"/>
      <c r="J80" s="138"/>
      <c r="K80" s="138"/>
      <c r="L80" s="138"/>
      <c r="M80" s="138"/>
      <c r="N80" s="138"/>
      <c r="O80" s="138"/>
      <c r="P80" s="138"/>
      <c r="Q80" s="138"/>
      <c r="R80" s="138"/>
      <c r="S80" s="138"/>
      <c r="T80" s="138"/>
      <c r="U80" s="138"/>
      <c r="V80" s="138"/>
      <c r="W80" s="138"/>
      <c r="X80" s="138"/>
      <c r="Y80" s="139"/>
    </row>
    <row r="81">
      <c r="A81" s="137"/>
      <c r="B81" s="138"/>
      <c r="C81" s="139"/>
      <c r="D81" s="140">
        <v>45692.0</v>
      </c>
      <c r="E81" s="141" t="s">
        <v>84</v>
      </c>
      <c r="F81" s="141" t="s">
        <v>183</v>
      </c>
      <c r="G81" s="142" t="s">
        <v>181</v>
      </c>
      <c r="H81" s="143">
        <v>2.0</v>
      </c>
      <c r="I81" s="118"/>
      <c r="J81" s="138"/>
      <c r="K81" s="138"/>
      <c r="L81" s="138"/>
      <c r="M81" s="138"/>
      <c r="N81" s="138"/>
      <c r="O81" s="138"/>
      <c r="P81" s="138"/>
      <c r="Q81" s="138"/>
      <c r="R81" s="138"/>
      <c r="S81" s="138"/>
      <c r="T81" s="138"/>
      <c r="U81" s="138"/>
      <c r="V81" s="138"/>
      <c r="W81" s="138"/>
      <c r="X81" s="138"/>
      <c r="Y81" s="139"/>
    </row>
    <row r="82">
      <c r="A82" s="137"/>
      <c r="B82" s="138"/>
      <c r="C82" s="139"/>
      <c r="D82" s="148">
        <v>45692.0</v>
      </c>
      <c r="E82" s="145" t="s">
        <v>84</v>
      </c>
      <c r="F82" s="145" t="s">
        <v>175</v>
      </c>
      <c r="G82" s="146" t="s">
        <v>120</v>
      </c>
      <c r="H82" s="147">
        <v>3.0</v>
      </c>
      <c r="I82" s="118"/>
      <c r="J82" s="138"/>
      <c r="K82" s="138"/>
      <c r="L82" s="138"/>
      <c r="M82" s="138"/>
      <c r="N82" s="138"/>
      <c r="O82" s="138"/>
      <c r="P82" s="138"/>
      <c r="Q82" s="138"/>
      <c r="R82" s="138"/>
      <c r="S82" s="138"/>
      <c r="T82" s="138"/>
      <c r="U82" s="138"/>
      <c r="V82" s="138"/>
      <c r="W82" s="138"/>
      <c r="X82" s="138"/>
      <c r="Y82" s="139"/>
    </row>
    <row r="83">
      <c r="A83" s="137"/>
      <c r="B83" s="138"/>
      <c r="C83" s="139"/>
      <c r="D83" s="149">
        <v>45692.0</v>
      </c>
      <c r="E83" s="141" t="s">
        <v>84</v>
      </c>
      <c r="F83" s="141" t="s">
        <v>183</v>
      </c>
      <c r="G83" s="142" t="s">
        <v>144</v>
      </c>
      <c r="H83" s="143">
        <v>1.0</v>
      </c>
      <c r="I83" s="118"/>
      <c r="J83" s="138"/>
      <c r="K83" s="138"/>
      <c r="L83" s="138"/>
      <c r="M83" s="138"/>
      <c r="N83" s="138"/>
      <c r="O83" s="138"/>
      <c r="P83" s="138"/>
      <c r="Q83" s="138"/>
      <c r="R83" s="138"/>
      <c r="S83" s="138"/>
      <c r="T83" s="138"/>
      <c r="U83" s="138"/>
      <c r="V83" s="138"/>
      <c r="W83" s="138"/>
      <c r="X83" s="138"/>
      <c r="Y83" s="139"/>
    </row>
    <row r="84">
      <c r="A84" s="137"/>
      <c r="B84" s="138"/>
      <c r="C84" s="139"/>
      <c r="D84" s="148">
        <v>45692.0</v>
      </c>
      <c r="E84" s="145" t="s">
        <v>84</v>
      </c>
      <c r="F84" s="145" t="s">
        <v>183</v>
      </c>
      <c r="G84" s="146" t="s">
        <v>147</v>
      </c>
      <c r="H84" s="147">
        <v>2.0</v>
      </c>
      <c r="I84" s="118"/>
      <c r="J84" s="138"/>
      <c r="K84" s="138"/>
      <c r="L84" s="138"/>
      <c r="M84" s="138"/>
      <c r="N84" s="138"/>
      <c r="O84" s="138"/>
      <c r="P84" s="138"/>
      <c r="Q84" s="138"/>
      <c r="R84" s="138"/>
      <c r="S84" s="138"/>
      <c r="T84" s="138"/>
      <c r="U84" s="138"/>
      <c r="V84" s="138"/>
      <c r="W84" s="138"/>
      <c r="X84" s="138"/>
      <c r="Y84" s="139"/>
    </row>
    <row r="85">
      <c r="A85" s="137"/>
      <c r="B85" s="138"/>
      <c r="C85" s="139"/>
      <c r="D85" s="140">
        <v>45692.0</v>
      </c>
      <c r="E85" s="141" t="s">
        <v>84</v>
      </c>
      <c r="F85" s="141" t="s">
        <v>183</v>
      </c>
      <c r="G85" s="142" t="s">
        <v>157</v>
      </c>
      <c r="H85" s="143">
        <v>1.0</v>
      </c>
      <c r="I85" s="118"/>
      <c r="J85" s="138"/>
      <c r="K85" s="138"/>
      <c r="L85" s="138"/>
      <c r="M85" s="138"/>
      <c r="N85" s="138"/>
      <c r="O85" s="138"/>
      <c r="P85" s="138"/>
      <c r="Q85" s="138"/>
      <c r="R85" s="138"/>
      <c r="S85" s="138"/>
      <c r="T85" s="138"/>
      <c r="U85" s="138"/>
      <c r="V85" s="138"/>
      <c r="W85" s="138"/>
      <c r="X85" s="138"/>
      <c r="Y85" s="139"/>
    </row>
    <row r="86">
      <c r="A86" s="137"/>
      <c r="B86" s="138"/>
      <c r="C86" s="139"/>
      <c r="D86" s="144">
        <v>45677.0</v>
      </c>
      <c r="E86" s="145" t="s">
        <v>84</v>
      </c>
      <c r="F86" s="145" t="s">
        <v>178</v>
      </c>
      <c r="G86" s="146" t="s">
        <v>126</v>
      </c>
      <c r="H86" s="147">
        <v>1.0</v>
      </c>
      <c r="I86" s="118"/>
      <c r="J86" s="138"/>
      <c r="K86" s="138"/>
      <c r="L86" s="138"/>
      <c r="M86" s="138"/>
      <c r="N86" s="138"/>
      <c r="O86" s="138"/>
      <c r="P86" s="138"/>
      <c r="Q86" s="138"/>
      <c r="R86" s="138"/>
      <c r="S86" s="138"/>
      <c r="T86" s="138"/>
      <c r="U86" s="138"/>
      <c r="V86" s="138"/>
      <c r="W86" s="138"/>
      <c r="X86" s="138"/>
      <c r="Y86" s="139"/>
    </row>
    <row r="87">
      <c r="A87" s="137"/>
      <c r="B87" s="138"/>
      <c r="C87" s="139"/>
      <c r="D87" s="140">
        <v>45677.0</v>
      </c>
      <c r="E87" s="141" t="s">
        <v>84</v>
      </c>
      <c r="F87" s="141" t="s">
        <v>184</v>
      </c>
      <c r="G87" s="142" t="s">
        <v>127</v>
      </c>
      <c r="H87" s="143">
        <v>1.0</v>
      </c>
      <c r="I87" s="118"/>
      <c r="J87" s="138"/>
      <c r="K87" s="138"/>
      <c r="L87" s="138"/>
      <c r="M87" s="138"/>
      <c r="N87" s="138"/>
      <c r="O87" s="138"/>
      <c r="P87" s="138"/>
      <c r="Q87" s="138"/>
      <c r="R87" s="138"/>
      <c r="S87" s="138"/>
      <c r="T87" s="138"/>
      <c r="U87" s="138"/>
      <c r="V87" s="138"/>
      <c r="W87" s="138"/>
      <c r="X87" s="138"/>
      <c r="Y87" s="139"/>
    </row>
    <row r="88">
      <c r="A88" s="137"/>
      <c r="B88" s="138"/>
      <c r="C88" s="139"/>
      <c r="D88" s="144"/>
      <c r="E88" s="145"/>
      <c r="F88" s="145"/>
      <c r="G88" s="146"/>
      <c r="H88" s="147"/>
      <c r="I88" s="118"/>
      <c r="J88" s="138"/>
      <c r="K88" s="138"/>
      <c r="L88" s="138"/>
      <c r="M88" s="138"/>
      <c r="N88" s="138"/>
      <c r="O88" s="138"/>
      <c r="P88" s="138"/>
      <c r="Q88" s="138"/>
      <c r="R88" s="138"/>
      <c r="S88" s="138"/>
      <c r="T88" s="138"/>
      <c r="U88" s="138"/>
      <c r="V88" s="138"/>
      <c r="W88" s="138"/>
      <c r="X88" s="138"/>
      <c r="Y88" s="139"/>
    </row>
    <row r="89">
      <c r="A89" s="137"/>
      <c r="B89" s="138"/>
      <c r="C89" s="139"/>
      <c r="D89" s="140">
        <v>45674.0</v>
      </c>
      <c r="E89" s="141" t="s">
        <v>83</v>
      </c>
      <c r="F89" s="141" t="s">
        <v>185</v>
      </c>
      <c r="G89" s="142" t="s">
        <v>88</v>
      </c>
      <c r="H89" s="143">
        <v>1.0</v>
      </c>
      <c r="I89" s="118"/>
      <c r="J89" s="138"/>
      <c r="K89" s="138"/>
      <c r="L89" s="138"/>
      <c r="M89" s="138"/>
      <c r="N89" s="138"/>
      <c r="O89" s="138"/>
      <c r="P89" s="138"/>
      <c r="Q89" s="138"/>
      <c r="R89" s="138"/>
      <c r="S89" s="138"/>
      <c r="T89" s="138"/>
      <c r="U89" s="138"/>
      <c r="V89" s="138"/>
      <c r="W89" s="138"/>
      <c r="X89" s="138"/>
      <c r="Y89" s="139"/>
    </row>
    <row r="90">
      <c r="A90" s="137"/>
      <c r="B90" s="138"/>
      <c r="C90" s="139"/>
      <c r="D90" s="144">
        <v>45674.0</v>
      </c>
      <c r="E90" s="145" t="s">
        <v>83</v>
      </c>
      <c r="F90" s="145" t="s">
        <v>186</v>
      </c>
      <c r="G90" s="146" t="s">
        <v>86</v>
      </c>
      <c r="H90" s="147">
        <v>1.0</v>
      </c>
      <c r="I90" s="118"/>
      <c r="J90" s="138"/>
      <c r="K90" s="138"/>
      <c r="L90" s="138"/>
      <c r="M90" s="138"/>
      <c r="N90" s="138"/>
      <c r="O90" s="138"/>
      <c r="P90" s="138"/>
      <c r="Q90" s="138"/>
      <c r="R90" s="138"/>
      <c r="S90" s="138"/>
      <c r="T90" s="138"/>
      <c r="U90" s="138"/>
      <c r="V90" s="138"/>
      <c r="W90" s="138"/>
      <c r="X90" s="138"/>
      <c r="Y90" s="139"/>
    </row>
    <row r="91">
      <c r="A91" s="137"/>
      <c r="B91" s="138"/>
      <c r="C91" s="139"/>
      <c r="D91" s="140">
        <v>45674.0</v>
      </c>
      <c r="E91" s="141" t="s">
        <v>83</v>
      </c>
      <c r="F91" s="141" t="s">
        <v>186</v>
      </c>
      <c r="G91" s="142" t="s">
        <v>163</v>
      </c>
      <c r="H91" s="143">
        <v>3.0</v>
      </c>
      <c r="I91" s="118"/>
      <c r="J91" s="138"/>
      <c r="K91" s="138"/>
      <c r="L91" s="138"/>
      <c r="M91" s="138"/>
      <c r="N91" s="138"/>
      <c r="O91" s="138"/>
      <c r="P91" s="138"/>
      <c r="Q91" s="138"/>
      <c r="R91" s="138"/>
      <c r="S91" s="138"/>
      <c r="T91" s="138"/>
      <c r="U91" s="138"/>
      <c r="V91" s="138"/>
      <c r="W91" s="138"/>
      <c r="X91" s="138"/>
      <c r="Y91" s="139"/>
    </row>
    <row r="92">
      <c r="A92" s="137"/>
      <c r="B92" s="138"/>
      <c r="C92" s="139"/>
      <c r="D92" s="144">
        <v>45673.0</v>
      </c>
      <c r="E92" s="145" t="s">
        <v>83</v>
      </c>
      <c r="F92" s="145" t="s">
        <v>175</v>
      </c>
      <c r="G92" s="146" t="s">
        <v>89</v>
      </c>
      <c r="H92" s="147">
        <v>7.0</v>
      </c>
      <c r="I92" s="118"/>
      <c r="J92" s="138"/>
      <c r="K92" s="138"/>
      <c r="L92" s="138"/>
      <c r="M92" s="138"/>
      <c r="N92" s="138"/>
      <c r="O92" s="138"/>
      <c r="P92" s="138"/>
      <c r="Q92" s="138"/>
      <c r="R92" s="138"/>
      <c r="S92" s="138"/>
      <c r="T92" s="138"/>
      <c r="U92" s="138"/>
      <c r="V92" s="138"/>
      <c r="W92" s="138"/>
      <c r="X92" s="138"/>
      <c r="Y92" s="139"/>
    </row>
    <row r="93">
      <c r="A93" s="137"/>
      <c r="B93" s="138"/>
      <c r="C93" s="139"/>
      <c r="D93" s="140">
        <v>45673.0</v>
      </c>
      <c r="E93" s="141" t="s">
        <v>83</v>
      </c>
      <c r="F93" s="141" t="s">
        <v>175</v>
      </c>
      <c r="G93" s="142" t="s">
        <v>90</v>
      </c>
      <c r="H93" s="143">
        <v>6.0</v>
      </c>
      <c r="I93" s="118"/>
      <c r="J93" s="138"/>
      <c r="K93" s="138"/>
      <c r="L93" s="138"/>
      <c r="M93" s="138"/>
      <c r="N93" s="138"/>
      <c r="O93" s="138"/>
      <c r="P93" s="138"/>
      <c r="Q93" s="138"/>
      <c r="R93" s="138"/>
      <c r="S93" s="138"/>
      <c r="T93" s="138"/>
      <c r="U93" s="138"/>
      <c r="V93" s="138"/>
      <c r="W93" s="138"/>
      <c r="X93" s="138"/>
      <c r="Y93" s="139"/>
    </row>
    <row r="94">
      <c r="A94" s="137"/>
      <c r="B94" s="138"/>
      <c r="C94" s="139"/>
      <c r="D94" s="144">
        <v>45673.0</v>
      </c>
      <c r="E94" s="145" t="s">
        <v>83</v>
      </c>
      <c r="F94" s="145" t="s">
        <v>174</v>
      </c>
      <c r="G94" s="146" t="s">
        <v>122</v>
      </c>
      <c r="H94" s="147">
        <v>13.0</v>
      </c>
      <c r="I94" s="118"/>
      <c r="J94" s="138"/>
      <c r="K94" s="138"/>
      <c r="L94" s="138"/>
      <c r="M94" s="138"/>
      <c r="N94" s="138"/>
      <c r="O94" s="138"/>
      <c r="P94" s="138"/>
      <c r="Q94" s="138"/>
      <c r="R94" s="138"/>
      <c r="S94" s="138"/>
      <c r="T94" s="138"/>
      <c r="U94" s="138"/>
      <c r="V94" s="138"/>
      <c r="W94" s="138"/>
      <c r="X94" s="138"/>
      <c r="Y94" s="139"/>
    </row>
    <row r="95">
      <c r="A95" s="137"/>
      <c r="B95" s="138"/>
      <c r="C95" s="139"/>
      <c r="D95" s="140">
        <v>45671.0</v>
      </c>
      <c r="E95" s="141" t="s">
        <v>83</v>
      </c>
      <c r="F95" s="141" t="s">
        <v>174</v>
      </c>
      <c r="G95" s="142" t="s">
        <v>159</v>
      </c>
      <c r="H95" s="143">
        <v>20.0</v>
      </c>
      <c r="I95" s="118"/>
      <c r="J95" s="138"/>
      <c r="K95" s="138"/>
      <c r="L95" s="138"/>
      <c r="M95" s="138"/>
      <c r="N95" s="138"/>
      <c r="O95" s="138"/>
      <c r="P95" s="138"/>
      <c r="Q95" s="138"/>
      <c r="R95" s="138"/>
      <c r="S95" s="138"/>
      <c r="T95" s="138"/>
      <c r="U95" s="138"/>
      <c r="V95" s="138"/>
      <c r="W95" s="138"/>
      <c r="X95" s="138"/>
      <c r="Y95" s="139"/>
    </row>
    <row r="96">
      <c r="A96" s="137"/>
      <c r="B96" s="138"/>
      <c r="C96" s="139"/>
      <c r="D96" s="144">
        <v>45671.0</v>
      </c>
      <c r="E96" s="145" t="s">
        <v>83</v>
      </c>
      <c r="F96" s="145" t="s">
        <v>176</v>
      </c>
      <c r="G96" s="146" t="s">
        <v>147</v>
      </c>
      <c r="H96" s="147">
        <v>10.0</v>
      </c>
      <c r="I96" s="118"/>
      <c r="J96" s="138"/>
      <c r="K96" s="138"/>
      <c r="L96" s="138"/>
      <c r="M96" s="138"/>
      <c r="N96" s="138"/>
      <c r="O96" s="138"/>
      <c r="P96" s="138"/>
      <c r="Q96" s="138"/>
      <c r="R96" s="138"/>
      <c r="S96" s="138"/>
      <c r="T96" s="138"/>
      <c r="U96" s="138"/>
      <c r="V96" s="138"/>
      <c r="W96" s="138"/>
      <c r="X96" s="138"/>
      <c r="Y96" s="139"/>
    </row>
    <row r="97">
      <c r="A97" s="137"/>
      <c r="B97" s="138"/>
      <c r="C97" s="139"/>
      <c r="D97" s="140">
        <v>45671.0</v>
      </c>
      <c r="E97" s="141" t="s">
        <v>83</v>
      </c>
      <c r="F97" s="141" t="s">
        <v>175</v>
      </c>
      <c r="G97" s="142" t="s">
        <v>153</v>
      </c>
      <c r="H97" s="143">
        <v>4.0</v>
      </c>
      <c r="I97" s="118"/>
      <c r="J97" s="138"/>
      <c r="K97" s="138"/>
      <c r="L97" s="138"/>
      <c r="M97" s="138"/>
      <c r="N97" s="138"/>
      <c r="O97" s="138"/>
      <c r="P97" s="138"/>
      <c r="Q97" s="138"/>
      <c r="R97" s="138"/>
      <c r="S97" s="138"/>
      <c r="T97" s="138"/>
      <c r="U97" s="138"/>
      <c r="V97" s="138"/>
      <c r="W97" s="138"/>
      <c r="X97" s="138"/>
      <c r="Y97" s="139"/>
    </row>
    <row r="98">
      <c r="A98" s="137"/>
      <c r="B98" s="138"/>
      <c r="C98" s="139"/>
      <c r="D98" s="144">
        <v>45671.0</v>
      </c>
      <c r="E98" s="145" t="s">
        <v>83</v>
      </c>
      <c r="F98" s="145" t="s">
        <v>175</v>
      </c>
      <c r="G98" s="146" t="s">
        <v>152</v>
      </c>
      <c r="H98" s="147">
        <v>6.0</v>
      </c>
      <c r="I98" s="118"/>
      <c r="J98" s="138"/>
      <c r="K98" s="138"/>
      <c r="L98" s="138"/>
      <c r="M98" s="138"/>
      <c r="N98" s="138"/>
      <c r="O98" s="138"/>
      <c r="P98" s="138"/>
      <c r="Q98" s="138"/>
      <c r="R98" s="138"/>
      <c r="S98" s="138"/>
      <c r="T98" s="138"/>
      <c r="U98" s="138"/>
      <c r="V98" s="138"/>
      <c r="W98" s="138"/>
      <c r="X98" s="138"/>
      <c r="Y98" s="139"/>
    </row>
    <row r="99">
      <c r="A99" s="137"/>
      <c r="B99" s="138"/>
      <c r="C99" s="139"/>
      <c r="D99" s="140">
        <v>45670.0</v>
      </c>
      <c r="E99" s="141" t="s">
        <v>83</v>
      </c>
      <c r="F99" s="141" t="s">
        <v>176</v>
      </c>
      <c r="G99" s="142" t="s">
        <v>143</v>
      </c>
      <c r="H99" s="143">
        <v>12.0</v>
      </c>
      <c r="I99" s="118"/>
      <c r="J99" s="138"/>
      <c r="K99" s="138"/>
      <c r="L99" s="138"/>
      <c r="M99" s="138"/>
      <c r="N99" s="138"/>
      <c r="O99" s="138"/>
      <c r="P99" s="138"/>
      <c r="Q99" s="138"/>
      <c r="R99" s="138"/>
      <c r="S99" s="138"/>
      <c r="T99" s="138"/>
      <c r="U99" s="138"/>
      <c r="V99" s="138"/>
      <c r="W99" s="138"/>
      <c r="X99" s="138"/>
      <c r="Y99" s="139"/>
    </row>
    <row r="100">
      <c r="A100" s="137"/>
      <c r="B100" s="138"/>
      <c r="C100" s="139"/>
      <c r="D100" s="144">
        <v>45674.0</v>
      </c>
      <c r="E100" s="145" t="s">
        <v>83</v>
      </c>
      <c r="F100" s="145" t="s">
        <v>186</v>
      </c>
      <c r="G100" s="146" t="s">
        <v>150</v>
      </c>
      <c r="H100" s="147">
        <v>5.0</v>
      </c>
      <c r="I100" s="118"/>
      <c r="J100" s="138"/>
      <c r="K100" s="138"/>
      <c r="L100" s="138"/>
      <c r="M100" s="138"/>
      <c r="N100" s="138"/>
      <c r="O100" s="138"/>
      <c r="P100" s="138"/>
      <c r="Q100" s="138"/>
      <c r="R100" s="138"/>
      <c r="S100" s="138"/>
      <c r="T100" s="138"/>
      <c r="U100" s="138"/>
      <c r="V100" s="138"/>
      <c r="W100" s="138"/>
      <c r="X100" s="138"/>
      <c r="Y100" s="139"/>
    </row>
    <row r="101">
      <c r="A101" s="137"/>
      <c r="B101" s="138"/>
      <c r="C101" s="139"/>
      <c r="D101" s="140">
        <v>45670.0</v>
      </c>
      <c r="E101" s="141" t="s">
        <v>83</v>
      </c>
      <c r="F101" s="141" t="s">
        <v>174</v>
      </c>
      <c r="G101" s="142" t="s">
        <v>144</v>
      </c>
      <c r="H101" s="143">
        <v>5.0</v>
      </c>
      <c r="I101" s="118"/>
      <c r="J101" s="138"/>
      <c r="K101" s="138"/>
      <c r="L101" s="138"/>
      <c r="M101" s="138"/>
      <c r="N101" s="138"/>
      <c r="O101" s="138"/>
      <c r="P101" s="138"/>
      <c r="Q101" s="138"/>
      <c r="R101" s="138"/>
      <c r="S101" s="138"/>
      <c r="T101" s="138"/>
      <c r="U101" s="138"/>
      <c r="V101" s="138"/>
      <c r="W101" s="138"/>
      <c r="X101" s="138"/>
      <c r="Y101" s="139"/>
    </row>
    <row r="102">
      <c r="A102" s="137"/>
      <c r="B102" s="138"/>
      <c r="C102" s="139"/>
      <c r="D102" s="144">
        <v>45670.0</v>
      </c>
      <c r="E102" s="145" t="s">
        <v>84</v>
      </c>
      <c r="F102" s="145" t="s">
        <v>175</v>
      </c>
      <c r="G102" s="146" t="s">
        <v>143</v>
      </c>
      <c r="H102" s="147">
        <v>2.0</v>
      </c>
      <c r="I102" s="118"/>
      <c r="J102" s="138"/>
      <c r="K102" s="138"/>
      <c r="L102" s="138"/>
      <c r="M102" s="138"/>
      <c r="N102" s="138"/>
      <c r="O102" s="138"/>
      <c r="P102" s="138"/>
      <c r="Q102" s="138"/>
      <c r="R102" s="138"/>
      <c r="S102" s="138"/>
      <c r="T102" s="138"/>
      <c r="U102" s="138"/>
      <c r="V102" s="138"/>
      <c r="W102" s="138"/>
      <c r="X102" s="138"/>
      <c r="Y102" s="139"/>
    </row>
    <row r="103">
      <c r="A103" s="137"/>
      <c r="B103" s="138"/>
      <c r="C103" s="139"/>
      <c r="D103" s="140">
        <v>45670.0</v>
      </c>
      <c r="E103" s="141" t="s">
        <v>84</v>
      </c>
      <c r="F103" s="141" t="s">
        <v>175</v>
      </c>
      <c r="G103" s="142" t="s">
        <v>141</v>
      </c>
      <c r="H103" s="143">
        <v>2.0</v>
      </c>
      <c r="I103" s="118"/>
      <c r="J103" s="138"/>
      <c r="K103" s="138"/>
      <c r="L103" s="138"/>
      <c r="M103" s="138"/>
      <c r="N103" s="138"/>
      <c r="O103" s="138"/>
      <c r="P103" s="138"/>
      <c r="Q103" s="138"/>
      <c r="R103" s="138"/>
      <c r="S103" s="138"/>
      <c r="T103" s="138"/>
      <c r="U103" s="138"/>
      <c r="V103" s="138"/>
      <c r="W103" s="138"/>
      <c r="X103" s="138"/>
      <c r="Y103" s="139"/>
    </row>
    <row r="104">
      <c r="A104" s="137"/>
      <c r="B104" s="138"/>
      <c r="C104" s="139"/>
      <c r="D104" s="144">
        <v>45670.0</v>
      </c>
      <c r="E104" s="145" t="s">
        <v>84</v>
      </c>
      <c r="F104" s="145" t="s">
        <v>174</v>
      </c>
      <c r="G104" s="146" t="s">
        <v>149</v>
      </c>
      <c r="H104" s="147">
        <v>2.0</v>
      </c>
      <c r="I104" s="118"/>
      <c r="J104" s="138"/>
      <c r="K104" s="138"/>
      <c r="L104" s="138"/>
      <c r="M104" s="138"/>
      <c r="N104" s="138"/>
      <c r="O104" s="138"/>
      <c r="P104" s="138"/>
      <c r="Q104" s="138"/>
      <c r="R104" s="138"/>
      <c r="S104" s="138"/>
      <c r="T104" s="138"/>
      <c r="U104" s="138"/>
      <c r="V104" s="138"/>
      <c r="W104" s="138"/>
      <c r="X104" s="138"/>
      <c r="Y104" s="139"/>
    </row>
    <row r="105">
      <c r="A105" s="137"/>
      <c r="B105" s="138"/>
      <c r="C105" s="139"/>
      <c r="D105" s="140">
        <v>45670.0</v>
      </c>
      <c r="E105" s="141" t="s">
        <v>83</v>
      </c>
      <c r="F105" s="141" t="s">
        <v>174</v>
      </c>
      <c r="G105" s="142" t="s">
        <v>148</v>
      </c>
      <c r="H105" s="143">
        <v>6.0</v>
      </c>
      <c r="I105" s="118"/>
      <c r="J105" s="138"/>
      <c r="K105" s="138"/>
      <c r="L105" s="138"/>
      <c r="M105" s="138"/>
      <c r="N105" s="138"/>
      <c r="O105" s="138"/>
      <c r="P105" s="138"/>
      <c r="Q105" s="138"/>
      <c r="R105" s="138"/>
      <c r="S105" s="138"/>
      <c r="T105" s="138"/>
      <c r="U105" s="138"/>
      <c r="V105" s="138"/>
      <c r="W105" s="138"/>
      <c r="X105" s="138"/>
      <c r="Y105" s="139"/>
    </row>
    <row r="106">
      <c r="A106" s="137"/>
      <c r="B106" s="138"/>
      <c r="C106" s="139"/>
      <c r="D106" s="144">
        <v>45670.0</v>
      </c>
      <c r="E106" s="145" t="s">
        <v>84</v>
      </c>
      <c r="F106" s="145" t="s">
        <v>174</v>
      </c>
      <c r="G106" s="146" t="s">
        <v>147</v>
      </c>
      <c r="H106" s="147">
        <v>6.0</v>
      </c>
      <c r="I106" s="118"/>
      <c r="J106" s="138"/>
      <c r="K106" s="138"/>
      <c r="L106" s="138"/>
      <c r="M106" s="138"/>
      <c r="N106" s="138"/>
      <c r="O106" s="138"/>
      <c r="P106" s="138"/>
      <c r="Q106" s="138"/>
      <c r="R106" s="138"/>
      <c r="S106" s="138"/>
      <c r="T106" s="138"/>
      <c r="U106" s="138"/>
      <c r="V106" s="138"/>
      <c r="W106" s="138"/>
      <c r="X106" s="138"/>
      <c r="Y106" s="139"/>
    </row>
    <row r="107">
      <c r="A107" s="137"/>
      <c r="B107" s="138"/>
      <c r="C107" s="139"/>
      <c r="D107" s="140">
        <v>45670.0</v>
      </c>
      <c r="E107" s="141" t="s">
        <v>84</v>
      </c>
      <c r="F107" s="141" t="s">
        <v>174</v>
      </c>
      <c r="G107" s="142" t="s">
        <v>157</v>
      </c>
      <c r="H107" s="143">
        <v>5.0</v>
      </c>
      <c r="I107" s="118"/>
      <c r="J107" s="138"/>
      <c r="K107" s="138"/>
      <c r="L107" s="138"/>
      <c r="M107" s="138"/>
      <c r="N107" s="138"/>
      <c r="O107" s="138"/>
      <c r="P107" s="138"/>
      <c r="Q107" s="138"/>
      <c r="R107" s="138"/>
      <c r="S107" s="138"/>
      <c r="T107" s="138"/>
      <c r="U107" s="138"/>
      <c r="V107" s="138"/>
      <c r="W107" s="138"/>
      <c r="X107" s="138"/>
      <c r="Y107" s="139"/>
    </row>
    <row r="108">
      <c r="A108" s="137"/>
      <c r="B108" s="138"/>
      <c r="C108" s="139"/>
      <c r="D108" s="144">
        <v>45593.0</v>
      </c>
      <c r="E108" s="145" t="s">
        <v>84</v>
      </c>
      <c r="F108" s="145" t="s">
        <v>187</v>
      </c>
      <c r="G108" s="146" t="s">
        <v>143</v>
      </c>
      <c r="H108" s="147">
        <v>3.0</v>
      </c>
      <c r="I108" s="118"/>
      <c r="J108" s="138"/>
      <c r="K108" s="138"/>
      <c r="L108" s="138"/>
      <c r="M108" s="138"/>
      <c r="N108" s="138"/>
      <c r="O108" s="138"/>
      <c r="P108" s="138"/>
      <c r="Q108" s="138"/>
      <c r="R108" s="138"/>
      <c r="S108" s="138"/>
      <c r="T108" s="138"/>
      <c r="U108" s="138"/>
      <c r="V108" s="138"/>
      <c r="W108" s="138"/>
      <c r="X108" s="138"/>
      <c r="Y108" s="139"/>
    </row>
    <row r="109">
      <c r="A109" s="137"/>
      <c r="B109" s="138"/>
      <c r="C109" s="139"/>
      <c r="D109" s="140">
        <v>45593.0</v>
      </c>
      <c r="E109" s="141" t="s">
        <v>84</v>
      </c>
      <c r="F109" s="141" t="s">
        <v>187</v>
      </c>
      <c r="G109" s="142" t="s">
        <v>142</v>
      </c>
      <c r="H109" s="143">
        <v>1.0</v>
      </c>
      <c r="I109" s="118"/>
      <c r="J109" s="138"/>
      <c r="K109" s="138"/>
      <c r="L109" s="138"/>
      <c r="M109" s="138"/>
      <c r="N109" s="138"/>
      <c r="O109" s="138"/>
      <c r="P109" s="138"/>
      <c r="Q109" s="138"/>
      <c r="R109" s="138"/>
      <c r="S109" s="138"/>
      <c r="T109" s="138"/>
      <c r="U109" s="138"/>
      <c r="V109" s="138"/>
      <c r="W109" s="138"/>
      <c r="X109" s="138"/>
      <c r="Y109" s="139"/>
    </row>
    <row r="110">
      <c r="A110" s="137"/>
      <c r="B110" s="138"/>
      <c r="C110" s="139"/>
      <c r="D110" s="144">
        <v>45593.0</v>
      </c>
      <c r="E110" s="145" t="s">
        <v>84</v>
      </c>
      <c r="F110" s="145" t="s">
        <v>187</v>
      </c>
      <c r="G110" s="146" t="s">
        <v>141</v>
      </c>
      <c r="H110" s="147">
        <v>4.0</v>
      </c>
      <c r="I110" s="118"/>
      <c r="J110" s="138"/>
      <c r="K110" s="138"/>
      <c r="L110" s="138"/>
      <c r="M110" s="138"/>
      <c r="N110" s="138"/>
      <c r="O110" s="138"/>
      <c r="P110" s="138"/>
      <c r="Q110" s="138"/>
      <c r="R110" s="138"/>
      <c r="S110" s="138"/>
      <c r="T110" s="138"/>
      <c r="U110" s="138"/>
      <c r="V110" s="138"/>
      <c r="W110" s="138"/>
      <c r="X110" s="138"/>
      <c r="Y110" s="139"/>
    </row>
    <row r="111">
      <c r="A111" s="137"/>
      <c r="B111" s="138"/>
      <c r="C111" s="139"/>
      <c r="D111" s="140">
        <v>45583.0</v>
      </c>
      <c r="E111" s="141" t="s">
        <v>84</v>
      </c>
      <c r="F111" s="141" t="s">
        <v>188</v>
      </c>
      <c r="G111" s="142" t="s">
        <v>141</v>
      </c>
      <c r="H111" s="143">
        <v>2.0</v>
      </c>
      <c r="I111" s="118"/>
      <c r="J111" s="138"/>
      <c r="K111" s="138"/>
      <c r="L111" s="138"/>
      <c r="M111" s="138"/>
      <c r="N111" s="138"/>
      <c r="O111" s="138"/>
      <c r="P111" s="138"/>
      <c r="Q111" s="138"/>
      <c r="R111" s="138"/>
      <c r="S111" s="138"/>
      <c r="T111" s="138"/>
      <c r="U111" s="138"/>
      <c r="V111" s="138"/>
      <c r="W111" s="138"/>
      <c r="X111" s="138"/>
      <c r="Y111" s="139"/>
    </row>
    <row r="112">
      <c r="A112" s="137"/>
      <c r="B112" s="138"/>
      <c r="C112" s="139"/>
      <c r="D112" s="144">
        <v>45583.0</v>
      </c>
      <c r="E112" s="145" t="s">
        <v>84</v>
      </c>
      <c r="F112" s="145" t="s">
        <v>188</v>
      </c>
      <c r="G112" s="146" t="s">
        <v>146</v>
      </c>
      <c r="H112" s="147">
        <v>3.0</v>
      </c>
      <c r="I112" s="118"/>
      <c r="J112" s="138"/>
      <c r="K112" s="138"/>
      <c r="L112" s="138"/>
      <c r="M112" s="138"/>
      <c r="N112" s="138"/>
      <c r="O112" s="138"/>
      <c r="P112" s="138"/>
      <c r="Q112" s="138"/>
      <c r="R112" s="138"/>
      <c r="S112" s="138"/>
      <c r="T112" s="138"/>
      <c r="U112" s="138"/>
      <c r="V112" s="138"/>
      <c r="W112" s="138"/>
      <c r="X112" s="138"/>
      <c r="Y112" s="139"/>
    </row>
    <row r="113">
      <c r="A113" s="137"/>
      <c r="B113" s="138"/>
      <c r="C113" s="139"/>
      <c r="D113" s="140">
        <v>45583.0</v>
      </c>
      <c r="E113" s="141" t="s">
        <v>84</v>
      </c>
      <c r="F113" s="141" t="s">
        <v>188</v>
      </c>
      <c r="G113" s="142" t="s">
        <v>145</v>
      </c>
      <c r="H113" s="143">
        <v>4.0</v>
      </c>
      <c r="I113" s="118"/>
      <c r="J113" s="138"/>
      <c r="K113" s="138"/>
      <c r="L113" s="138"/>
      <c r="M113" s="138"/>
      <c r="N113" s="138"/>
      <c r="O113" s="138"/>
      <c r="P113" s="138"/>
      <c r="Q113" s="138"/>
      <c r="R113" s="138"/>
      <c r="S113" s="138"/>
      <c r="T113" s="138"/>
      <c r="U113" s="138"/>
      <c r="V113" s="138"/>
      <c r="W113" s="138"/>
      <c r="X113" s="138"/>
      <c r="Y113" s="139"/>
    </row>
    <row r="114">
      <c r="A114" s="137"/>
      <c r="B114" s="138"/>
      <c r="C114" s="139"/>
      <c r="D114" s="144">
        <v>45583.0</v>
      </c>
      <c r="E114" s="145" t="s">
        <v>84</v>
      </c>
      <c r="F114" s="145" t="s">
        <v>182</v>
      </c>
      <c r="G114" s="146" t="s">
        <v>151</v>
      </c>
      <c r="H114" s="147">
        <v>1.0</v>
      </c>
      <c r="I114" s="118"/>
      <c r="J114" s="138"/>
      <c r="K114" s="138"/>
      <c r="L114" s="138"/>
      <c r="M114" s="138"/>
      <c r="N114" s="138"/>
      <c r="O114" s="138"/>
      <c r="P114" s="138"/>
      <c r="Q114" s="138"/>
      <c r="R114" s="138"/>
      <c r="S114" s="138"/>
      <c r="T114" s="138"/>
      <c r="U114" s="138"/>
      <c r="V114" s="138"/>
      <c r="W114" s="138"/>
      <c r="X114" s="138"/>
      <c r="Y114" s="139"/>
    </row>
    <row r="115">
      <c r="A115" s="137"/>
      <c r="B115" s="138"/>
      <c r="C115" s="139"/>
      <c r="D115" s="140">
        <v>45583.0</v>
      </c>
      <c r="E115" s="141" t="s">
        <v>84</v>
      </c>
      <c r="F115" s="141" t="s">
        <v>189</v>
      </c>
      <c r="G115" s="142" t="s">
        <v>107</v>
      </c>
      <c r="H115" s="143">
        <v>1.0</v>
      </c>
      <c r="I115" s="118"/>
      <c r="J115" s="138"/>
      <c r="K115" s="138"/>
      <c r="L115" s="138"/>
      <c r="M115" s="138"/>
      <c r="N115" s="138"/>
      <c r="O115" s="138"/>
      <c r="P115" s="138"/>
      <c r="Q115" s="138"/>
      <c r="R115" s="138"/>
      <c r="S115" s="138"/>
      <c r="T115" s="138"/>
      <c r="U115" s="138"/>
      <c r="V115" s="138"/>
      <c r="W115" s="138"/>
      <c r="X115" s="138"/>
      <c r="Y115" s="139"/>
    </row>
    <row r="116">
      <c r="A116" s="137"/>
      <c r="B116" s="138"/>
      <c r="C116" s="139"/>
      <c r="D116" s="144">
        <v>45581.0</v>
      </c>
      <c r="E116" s="145" t="s">
        <v>84</v>
      </c>
      <c r="F116" s="145" t="s">
        <v>190</v>
      </c>
      <c r="G116" s="146" t="s">
        <v>148</v>
      </c>
      <c r="H116" s="147">
        <v>3.0</v>
      </c>
      <c r="I116" s="118"/>
      <c r="J116" s="138"/>
      <c r="K116" s="138"/>
      <c r="L116" s="138"/>
      <c r="M116" s="138"/>
      <c r="N116" s="138"/>
      <c r="O116" s="138"/>
      <c r="P116" s="138"/>
      <c r="Q116" s="138"/>
      <c r="R116" s="138"/>
      <c r="S116" s="138"/>
      <c r="T116" s="138"/>
      <c r="U116" s="138"/>
      <c r="V116" s="138"/>
      <c r="W116" s="138"/>
      <c r="X116" s="138"/>
      <c r="Y116" s="139"/>
    </row>
    <row r="117">
      <c r="A117" s="137"/>
      <c r="B117" s="138"/>
      <c r="C117" s="139"/>
      <c r="D117" s="140">
        <v>45581.0</v>
      </c>
      <c r="E117" s="141" t="s">
        <v>84</v>
      </c>
      <c r="F117" s="141" t="s">
        <v>190</v>
      </c>
      <c r="G117" s="142" t="s">
        <v>147</v>
      </c>
      <c r="H117" s="143">
        <v>6.0</v>
      </c>
      <c r="I117" s="118"/>
      <c r="J117" s="138"/>
      <c r="K117" s="138"/>
      <c r="L117" s="138"/>
      <c r="M117" s="138"/>
      <c r="N117" s="138"/>
      <c r="O117" s="138"/>
      <c r="P117" s="138"/>
      <c r="Q117" s="138"/>
      <c r="R117" s="138"/>
      <c r="S117" s="138"/>
      <c r="T117" s="138"/>
      <c r="U117" s="138"/>
      <c r="V117" s="138"/>
      <c r="W117" s="138"/>
      <c r="X117" s="138"/>
      <c r="Y117" s="139"/>
    </row>
    <row r="118">
      <c r="A118" s="137"/>
      <c r="B118" s="138"/>
      <c r="C118" s="139"/>
      <c r="D118" s="144">
        <v>45581.0</v>
      </c>
      <c r="E118" s="145" t="s">
        <v>84</v>
      </c>
      <c r="F118" s="145" t="s">
        <v>191</v>
      </c>
      <c r="G118" s="146" t="s">
        <v>143</v>
      </c>
      <c r="H118" s="147">
        <v>3.0</v>
      </c>
      <c r="I118" s="118"/>
      <c r="J118" s="138"/>
      <c r="K118" s="138"/>
      <c r="L118" s="138"/>
      <c r="M118" s="138"/>
      <c r="N118" s="138"/>
      <c r="O118" s="138"/>
      <c r="P118" s="138"/>
      <c r="Q118" s="138"/>
      <c r="R118" s="138"/>
      <c r="S118" s="138"/>
      <c r="T118" s="138"/>
      <c r="U118" s="138"/>
      <c r="V118" s="138"/>
      <c r="W118" s="138"/>
      <c r="X118" s="138"/>
      <c r="Y118" s="139"/>
    </row>
    <row r="119">
      <c r="A119" s="137"/>
      <c r="B119" s="138"/>
      <c r="C119" s="139"/>
      <c r="D119" s="140">
        <v>45581.0</v>
      </c>
      <c r="E119" s="141" t="s">
        <v>84</v>
      </c>
      <c r="F119" s="141" t="s">
        <v>192</v>
      </c>
      <c r="G119" s="142" t="s">
        <v>151</v>
      </c>
      <c r="H119" s="143">
        <v>1.0</v>
      </c>
      <c r="I119" s="118"/>
      <c r="J119" s="138"/>
      <c r="K119" s="138"/>
      <c r="L119" s="138"/>
      <c r="M119" s="138"/>
      <c r="N119" s="138"/>
      <c r="O119" s="138"/>
      <c r="P119" s="138"/>
      <c r="Q119" s="138"/>
      <c r="R119" s="138"/>
      <c r="S119" s="138"/>
      <c r="T119" s="138"/>
      <c r="U119" s="138"/>
      <c r="V119" s="138"/>
      <c r="W119" s="138"/>
      <c r="X119" s="138"/>
      <c r="Y119" s="139"/>
    </row>
    <row r="120">
      <c r="A120" s="137"/>
      <c r="B120" s="138"/>
      <c r="C120" s="139"/>
      <c r="D120" s="144">
        <v>45581.0</v>
      </c>
      <c r="E120" s="145" t="s">
        <v>84</v>
      </c>
      <c r="F120" s="145" t="s">
        <v>182</v>
      </c>
      <c r="G120" s="146" t="s">
        <v>157</v>
      </c>
      <c r="H120" s="147">
        <v>1.0</v>
      </c>
      <c r="I120" s="118"/>
      <c r="J120" s="138"/>
      <c r="K120" s="138"/>
      <c r="L120" s="138"/>
      <c r="M120" s="138"/>
      <c r="N120" s="138"/>
      <c r="O120" s="138"/>
      <c r="P120" s="138"/>
      <c r="Q120" s="138"/>
      <c r="R120" s="138"/>
      <c r="S120" s="138"/>
      <c r="T120" s="138"/>
      <c r="U120" s="138"/>
      <c r="V120" s="138"/>
      <c r="W120" s="138"/>
      <c r="X120" s="138"/>
      <c r="Y120" s="139"/>
    </row>
    <row r="121">
      <c r="A121" s="137"/>
      <c r="B121" s="138"/>
      <c r="C121" s="139"/>
      <c r="D121" s="140">
        <v>45581.0</v>
      </c>
      <c r="E121" s="141" t="s">
        <v>84</v>
      </c>
      <c r="F121" s="141" t="s">
        <v>193</v>
      </c>
      <c r="G121" s="142" t="s">
        <v>141</v>
      </c>
      <c r="H121" s="143">
        <v>2.0</v>
      </c>
      <c r="I121" s="118"/>
      <c r="J121" s="138"/>
      <c r="K121" s="138"/>
      <c r="L121" s="138"/>
      <c r="M121" s="138"/>
      <c r="N121" s="138"/>
      <c r="O121" s="138"/>
      <c r="P121" s="138"/>
      <c r="Q121" s="138"/>
      <c r="R121" s="138"/>
      <c r="S121" s="138"/>
      <c r="T121" s="138"/>
      <c r="U121" s="138"/>
      <c r="V121" s="138"/>
      <c r="W121" s="138"/>
      <c r="X121" s="138"/>
      <c r="Y121" s="139"/>
    </row>
    <row r="122">
      <c r="A122" s="137"/>
      <c r="B122" s="138"/>
      <c r="C122" s="139"/>
      <c r="D122" s="144">
        <v>45581.0</v>
      </c>
      <c r="E122" s="145" t="s">
        <v>84</v>
      </c>
      <c r="F122" s="145" t="s">
        <v>186</v>
      </c>
      <c r="G122" s="146" t="s">
        <v>141</v>
      </c>
      <c r="H122" s="147">
        <v>1.0</v>
      </c>
      <c r="I122" s="118"/>
      <c r="J122" s="138"/>
      <c r="K122" s="138"/>
      <c r="L122" s="138"/>
      <c r="M122" s="138"/>
      <c r="N122" s="138"/>
      <c r="O122" s="138"/>
      <c r="P122" s="138"/>
      <c r="Q122" s="138"/>
      <c r="R122" s="138"/>
      <c r="S122" s="138"/>
      <c r="T122" s="138"/>
      <c r="U122" s="138"/>
      <c r="V122" s="138"/>
      <c r="W122" s="138"/>
      <c r="X122" s="138"/>
      <c r="Y122" s="139"/>
    </row>
    <row r="123">
      <c r="A123" s="137"/>
      <c r="B123" s="138"/>
      <c r="C123" s="139"/>
      <c r="D123" s="140">
        <v>45575.0</v>
      </c>
      <c r="E123" s="141" t="s">
        <v>84</v>
      </c>
      <c r="F123" s="141" t="s">
        <v>194</v>
      </c>
      <c r="G123" s="142" t="s">
        <v>144</v>
      </c>
      <c r="H123" s="143">
        <v>1.0</v>
      </c>
      <c r="I123" s="118"/>
      <c r="J123" s="138"/>
      <c r="K123" s="138"/>
      <c r="L123" s="138"/>
      <c r="M123" s="138"/>
      <c r="N123" s="138"/>
      <c r="O123" s="138"/>
      <c r="P123" s="138"/>
      <c r="Q123" s="138"/>
      <c r="R123" s="138"/>
      <c r="S123" s="138"/>
      <c r="T123" s="138"/>
      <c r="U123" s="138"/>
      <c r="V123" s="138"/>
      <c r="W123" s="138"/>
      <c r="X123" s="138"/>
      <c r="Y123" s="139"/>
    </row>
    <row r="124">
      <c r="A124" s="137"/>
      <c r="B124" s="138"/>
      <c r="C124" s="139"/>
      <c r="D124" s="144">
        <v>45581.0</v>
      </c>
      <c r="E124" s="145" t="s">
        <v>84</v>
      </c>
      <c r="F124" s="145" t="s">
        <v>193</v>
      </c>
      <c r="G124" s="146" t="s">
        <v>144</v>
      </c>
      <c r="H124" s="147">
        <v>1.0</v>
      </c>
      <c r="I124" s="118"/>
      <c r="J124" s="138"/>
      <c r="K124" s="138"/>
      <c r="L124" s="138"/>
      <c r="M124" s="138"/>
      <c r="N124" s="138"/>
      <c r="O124" s="138"/>
      <c r="P124" s="138"/>
      <c r="Q124" s="138"/>
      <c r="R124" s="138"/>
      <c r="S124" s="138"/>
      <c r="T124" s="138"/>
      <c r="U124" s="138"/>
      <c r="V124" s="138"/>
      <c r="W124" s="138"/>
      <c r="X124" s="138"/>
      <c r="Y124" s="139"/>
    </row>
    <row r="125">
      <c r="A125" s="137"/>
      <c r="B125" s="138"/>
      <c r="C125" s="139"/>
      <c r="D125" s="140">
        <v>45581.0</v>
      </c>
      <c r="E125" s="141" t="s">
        <v>84</v>
      </c>
      <c r="F125" s="141" t="s">
        <v>193</v>
      </c>
      <c r="G125" s="142" t="s">
        <v>143</v>
      </c>
      <c r="H125" s="143">
        <v>3.0</v>
      </c>
      <c r="I125" s="118"/>
      <c r="J125" s="138"/>
      <c r="K125" s="138"/>
      <c r="L125" s="138"/>
      <c r="M125" s="138"/>
      <c r="N125" s="138"/>
      <c r="O125" s="138"/>
      <c r="P125" s="138"/>
      <c r="Q125" s="138"/>
      <c r="R125" s="138"/>
      <c r="S125" s="138"/>
      <c r="T125" s="138"/>
      <c r="U125" s="138"/>
      <c r="V125" s="138"/>
      <c r="W125" s="138"/>
      <c r="X125" s="138"/>
      <c r="Y125" s="139"/>
    </row>
    <row r="126">
      <c r="A126" s="137"/>
      <c r="B126" s="138"/>
      <c r="C126" s="139"/>
      <c r="D126" s="144">
        <v>45579.0</v>
      </c>
      <c r="E126" s="145" t="s">
        <v>84</v>
      </c>
      <c r="F126" s="145" t="s">
        <v>191</v>
      </c>
      <c r="G126" s="146" t="s">
        <v>141</v>
      </c>
      <c r="H126" s="147">
        <v>10.0</v>
      </c>
      <c r="I126" s="118"/>
      <c r="J126" s="138"/>
      <c r="K126" s="138"/>
      <c r="L126" s="138"/>
      <c r="M126" s="138"/>
      <c r="N126" s="138"/>
      <c r="O126" s="138"/>
      <c r="P126" s="138"/>
      <c r="Q126" s="138"/>
      <c r="R126" s="138"/>
      <c r="S126" s="138"/>
      <c r="T126" s="138"/>
      <c r="U126" s="138"/>
      <c r="V126" s="138"/>
      <c r="W126" s="138"/>
      <c r="X126" s="138"/>
      <c r="Y126" s="139"/>
    </row>
    <row r="127">
      <c r="A127" s="137"/>
      <c r="B127" s="138"/>
      <c r="C127" s="139"/>
      <c r="D127" s="140">
        <v>45576.0</v>
      </c>
      <c r="E127" s="141" t="s">
        <v>84</v>
      </c>
      <c r="F127" s="141" t="s">
        <v>193</v>
      </c>
      <c r="G127" s="142" t="s">
        <v>141</v>
      </c>
      <c r="H127" s="143">
        <v>6.0</v>
      </c>
      <c r="I127" s="118"/>
      <c r="J127" s="138"/>
      <c r="K127" s="138"/>
      <c r="L127" s="138"/>
      <c r="M127" s="138"/>
      <c r="N127" s="138"/>
      <c r="O127" s="138"/>
      <c r="P127" s="138"/>
      <c r="Q127" s="138"/>
      <c r="R127" s="138"/>
      <c r="S127" s="138"/>
      <c r="T127" s="138"/>
      <c r="U127" s="138"/>
      <c r="V127" s="138"/>
      <c r="W127" s="138"/>
      <c r="X127" s="138"/>
      <c r="Y127" s="139"/>
    </row>
    <row r="128">
      <c r="A128" s="137"/>
      <c r="B128" s="138"/>
      <c r="C128" s="139"/>
      <c r="D128" s="144">
        <v>45558.0</v>
      </c>
      <c r="E128" s="145" t="s">
        <v>84</v>
      </c>
      <c r="F128" s="145" t="s">
        <v>178</v>
      </c>
      <c r="G128" s="146" t="s">
        <v>107</v>
      </c>
      <c r="H128" s="147">
        <v>2.0</v>
      </c>
      <c r="I128" s="118"/>
      <c r="J128" s="138"/>
      <c r="K128" s="138"/>
      <c r="L128" s="138"/>
      <c r="M128" s="138"/>
      <c r="N128" s="138"/>
      <c r="O128" s="138"/>
      <c r="P128" s="138"/>
      <c r="Q128" s="138"/>
      <c r="R128" s="138"/>
      <c r="S128" s="138"/>
      <c r="T128" s="138"/>
      <c r="U128" s="138"/>
      <c r="V128" s="138"/>
      <c r="W128" s="138"/>
      <c r="X128" s="138"/>
      <c r="Y128" s="139"/>
    </row>
    <row r="129">
      <c r="A129" s="137"/>
      <c r="B129" s="138"/>
      <c r="C129" s="139"/>
      <c r="D129" s="140">
        <v>45558.0</v>
      </c>
      <c r="E129" s="141" t="s">
        <v>83</v>
      </c>
      <c r="F129" s="141" t="s">
        <v>176</v>
      </c>
      <c r="G129" s="142" t="s">
        <v>108</v>
      </c>
      <c r="H129" s="143">
        <v>2.0</v>
      </c>
      <c r="I129" s="118"/>
      <c r="J129" s="138"/>
      <c r="K129" s="138"/>
      <c r="L129" s="138"/>
      <c r="M129" s="138"/>
      <c r="N129" s="138"/>
      <c r="O129" s="138"/>
      <c r="P129" s="138"/>
      <c r="Q129" s="138"/>
      <c r="R129" s="138"/>
      <c r="S129" s="138"/>
      <c r="T129" s="138"/>
      <c r="U129" s="138"/>
      <c r="V129" s="138"/>
      <c r="W129" s="138"/>
      <c r="X129" s="138"/>
      <c r="Y129" s="139"/>
    </row>
    <row r="130">
      <c r="A130" s="137"/>
      <c r="B130" s="138"/>
      <c r="C130" s="139"/>
      <c r="D130" s="144">
        <v>45558.0</v>
      </c>
      <c r="E130" s="145" t="s">
        <v>83</v>
      </c>
      <c r="F130" s="145" t="s">
        <v>176</v>
      </c>
      <c r="G130" s="146" t="s">
        <v>107</v>
      </c>
      <c r="H130" s="147">
        <v>10.0</v>
      </c>
      <c r="I130" s="118"/>
      <c r="J130" s="138"/>
      <c r="K130" s="138"/>
      <c r="L130" s="138"/>
      <c r="M130" s="138"/>
      <c r="N130" s="138"/>
      <c r="O130" s="138"/>
      <c r="P130" s="138"/>
      <c r="Q130" s="138"/>
      <c r="R130" s="138"/>
      <c r="S130" s="138"/>
      <c r="T130" s="138"/>
      <c r="U130" s="138"/>
      <c r="V130" s="138"/>
      <c r="W130" s="138"/>
      <c r="X130" s="138"/>
      <c r="Y130" s="139"/>
    </row>
    <row r="131">
      <c r="A131" s="137"/>
      <c r="B131" s="138"/>
      <c r="C131" s="139"/>
      <c r="D131" s="140">
        <v>45558.0</v>
      </c>
      <c r="E131" s="141" t="s">
        <v>83</v>
      </c>
      <c r="F131" s="141" t="s">
        <v>176</v>
      </c>
      <c r="G131" s="142" t="s">
        <v>106</v>
      </c>
      <c r="H131" s="143">
        <v>3.0</v>
      </c>
      <c r="I131" s="118"/>
      <c r="J131" s="138"/>
      <c r="K131" s="138"/>
      <c r="L131" s="138"/>
      <c r="M131" s="138"/>
      <c r="N131" s="138"/>
      <c r="O131" s="138"/>
      <c r="P131" s="138"/>
      <c r="Q131" s="138"/>
      <c r="R131" s="138"/>
      <c r="S131" s="138"/>
      <c r="T131" s="138"/>
      <c r="U131" s="138"/>
      <c r="V131" s="138"/>
      <c r="W131" s="138"/>
      <c r="X131" s="138"/>
      <c r="Y131" s="139"/>
    </row>
    <row r="132">
      <c r="A132" s="137"/>
      <c r="B132" s="138"/>
      <c r="C132" s="139"/>
      <c r="D132" s="144">
        <v>45532.0</v>
      </c>
      <c r="E132" s="145" t="s">
        <v>83</v>
      </c>
      <c r="F132" s="145" t="s">
        <v>174</v>
      </c>
      <c r="G132" s="146" t="s">
        <v>149</v>
      </c>
      <c r="H132" s="147">
        <v>6.0</v>
      </c>
      <c r="I132" s="118"/>
      <c r="J132" s="138"/>
      <c r="K132" s="138"/>
      <c r="L132" s="138"/>
      <c r="M132" s="138"/>
      <c r="N132" s="138"/>
      <c r="O132" s="138"/>
      <c r="P132" s="138"/>
      <c r="Q132" s="138"/>
      <c r="R132" s="138"/>
      <c r="S132" s="138"/>
      <c r="T132" s="138"/>
      <c r="U132" s="138"/>
      <c r="V132" s="138"/>
      <c r="W132" s="138"/>
      <c r="X132" s="138"/>
      <c r="Y132" s="139"/>
    </row>
    <row r="133">
      <c r="A133" s="137"/>
      <c r="B133" s="138"/>
      <c r="C133" s="139"/>
      <c r="D133" s="140">
        <v>45532.0</v>
      </c>
      <c r="E133" s="141" t="s">
        <v>83</v>
      </c>
      <c r="F133" s="141" t="s">
        <v>174</v>
      </c>
      <c r="G133" s="142" t="s">
        <v>148</v>
      </c>
      <c r="H133" s="143">
        <v>12.0</v>
      </c>
      <c r="I133" s="118"/>
      <c r="J133" s="138"/>
      <c r="K133" s="138"/>
      <c r="L133" s="138"/>
      <c r="M133" s="138"/>
      <c r="N133" s="138"/>
      <c r="O133" s="138"/>
      <c r="P133" s="138"/>
      <c r="Q133" s="138"/>
      <c r="R133" s="138"/>
      <c r="S133" s="138"/>
      <c r="T133" s="138"/>
      <c r="U133" s="138"/>
      <c r="V133" s="138"/>
      <c r="W133" s="138"/>
      <c r="X133" s="138"/>
      <c r="Y133" s="139"/>
    </row>
    <row r="134">
      <c r="A134" s="137"/>
      <c r="B134" s="138"/>
      <c r="C134" s="139"/>
      <c r="D134" s="144">
        <v>45532.0</v>
      </c>
      <c r="E134" s="145" t="s">
        <v>83</v>
      </c>
      <c r="F134" s="145" t="s">
        <v>174</v>
      </c>
      <c r="G134" s="146" t="s">
        <v>147</v>
      </c>
      <c r="H134" s="147">
        <v>18.0</v>
      </c>
      <c r="I134" s="118"/>
      <c r="J134" s="138"/>
      <c r="K134" s="138"/>
      <c r="L134" s="138"/>
      <c r="M134" s="138"/>
      <c r="N134" s="138"/>
      <c r="O134" s="138"/>
      <c r="P134" s="138"/>
      <c r="Q134" s="138"/>
      <c r="R134" s="138"/>
      <c r="S134" s="138"/>
      <c r="T134" s="138"/>
      <c r="U134" s="138"/>
      <c r="V134" s="138"/>
      <c r="W134" s="138"/>
      <c r="X134" s="138"/>
      <c r="Y134" s="139"/>
    </row>
    <row r="135">
      <c r="A135" s="137"/>
      <c r="B135" s="138"/>
      <c r="C135" s="139"/>
      <c r="D135" s="140">
        <v>45532.0</v>
      </c>
      <c r="E135" s="141" t="s">
        <v>83</v>
      </c>
      <c r="F135" s="141" t="s">
        <v>174</v>
      </c>
      <c r="G135" s="142" t="s">
        <v>105</v>
      </c>
      <c r="H135" s="143">
        <v>2.0</v>
      </c>
      <c r="I135" s="118"/>
      <c r="J135" s="138"/>
      <c r="K135" s="138"/>
      <c r="L135" s="138"/>
      <c r="M135" s="138"/>
      <c r="N135" s="138"/>
      <c r="O135" s="138"/>
      <c r="P135" s="138"/>
      <c r="Q135" s="138"/>
      <c r="R135" s="138"/>
      <c r="S135" s="138"/>
      <c r="T135" s="138"/>
      <c r="U135" s="138"/>
      <c r="V135" s="138"/>
      <c r="W135" s="138"/>
      <c r="X135" s="138"/>
      <c r="Y135" s="139"/>
    </row>
    <row r="136">
      <c r="A136" s="137"/>
      <c r="B136" s="138"/>
      <c r="C136" s="139"/>
      <c r="D136" s="144">
        <v>45532.0</v>
      </c>
      <c r="E136" s="145" t="s">
        <v>83</v>
      </c>
      <c r="F136" s="145" t="s">
        <v>174</v>
      </c>
      <c r="G136" s="146" t="s">
        <v>195</v>
      </c>
      <c r="H136" s="147">
        <v>1.0</v>
      </c>
      <c r="I136" s="118"/>
      <c r="J136" s="138"/>
      <c r="K136" s="138"/>
      <c r="L136" s="138"/>
      <c r="M136" s="138"/>
      <c r="N136" s="138"/>
      <c r="O136" s="138"/>
      <c r="P136" s="138"/>
      <c r="Q136" s="138"/>
      <c r="R136" s="138"/>
      <c r="S136" s="138"/>
      <c r="T136" s="138"/>
      <c r="U136" s="138"/>
      <c r="V136" s="138"/>
      <c r="W136" s="138"/>
      <c r="X136" s="138"/>
      <c r="Y136" s="139"/>
    </row>
    <row r="137">
      <c r="A137" s="137"/>
      <c r="B137" s="138"/>
      <c r="C137" s="139"/>
      <c r="D137" s="140">
        <v>45532.0</v>
      </c>
      <c r="E137" s="141" t="s">
        <v>83</v>
      </c>
      <c r="F137" s="141" t="s">
        <v>174</v>
      </c>
      <c r="G137" s="142" t="s">
        <v>167</v>
      </c>
      <c r="H137" s="143">
        <v>10.0</v>
      </c>
      <c r="I137" s="118"/>
      <c r="J137" s="138"/>
      <c r="K137" s="138"/>
      <c r="L137" s="138"/>
      <c r="M137" s="138"/>
      <c r="N137" s="138"/>
      <c r="O137" s="138"/>
      <c r="P137" s="138"/>
      <c r="Q137" s="138"/>
      <c r="R137" s="138"/>
      <c r="S137" s="138"/>
      <c r="T137" s="138"/>
      <c r="U137" s="138"/>
      <c r="V137" s="138"/>
      <c r="W137" s="138"/>
      <c r="X137" s="138"/>
      <c r="Y137" s="139"/>
    </row>
    <row r="138">
      <c r="A138" s="137"/>
      <c r="B138" s="138"/>
      <c r="C138" s="139"/>
      <c r="D138" s="144">
        <v>45532.0</v>
      </c>
      <c r="E138" s="145" t="s">
        <v>83</v>
      </c>
      <c r="F138" s="145" t="s">
        <v>174</v>
      </c>
      <c r="G138" s="146" t="s">
        <v>168</v>
      </c>
      <c r="H138" s="147">
        <v>2.0</v>
      </c>
      <c r="I138" s="118"/>
      <c r="J138" s="138"/>
      <c r="K138" s="138"/>
      <c r="L138" s="138"/>
      <c r="M138" s="138"/>
      <c r="N138" s="138"/>
      <c r="O138" s="138"/>
      <c r="P138" s="138"/>
      <c r="Q138" s="138"/>
      <c r="R138" s="138"/>
      <c r="S138" s="138"/>
      <c r="T138" s="138"/>
      <c r="U138" s="138"/>
      <c r="V138" s="138"/>
      <c r="W138" s="138"/>
      <c r="X138" s="138"/>
      <c r="Y138" s="139"/>
    </row>
    <row r="139">
      <c r="A139" s="137"/>
      <c r="B139" s="138"/>
      <c r="C139" s="139"/>
      <c r="D139" s="140">
        <v>45532.0</v>
      </c>
      <c r="E139" s="141" t="s">
        <v>83</v>
      </c>
      <c r="F139" s="141" t="s">
        <v>174</v>
      </c>
      <c r="G139" s="142" t="s">
        <v>123</v>
      </c>
      <c r="H139" s="143">
        <v>6.0</v>
      </c>
      <c r="I139" s="118"/>
      <c r="J139" s="138"/>
      <c r="K139" s="138"/>
      <c r="L139" s="138"/>
      <c r="M139" s="138"/>
      <c r="N139" s="138"/>
      <c r="O139" s="138"/>
      <c r="P139" s="138"/>
      <c r="Q139" s="138"/>
      <c r="R139" s="138"/>
      <c r="S139" s="138"/>
      <c r="T139" s="138"/>
      <c r="U139" s="138"/>
      <c r="V139" s="138"/>
      <c r="W139" s="138"/>
      <c r="X139" s="138"/>
      <c r="Y139" s="139"/>
    </row>
    <row r="140">
      <c r="A140" s="137"/>
      <c r="B140" s="138"/>
      <c r="C140" s="139"/>
      <c r="D140" s="144">
        <v>45532.0</v>
      </c>
      <c r="E140" s="145" t="s">
        <v>83</v>
      </c>
      <c r="F140" s="145" t="s">
        <v>174</v>
      </c>
      <c r="G140" s="146" t="s">
        <v>127</v>
      </c>
      <c r="H140" s="147">
        <v>8.0</v>
      </c>
      <c r="I140" s="118"/>
      <c r="J140" s="138"/>
      <c r="K140" s="138"/>
      <c r="L140" s="138"/>
      <c r="M140" s="138"/>
      <c r="N140" s="138"/>
      <c r="O140" s="138"/>
      <c r="P140" s="138"/>
      <c r="Q140" s="138"/>
      <c r="R140" s="138"/>
      <c r="S140" s="138"/>
      <c r="T140" s="138"/>
      <c r="U140" s="138"/>
      <c r="V140" s="138"/>
      <c r="W140" s="138"/>
      <c r="X140" s="138"/>
      <c r="Y140" s="139"/>
    </row>
    <row r="141">
      <c r="A141" s="137"/>
      <c r="B141" s="138"/>
      <c r="C141" s="139"/>
      <c r="D141" s="140">
        <v>45532.0</v>
      </c>
      <c r="E141" s="141" t="s">
        <v>83</v>
      </c>
      <c r="F141" s="141" t="s">
        <v>174</v>
      </c>
      <c r="G141" s="142" t="s">
        <v>126</v>
      </c>
      <c r="H141" s="143">
        <v>6.0</v>
      </c>
      <c r="I141" s="118"/>
      <c r="J141" s="138"/>
      <c r="K141" s="138"/>
      <c r="L141" s="138"/>
      <c r="M141" s="138"/>
      <c r="N141" s="138"/>
      <c r="O141" s="138"/>
      <c r="P141" s="138"/>
      <c r="Q141" s="138"/>
      <c r="R141" s="138"/>
      <c r="S141" s="138"/>
      <c r="T141" s="138"/>
      <c r="U141" s="138"/>
      <c r="V141" s="138"/>
      <c r="W141" s="138"/>
      <c r="X141" s="138"/>
      <c r="Y141" s="139"/>
    </row>
    <row r="142">
      <c r="A142" s="137"/>
      <c r="B142" s="138"/>
      <c r="C142" s="139"/>
      <c r="D142" s="144">
        <v>45532.0</v>
      </c>
      <c r="E142" s="145" t="s">
        <v>83</v>
      </c>
      <c r="F142" s="145" t="s">
        <v>174</v>
      </c>
      <c r="G142" s="146" t="s">
        <v>125</v>
      </c>
      <c r="H142" s="147">
        <v>21.0</v>
      </c>
      <c r="I142" s="118"/>
      <c r="J142" s="138"/>
      <c r="K142" s="138"/>
      <c r="L142" s="138"/>
      <c r="M142" s="138"/>
      <c r="N142" s="138"/>
      <c r="O142" s="138"/>
      <c r="P142" s="138"/>
      <c r="Q142" s="138"/>
      <c r="R142" s="138"/>
      <c r="S142" s="138"/>
      <c r="T142" s="138"/>
      <c r="U142" s="138"/>
      <c r="V142" s="138"/>
      <c r="W142" s="138"/>
      <c r="X142" s="138"/>
      <c r="Y142" s="139"/>
    </row>
    <row r="143">
      <c r="A143" s="137"/>
      <c r="B143" s="138"/>
      <c r="C143" s="139"/>
      <c r="D143" s="140">
        <v>45532.0</v>
      </c>
      <c r="E143" s="141" t="s">
        <v>83</v>
      </c>
      <c r="F143" s="141" t="s">
        <v>174</v>
      </c>
      <c r="G143" s="142" t="s">
        <v>124</v>
      </c>
      <c r="H143" s="143">
        <v>7.0</v>
      </c>
      <c r="I143" s="118"/>
      <c r="J143" s="138"/>
      <c r="K143" s="138"/>
      <c r="L143" s="138"/>
      <c r="M143" s="138"/>
      <c r="N143" s="138"/>
      <c r="O143" s="138"/>
      <c r="P143" s="138"/>
      <c r="Q143" s="138"/>
      <c r="R143" s="138"/>
      <c r="S143" s="138"/>
      <c r="T143" s="138"/>
      <c r="U143" s="138"/>
      <c r="V143" s="138"/>
      <c r="W143" s="138"/>
      <c r="X143" s="138"/>
      <c r="Y143" s="139"/>
    </row>
    <row r="144">
      <c r="A144" s="137"/>
      <c r="B144" s="138"/>
      <c r="C144" s="139"/>
      <c r="D144" s="144">
        <v>45532.0</v>
      </c>
      <c r="E144" s="145" t="s">
        <v>83</v>
      </c>
      <c r="F144" s="145" t="s">
        <v>174</v>
      </c>
      <c r="G144" s="146" t="s">
        <v>115</v>
      </c>
      <c r="H144" s="147">
        <v>3.0</v>
      </c>
      <c r="I144" s="118"/>
      <c r="J144" s="138"/>
      <c r="K144" s="138"/>
      <c r="L144" s="138"/>
      <c r="M144" s="138"/>
      <c r="N144" s="138"/>
      <c r="O144" s="138"/>
      <c r="P144" s="138"/>
      <c r="Q144" s="138"/>
      <c r="R144" s="138"/>
      <c r="S144" s="138"/>
      <c r="T144" s="138"/>
      <c r="U144" s="138"/>
      <c r="V144" s="138"/>
      <c r="W144" s="138"/>
      <c r="X144" s="138"/>
      <c r="Y144" s="139"/>
    </row>
    <row r="145">
      <c r="A145" s="137"/>
      <c r="B145" s="138"/>
      <c r="C145" s="139"/>
      <c r="D145" s="140">
        <v>45532.0</v>
      </c>
      <c r="E145" s="141" t="s">
        <v>83</v>
      </c>
      <c r="F145" s="141" t="s">
        <v>174</v>
      </c>
      <c r="G145" s="142" t="s">
        <v>113</v>
      </c>
      <c r="H145" s="143">
        <v>4.0</v>
      </c>
      <c r="I145" s="118"/>
      <c r="J145" s="138"/>
      <c r="K145" s="138"/>
      <c r="L145" s="138"/>
      <c r="M145" s="138"/>
      <c r="N145" s="138"/>
      <c r="O145" s="138"/>
      <c r="P145" s="138"/>
      <c r="Q145" s="138"/>
      <c r="R145" s="138"/>
      <c r="S145" s="138"/>
      <c r="T145" s="138"/>
      <c r="U145" s="138"/>
      <c r="V145" s="138"/>
      <c r="W145" s="138"/>
      <c r="X145" s="138"/>
      <c r="Y145" s="139"/>
    </row>
    <row r="146">
      <c r="A146" s="137"/>
      <c r="B146" s="138"/>
      <c r="C146" s="139"/>
      <c r="D146" s="144">
        <v>45532.0</v>
      </c>
      <c r="E146" s="145" t="s">
        <v>83</v>
      </c>
      <c r="F146" s="145" t="s">
        <v>174</v>
      </c>
      <c r="G146" s="146" t="s">
        <v>112</v>
      </c>
      <c r="H146" s="147">
        <v>1.0</v>
      </c>
      <c r="I146" s="118"/>
      <c r="J146" s="138"/>
      <c r="K146" s="138"/>
      <c r="L146" s="138"/>
      <c r="M146" s="138"/>
      <c r="N146" s="138"/>
      <c r="O146" s="138"/>
      <c r="P146" s="138"/>
      <c r="Q146" s="138"/>
      <c r="R146" s="138"/>
      <c r="S146" s="138"/>
      <c r="T146" s="138"/>
      <c r="U146" s="138"/>
      <c r="V146" s="138"/>
      <c r="W146" s="138"/>
      <c r="X146" s="138"/>
      <c r="Y146" s="139"/>
    </row>
    <row r="147">
      <c r="A147" s="137"/>
      <c r="B147" s="138"/>
      <c r="C147" s="139"/>
      <c r="D147" s="140">
        <v>45532.0</v>
      </c>
      <c r="E147" s="141" t="s">
        <v>83</v>
      </c>
      <c r="F147" s="141" t="s">
        <v>174</v>
      </c>
      <c r="G147" s="142" t="s">
        <v>181</v>
      </c>
      <c r="H147" s="143">
        <v>6.0</v>
      </c>
      <c r="I147" s="118"/>
      <c r="J147" s="138"/>
      <c r="K147" s="138"/>
      <c r="L147" s="138"/>
      <c r="M147" s="138"/>
      <c r="N147" s="138"/>
      <c r="O147" s="138"/>
      <c r="P147" s="138"/>
      <c r="Q147" s="138"/>
      <c r="R147" s="138"/>
      <c r="S147" s="138"/>
      <c r="T147" s="138"/>
      <c r="U147" s="138"/>
      <c r="V147" s="138"/>
      <c r="W147" s="138"/>
      <c r="X147" s="138"/>
      <c r="Y147" s="139"/>
    </row>
    <row r="148">
      <c r="A148" s="137"/>
      <c r="B148" s="138"/>
      <c r="C148" s="139"/>
      <c r="D148" s="144">
        <v>45532.0</v>
      </c>
      <c r="E148" s="145" t="s">
        <v>83</v>
      </c>
      <c r="F148" s="145" t="s">
        <v>175</v>
      </c>
      <c r="G148" s="146" t="s">
        <v>120</v>
      </c>
      <c r="H148" s="147">
        <v>3.0</v>
      </c>
      <c r="I148" s="118"/>
      <c r="J148" s="138"/>
      <c r="K148" s="138"/>
      <c r="L148" s="138"/>
      <c r="M148" s="138"/>
      <c r="N148" s="138"/>
      <c r="O148" s="138"/>
      <c r="P148" s="138"/>
      <c r="Q148" s="138"/>
      <c r="R148" s="138"/>
      <c r="S148" s="138"/>
      <c r="T148" s="138"/>
      <c r="U148" s="138"/>
      <c r="V148" s="138"/>
      <c r="W148" s="138"/>
      <c r="X148" s="138"/>
      <c r="Y148" s="139"/>
    </row>
    <row r="149">
      <c r="A149" s="137"/>
      <c r="B149" s="138"/>
      <c r="C149" s="139"/>
      <c r="D149" s="140">
        <v>45532.0</v>
      </c>
      <c r="E149" s="141" t="s">
        <v>83</v>
      </c>
      <c r="F149" s="141" t="s">
        <v>174</v>
      </c>
      <c r="G149" s="142" t="s">
        <v>119</v>
      </c>
      <c r="H149" s="143">
        <v>3.0</v>
      </c>
      <c r="I149" s="118"/>
      <c r="J149" s="138"/>
      <c r="K149" s="138"/>
      <c r="L149" s="138"/>
      <c r="M149" s="138"/>
      <c r="N149" s="138"/>
      <c r="O149" s="138"/>
      <c r="P149" s="138"/>
      <c r="Q149" s="138"/>
      <c r="R149" s="138"/>
      <c r="S149" s="138"/>
      <c r="T149" s="138"/>
      <c r="U149" s="138"/>
      <c r="V149" s="138"/>
      <c r="W149" s="138"/>
      <c r="X149" s="138"/>
      <c r="Y149" s="139"/>
    </row>
    <row r="150">
      <c r="A150" s="137"/>
      <c r="B150" s="138"/>
      <c r="C150" s="139"/>
      <c r="D150" s="144">
        <v>45532.0</v>
      </c>
      <c r="E150" s="145" t="s">
        <v>83</v>
      </c>
      <c r="F150" s="145" t="s">
        <v>174</v>
      </c>
      <c r="G150" s="146" t="s">
        <v>117</v>
      </c>
      <c r="H150" s="147">
        <v>7.0</v>
      </c>
      <c r="I150" s="118"/>
      <c r="J150" s="138"/>
      <c r="K150" s="138"/>
      <c r="L150" s="138"/>
      <c r="M150" s="138"/>
      <c r="N150" s="138"/>
      <c r="O150" s="138"/>
      <c r="P150" s="138"/>
      <c r="Q150" s="138"/>
      <c r="R150" s="138"/>
      <c r="S150" s="138"/>
      <c r="T150" s="138"/>
      <c r="U150" s="138"/>
      <c r="V150" s="138"/>
      <c r="W150" s="138"/>
      <c r="X150" s="138"/>
      <c r="Y150" s="139"/>
    </row>
    <row r="151">
      <c r="A151" s="137"/>
      <c r="B151" s="138"/>
      <c r="C151" s="139"/>
      <c r="D151" s="140">
        <v>45532.0</v>
      </c>
      <c r="E151" s="141" t="s">
        <v>83</v>
      </c>
      <c r="F151" s="141" t="s">
        <v>174</v>
      </c>
      <c r="G151" s="142" t="s">
        <v>118</v>
      </c>
      <c r="H151" s="143">
        <v>7.0</v>
      </c>
      <c r="I151" s="118"/>
      <c r="J151" s="138"/>
      <c r="K151" s="138"/>
      <c r="L151" s="138"/>
      <c r="M151" s="138"/>
      <c r="N151" s="138"/>
      <c r="O151" s="138"/>
      <c r="P151" s="138"/>
      <c r="Q151" s="138"/>
      <c r="R151" s="138"/>
      <c r="S151" s="138"/>
      <c r="T151" s="138"/>
      <c r="U151" s="138"/>
      <c r="V151" s="138"/>
      <c r="W151" s="138"/>
      <c r="X151" s="138"/>
      <c r="Y151" s="139"/>
    </row>
    <row r="152">
      <c r="A152" s="137"/>
      <c r="B152" s="138"/>
      <c r="C152" s="139"/>
      <c r="D152" s="144">
        <v>45532.0</v>
      </c>
      <c r="E152" s="145" t="s">
        <v>83</v>
      </c>
      <c r="F152" s="145" t="s">
        <v>174</v>
      </c>
      <c r="G152" s="146" t="s">
        <v>109</v>
      </c>
      <c r="H152" s="147">
        <v>5.0</v>
      </c>
      <c r="I152" s="118"/>
      <c r="J152" s="138"/>
      <c r="K152" s="138"/>
      <c r="L152" s="138"/>
      <c r="M152" s="138"/>
      <c r="N152" s="138"/>
      <c r="O152" s="138"/>
      <c r="P152" s="138"/>
      <c r="Q152" s="138"/>
      <c r="R152" s="138"/>
      <c r="S152" s="138"/>
      <c r="T152" s="138"/>
      <c r="U152" s="138"/>
      <c r="V152" s="138"/>
      <c r="W152" s="138"/>
      <c r="X152" s="138"/>
      <c r="Y152" s="139"/>
    </row>
    <row r="153">
      <c r="A153" s="137"/>
      <c r="B153" s="138"/>
      <c r="C153" s="139"/>
      <c r="D153" s="140">
        <v>45532.0</v>
      </c>
      <c r="E153" s="141" t="s">
        <v>83</v>
      </c>
      <c r="F153" s="141" t="s">
        <v>174</v>
      </c>
      <c r="G153" s="142" t="s">
        <v>164</v>
      </c>
      <c r="H153" s="143">
        <v>1.0</v>
      </c>
      <c r="I153" s="118"/>
      <c r="J153" s="138"/>
      <c r="K153" s="138"/>
      <c r="L153" s="138"/>
      <c r="M153" s="138"/>
      <c r="N153" s="138"/>
      <c r="O153" s="138"/>
      <c r="P153" s="138"/>
      <c r="Q153" s="138"/>
      <c r="R153" s="138"/>
      <c r="S153" s="138"/>
      <c r="T153" s="138"/>
      <c r="U153" s="138"/>
      <c r="V153" s="138"/>
      <c r="W153" s="138"/>
      <c r="X153" s="138"/>
      <c r="Y153" s="139"/>
    </row>
    <row r="154">
      <c r="A154" s="137"/>
      <c r="B154" s="138"/>
      <c r="C154" s="139"/>
      <c r="D154" s="144">
        <v>45532.0</v>
      </c>
      <c r="E154" s="145" t="s">
        <v>84</v>
      </c>
      <c r="F154" s="145" t="s">
        <v>184</v>
      </c>
      <c r="G154" s="146" t="s">
        <v>163</v>
      </c>
      <c r="H154" s="147">
        <v>1.0</v>
      </c>
      <c r="I154" s="118"/>
      <c r="J154" s="138"/>
      <c r="K154" s="138"/>
      <c r="L154" s="138"/>
      <c r="M154" s="138"/>
      <c r="N154" s="138"/>
      <c r="O154" s="138"/>
      <c r="P154" s="138"/>
      <c r="Q154" s="138"/>
      <c r="R154" s="138"/>
      <c r="S154" s="138"/>
      <c r="T154" s="138"/>
      <c r="U154" s="138"/>
      <c r="V154" s="138"/>
      <c r="W154" s="138"/>
      <c r="X154" s="138"/>
      <c r="Y154" s="139"/>
    </row>
    <row r="155">
      <c r="A155" s="137"/>
      <c r="B155" s="138"/>
      <c r="C155" s="139"/>
      <c r="D155" s="140">
        <v>45532.0</v>
      </c>
      <c r="E155" s="141" t="s">
        <v>84</v>
      </c>
      <c r="F155" s="141" t="s">
        <v>196</v>
      </c>
      <c r="G155" s="142" t="s">
        <v>144</v>
      </c>
      <c r="H155" s="143">
        <v>1.0</v>
      </c>
      <c r="I155" s="118"/>
      <c r="J155" s="138"/>
      <c r="K155" s="138"/>
      <c r="L155" s="138"/>
      <c r="M155" s="138"/>
      <c r="N155" s="138"/>
      <c r="O155" s="138"/>
      <c r="P155" s="138"/>
      <c r="Q155" s="138"/>
      <c r="R155" s="138"/>
      <c r="S155" s="138"/>
      <c r="T155" s="138"/>
      <c r="U155" s="138"/>
      <c r="V155" s="138"/>
      <c r="W155" s="138"/>
      <c r="X155" s="138"/>
      <c r="Y155" s="139"/>
    </row>
    <row r="156">
      <c r="A156" s="137"/>
      <c r="B156" s="138"/>
      <c r="C156" s="139"/>
      <c r="D156" s="144">
        <v>45532.0</v>
      </c>
      <c r="E156" s="145" t="s">
        <v>83</v>
      </c>
      <c r="F156" s="145" t="s">
        <v>175</v>
      </c>
      <c r="G156" s="146" t="s">
        <v>157</v>
      </c>
      <c r="H156" s="147">
        <v>7.0</v>
      </c>
      <c r="I156" s="118"/>
      <c r="J156" s="138"/>
      <c r="K156" s="138"/>
      <c r="L156" s="138"/>
      <c r="M156" s="138"/>
      <c r="N156" s="138"/>
      <c r="O156" s="138"/>
      <c r="P156" s="138"/>
      <c r="Q156" s="138"/>
      <c r="R156" s="138"/>
      <c r="S156" s="138"/>
      <c r="T156" s="138"/>
      <c r="U156" s="138"/>
      <c r="V156" s="138"/>
      <c r="W156" s="138"/>
      <c r="X156" s="138"/>
      <c r="Y156" s="139"/>
    </row>
    <row r="157">
      <c r="A157" s="137"/>
      <c r="B157" s="138"/>
      <c r="C157" s="139"/>
      <c r="D157" s="140">
        <v>45532.0</v>
      </c>
      <c r="E157" s="141" t="s">
        <v>83</v>
      </c>
      <c r="F157" s="141" t="s">
        <v>174</v>
      </c>
      <c r="G157" s="142" t="s">
        <v>110</v>
      </c>
      <c r="H157" s="143">
        <v>2.0</v>
      </c>
      <c r="I157" s="118"/>
      <c r="J157" s="138"/>
      <c r="K157" s="138"/>
      <c r="L157" s="138"/>
      <c r="M157" s="138"/>
      <c r="N157" s="138"/>
      <c r="O157" s="138"/>
      <c r="P157" s="138"/>
      <c r="Q157" s="138"/>
      <c r="R157" s="138"/>
      <c r="S157" s="138"/>
      <c r="T157" s="138"/>
      <c r="U157" s="138"/>
      <c r="V157" s="138"/>
      <c r="W157" s="138"/>
      <c r="X157" s="138"/>
      <c r="Y157" s="139"/>
    </row>
    <row r="158">
      <c r="A158" s="137"/>
      <c r="B158" s="138"/>
      <c r="C158" s="139"/>
      <c r="D158" s="144">
        <v>45532.0</v>
      </c>
      <c r="E158" s="145" t="s">
        <v>83</v>
      </c>
      <c r="F158" s="145" t="s">
        <v>174</v>
      </c>
      <c r="G158" s="146" t="s">
        <v>143</v>
      </c>
      <c r="H158" s="147">
        <v>1.0</v>
      </c>
      <c r="I158" s="118"/>
      <c r="J158" s="138"/>
      <c r="K158" s="138"/>
      <c r="L158" s="138"/>
      <c r="M158" s="138"/>
      <c r="N158" s="138"/>
      <c r="O158" s="138"/>
      <c r="P158" s="138"/>
      <c r="Q158" s="138"/>
      <c r="R158" s="138"/>
      <c r="S158" s="138"/>
      <c r="T158" s="138"/>
      <c r="U158" s="138"/>
      <c r="V158" s="138"/>
      <c r="W158" s="138"/>
      <c r="X158" s="138"/>
      <c r="Y158" s="139"/>
    </row>
    <row r="159">
      <c r="A159" s="137"/>
      <c r="B159" s="138"/>
      <c r="C159" s="139"/>
      <c r="D159" s="140">
        <v>45532.0</v>
      </c>
      <c r="E159" s="141" t="s">
        <v>83</v>
      </c>
      <c r="F159" s="141" t="s">
        <v>176</v>
      </c>
      <c r="G159" s="142" t="s">
        <v>143</v>
      </c>
      <c r="H159" s="143">
        <v>12.0</v>
      </c>
      <c r="I159" s="118"/>
      <c r="J159" s="138"/>
      <c r="K159" s="138"/>
      <c r="L159" s="138"/>
      <c r="M159" s="138"/>
      <c r="N159" s="138"/>
      <c r="O159" s="138"/>
      <c r="P159" s="138"/>
      <c r="Q159" s="138"/>
      <c r="R159" s="138"/>
      <c r="S159" s="138"/>
      <c r="T159" s="138"/>
      <c r="U159" s="138"/>
      <c r="V159" s="138"/>
      <c r="W159" s="138"/>
      <c r="X159" s="138"/>
      <c r="Y159" s="139"/>
    </row>
    <row r="160">
      <c r="A160" s="137"/>
      <c r="B160" s="138"/>
      <c r="C160" s="139"/>
      <c r="D160" s="144">
        <v>45521.0</v>
      </c>
      <c r="E160" s="145" t="s">
        <v>83</v>
      </c>
      <c r="F160" s="145" t="s">
        <v>174</v>
      </c>
      <c r="G160" s="146" t="s">
        <v>141</v>
      </c>
      <c r="H160" s="147">
        <v>28.0</v>
      </c>
      <c r="I160" s="118"/>
      <c r="J160" s="138"/>
      <c r="K160" s="138"/>
      <c r="L160" s="138"/>
      <c r="M160" s="76"/>
      <c r="N160" s="76"/>
      <c r="O160" s="76"/>
      <c r="P160" s="76"/>
      <c r="Q160" s="76"/>
      <c r="R160" s="76"/>
      <c r="S160" s="76"/>
      <c r="T160" s="76"/>
      <c r="U160" s="76"/>
      <c r="V160" s="76"/>
      <c r="W160" s="76"/>
      <c r="X160" s="76"/>
      <c r="Y160" s="76"/>
    </row>
    <row r="161">
      <c r="A161" s="137"/>
      <c r="B161" s="138"/>
      <c r="C161" s="139"/>
      <c r="D161" s="140">
        <v>45521.0</v>
      </c>
      <c r="E161" s="141" t="s">
        <v>83</v>
      </c>
      <c r="F161" s="141" t="s">
        <v>174</v>
      </c>
      <c r="G161" s="142" t="s">
        <v>144</v>
      </c>
      <c r="H161" s="143">
        <v>7.0</v>
      </c>
      <c r="I161" s="118"/>
      <c r="J161" s="138"/>
      <c r="K161" s="138"/>
      <c r="L161" s="138"/>
      <c r="M161" s="76"/>
      <c r="N161" s="76"/>
      <c r="O161" s="76"/>
      <c r="P161" s="76"/>
      <c r="Q161" s="76"/>
      <c r="R161" s="76"/>
      <c r="S161" s="76"/>
      <c r="T161" s="76"/>
      <c r="U161" s="76"/>
      <c r="V161" s="76"/>
      <c r="W161" s="76"/>
      <c r="X161" s="76"/>
      <c r="Y161" s="76"/>
    </row>
    <row r="162">
      <c r="A162" s="137"/>
      <c r="B162" s="138"/>
      <c r="C162" s="139"/>
      <c r="D162" s="144">
        <v>45521.0</v>
      </c>
      <c r="E162" s="145" t="s">
        <v>83</v>
      </c>
      <c r="F162" s="145" t="s">
        <v>174</v>
      </c>
      <c r="G162" s="146" t="s">
        <v>151</v>
      </c>
      <c r="H162" s="147">
        <v>5.0</v>
      </c>
      <c r="I162" s="118"/>
      <c r="J162" s="138"/>
      <c r="K162" s="138"/>
      <c r="L162" s="138"/>
      <c r="M162" s="76"/>
      <c r="N162" s="76"/>
      <c r="O162" s="76"/>
      <c r="P162" s="76"/>
      <c r="Q162" s="76"/>
      <c r="R162" s="76"/>
      <c r="S162" s="76"/>
      <c r="T162" s="76"/>
      <c r="U162" s="76"/>
      <c r="V162" s="76"/>
      <c r="W162" s="76"/>
      <c r="X162" s="76"/>
      <c r="Y162" s="76"/>
    </row>
    <row r="163">
      <c r="A163" s="137"/>
      <c r="B163" s="138"/>
      <c r="C163" s="139"/>
      <c r="D163" s="140">
        <v>45521.0</v>
      </c>
      <c r="E163" s="141" t="s">
        <v>83</v>
      </c>
      <c r="F163" s="141" t="s">
        <v>174</v>
      </c>
      <c r="G163" s="142" t="s">
        <v>163</v>
      </c>
      <c r="H163" s="143">
        <v>1.0</v>
      </c>
      <c r="I163" s="118"/>
      <c r="J163" s="138"/>
      <c r="K163" s="138"/>
      <c r="L163" s="138"/>
      <c r="M163" s="76"/>
      <c r="N163" s="76"/>
      <c r="O163" s="76"/>
      <c r="P163" s="76"/>
      <c r="Q163" s="76"/>
      <c r="R163" s="76"/>
      <c r="S163" s="76"/>
      <c r="T163" s="76"/>
      <c r="U163" s="76"/>
      <c r="V163" s="76"/>
      <c r="W163" s="76"/>
      <c r="X163" s="76"/>
      <c r="Y163" s="76"/>
    </row>
    <row r="164">
      <c r="A164" s="137"/>
      <c r="B164" s="138"/>
      <c r="C164" s="139"/>
      <c r="D164" s="144">
        <v>45521.0</v>
      </c>
      <c r="E164" s="145" t="s">
        <v>83</v>
      </c>
      <c r="F164" s="145" t="s">
        <v>174</v>
      </c>
      <c r="G164" s="146" t="s">
        <v>142</v>
      </c>
      <c r="H164" s="147">
        <v>1.0</v>
      </c>
      <c r="I164" s="118"/>
      <c r="J164" s="138"/>
      <c r="K164" s="138"/>
      <c r="L164" s="138"/>
      <c r="M164" s="76"/>
      <c r="N164" s="76"/>
      <c r="O164" s="76"/>
      <c r="P164" s="76"/>
      <c r="Q164" s="76"/>
      <c r="R164" s="76"/>
      <c r="S164" s="76"/>
      <c r="T164" s="76"/>
      <c r="U164" s="76"/>
      <c r="V164" s="76"/>
      <c r="W164" s="76"/>
      <c r="X164" s="76"/>
      <c r="Y164" s="76"/>
    </row>
    <row r="165">
      <c r="A165" s="137"/>
      <c r="B165" s="138"/>
      <c r="C165" s="139"/>
      <c r="D165" s="140">
        <v>45521.0</v>
      </c>
      <c r="E165" s="141" t="s">
        <v>83</v>
      </c>
      <c r="F165" s="141" t="s">
        <v>174</v>
      </c>
      <c r="G165" s="142" t="s">
        <v>143</v>
      </c>
      <c r="H165" s="143">
        <v>2.0</v>
      </c>
      <c r="I165" s="118"/>
      <c r="J165" s="138"/>
      <c r="K165" s="138"/>
      <c r="L165" s="138"/>
      <c r="M165" s="76"/>
      <c r="N165" s="76"/>
      <c r="O165" s="76"/>
      <c r="P165" s="76"/>
      <c r="Q165" s="76"/>
      <c r="R165" s="76"/>
      <c r="S165" s="76"/>
      <c r="T165" s="76"/>
      <c r="U165" s="76"/>
      <c r="V165" s="76"/>
      <c r="W165" s="76"/>
      <c r="X165" s="76"/>
      <c r="Y165" s="76"/>
    </row>
    <row r="166">
      <c r="A166" s="137"/>
      <c r="B166" s="138"/>
      <c r="C166" s="139"/>
      <c r="D166" s="144">
        <v>45521.0</v>
      </c>
      <c r="E166" s="145" t="s">
        <v>83</v>
      </c>
      <c r="F166" s="145" t="s">
        <v>174</v>
      </c>
      <c r="G166" s="146" t="s">
        <v>145</v>
      </c>
      <c r="H166" s="147">
        <v>4.0</v>
      </c>
      <c r="I166" s="118"/>
      <c r="J166" s="138"/>
      <c r="K166" s="138"/>
      <c r="L166" s="138"/>
      <c r="M166" s="76"/>
      <c r="N166" s="76"/>
      <c r="O166" s="76"/>
      <c r="P166" s="76"/>
      <c r="Q166" s="76"/>
      <c r="R166" s="76"/>
      <c r="S166" s="76"/>
      <c r="T166" s="76"/>
      <c r="U166" s="76"/>
      <c r="V166" s="76"/>
      <c r="W166" s="76"/>
      <c r="X166" s="76"/>
      <c r="Y166" s="76"/>
    </row>
    <row r="167">
      <c r="A167" s="137"/>
      <c r="B167" s="138"/>
      <c r="C167" s="139"/>
      <c r="D167" s="140">
        <v>45521.0</v>
      </c>
      <c r="E167" s="141" t="s">
        <v>83</v>
      </c>
      <c r="F167" s="141" t="s">
        <v>174</v>
      </c>
      <c r="G167" s="142" t="s">
        <v>146</v>
      </c>
      <c r="H167" s="143">
        <v>3.0</v>
      </c>
      <c r="I167" s="118"/>
      <c r="J167" s="138"/>
      <c r="K167" s="138"/>
      <c r="L167" s="138"/>
      <c r="M167" s="76"/>
      <c r="N167" s="76"/>
      <c r="O167" s="76"/>
      <c r="P167" s="76"/>
      <c r="Q167" s="76"/>
      <c r="R167" s="76"/>
      <c r="S167" s="76"/>
      <c r="T167" s="76"/>
      <c r="U167" s="76"/>
      <c r="V167" s="76"/>
      <c r="W167" s="76"/>
      <c r="X167" s="76"/>
      <c r="Y167" s="76"/>
    </row>
    <row r="168">
      <c r="A168" s="137"/>
      <c r="B168" s="138"/>
      <c r="C168" s="139"/>
      <c r="D168" s="144">
        <v>45521.0</v>
      </c>
      <c r="E168" s="145" t="s">
        <v>83</v>
      </c>
      <c r="F168" s="145" t="s">
        <v>174</v>
      </c>
      <c r="G168" s="146" t="s">
        <v>197</v>
      </c>
      <c r="H168" s="147">
        <v>7.0</v>
      </c>
      <c r="I168" s="118"/>
      <c r="J168" s="138"/>
      <c r="K168" s="138"/>
      <c r="L168" s="138"/>
      <c r="M168" s="76"/>
      <c r="N168" s="76"/>
      <c r="O168" s="76"/>
      <c r="P168" s="76"/>
      <c r="Q168" s="76"/>
      <c r="R168" s="76"/>
      <c r="S168" s="76"/>
      <c r="T168" s="76"/>
      <c r="U168" s="76"/>
      <c r="V168" s="76"/>
      <c r="W168" s="76"/>
      <c r="X168" s="76"/>
      <c r="Y168" s="76"/>
    </row>
  </sheetData>
  <autoFilter ref="$D$6:$H$168"/>
  <dataValidations>
    <dataValidation type="list" allowBlank="1" showErrorMessage="1" sqref="E2">
      <formula1>"ENTRADA,SAIDA"</formula1>
    </dataValidation>
    <dataValidation type="list" allowBlank="1" sqref="G2">
      <formula1>ESTOQUE!$E$2:$E168</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10.71"/>
    <col customWidth="1" min="2" max="2" width="23.86"/>
    <col customWidth="1" min="3" max="3" width="21.57"/>
    <col customWidth="1" min="4" max="4" width="8.0"/>
    <col customWidth="1" min="5" max="5" width="25.29"/>
    <col customWidth="1" min="6" max="6" width="19.14"/>
    <col customWidth="1" min="7" max="7" width="29.29"/>
  </cols>
  <sheetData>
    <row r="1">
      <c r="A1" s="76"/>
      <c r="B1" s="76"/>
      <c r="C1" s="76"/>
      <c r="D1" s="76"/>
      <c r="E1" s="76"/>
      <c r="F1" s="76"/>
      <c r="G1" s="76"/>
      <c r="H1" s="76"/>
      <c r="I1" s="76"/>
      <c r="J1" s="76"/>
    </row>
    <row r="2">
      <c r="A2" s="76"/>
      <c r="B2" s="76"/>
      <c r="C2" s="76"/>
      <c r="D2" s="76"/>
      <c r="E2" s="76"/>
      <c r="F2" s="76"/>
      <c r="G2" s="76"/>
      <c r="H2" s="76"/>
      <c r="I2" s="76"/>
      <c r="J2" s="76"/>
    </row>
    <row r="3">
      <c r="A3" s="150"/>
      <c r="B3" s="150" t="s">
        <v>198</v>
      </c>
      <c r="C3" s="76"/>
      <c r="D3" s="76"/>
      <c r="E3" s="76"/>
      <c r="F3" s="76"/>
      <c r="G3" s="76"/>
      <c r="H3" s="76"/>
      <c r="I3" s="76"/>
      <c r="J3" s="76"/>
    </row>
    <row r="4">
      <c r="A4" s="150"/>
      <c r="B4" s="150" t="s">
        <v>199</v>
      </c>
      <c r="C4" s="76"/>
      <c r="D4" s="76"/>
      <c r="E4" s="76"/>
      <c r="F4" s="76"/>
      <c r="G4" s="76"/>
      <c r="H4" s="76"/>
      <c r="I4" s="76"/>
      <c r="J4" s="76"/>
    </row>
    <row r="5">
      <c r="A5" s="150"/>
      <c r="B5" s="150" t="s">
        <v>200</v>
      </c>
      <c r="C5" s="76"/>
      <c r="D5" s="76"/>
      <c r="E5" s="76"/>
      <c r="F5" s="76"/>
      <c r="G5" s="76"/>
      <c r="H5" s="76"/>
      <c r="I5" s="76"/>
      <c r="J5" s="76"/>
    </row>
    <row r="6">
      <c r="A6" s="150"/>
      <c r="B6" s="150" t="s">
        <v>201</v>
      </c>
      <c r="C6" s="76"/>
      <c r="D6" s="76"/>
      <c r="E6" s="76"/>
      <c r="F6" s="76"/>
      <c r="G6" s="76"/>
      <c r="H6" s="76"/>
      <c r="I6" s="76"/>
      <c r="J6" s="76"/>
    </row>
    <row r="7">
      <c r="A7" s="76"/>
      <c r="B7" s="76"/>
      <c r="C7" s="76"/>
      <c r="D7" s="76"/>
      <c r="E7" s="76"/>
      <c r="F7" s="76"/>
      <c r="G7" s="76"/>
      <c r="H7" s="76"/>
      <c r="I7" s="76"/>
      <c r="J7" s="76"/>
    </row>
    <row r="8">
      <c r="A8" s="76"/>
      <c r="B8" s="76"/>
      <c r="C8" s="76"/>
      <c r="D8" s="76"/>
      <c r="E8" s="76"/>
      <c r="F8" s="76"/>
      <c r="G8" s="76"/>
      <c r="H8" s="76"/>
      <c r="I8" s="76"/>
      <c r="J8" s="76"/>
    </row>
    <row r="9">
      <c r="A9" s="76"/>
      <c r="B9" s="76"/>
      <c r="C9" s="76"/>
      <c r="D9" s="76"/>
      <c r="E9" s="76"/>
      <c r="F9" s="76"/>
      <c r="G9" s="76"/>
      <c r="H9" s="76"/>
      <c r="I9" s="76"/>
      <c r="J9" s="76"/>
    </row>
    <row r="10">
      <c r="A10" s="76"/>
      <c r="B10" s="76"/>
      <c r="C10" s="76"/>
      <c r="D10" s="76"/>
      <c r="E10" s="76"/>
      <c r="F10" s="76"/>
      <c r="G10" s="76"/>
      <c r="H10" s="76"/>
      <c r="I10" s="76"/>
      <c r="J10" s="76"/>
    </row>
    <row r="11">
      <c r="A11" s="76"/>
      <c r="B11" s="76"/>
      <c r="C11" s="76"/>
      <c r="D11" s="76"/>
      <c r="E11" s="151" t="s">
        <v>202</v>
      </c>
      <c r="F11" s="152"/>
      <c r="G11" s="76"/>
      <c r="H11" s="76"/>
      <c r="I11" s="76"/>
      <c r="J11" s="76"/>
    </row>
    <row r="12">
      <c r="A12" s="76"/>
      <c r="B12" s="76"/>
      <c r="C12" s="76"/>
      <c r="D12" s="76"/>
      <c r="E12" s="76"/>
      <c r="F12" s="76"/>
      <c r="G12" s="76"/>
      <c r="H12" s="76"/>
      <c r="I12" s="76"/>
      <c r="J12" s="76"/>
    </row>
    <row r="13">
      <c r="A13" s="76"/>
      <c r="B13" s="76"/>
      <c r="C13" s="76"/>
      <c r="D13" s="76"/>
      <c r="E13" s="76"/>
      <c r="F13" s="76"/>
      <c r="G13" s="76"/>
      <c r="H13" s="76"/>
      <c r="I13" s="76"/>
      <c r="J13" s="76"/>
    </row>
    <row r="14">
      <c r="A14" s="76"/>
      <c r="B14" s="153"/>
      <c r="C14" s="130"/>
      <c r="D14" s="130"/>
      <c r="E14" s="153"/>
      <c r="F14" s="154"/>
      <c r="G14" s="153"/>
      <c r="H14" s="130"/>
      <c r="I14" s="153"/>
      <c r="J14" s="76"/>
    </row>
    <row r="15">
      <c r="A15" s="155"/>
      <c r="B15" s="156" t="s">
        <v>12</v>
      </c>
      <c r="C15" s="157"/>
      <c r="D15" s="158"/>
      <c r="E15" s="159" t="s">
        <v>7</v>
      </c>
      <c r="F15" s="160" t="s">
        <v>203</v>
      </c>
      <c r="G15" s="161"/>
      <c r="H15" s="160" t="s">
        <v>204</v>
      </c>
      <c r="I15" s="161"/>
      <c r="J15" s="162"/>
    </row>
    <row r="16">
      <c r="A16" s="77"/>
      <c r="B16" s="163" t="s">
        <v>205</v>
      </c>
      <c r="C16" s="164"/>
      <c r="D16" s="165"/>
      <c r="E16" s="166">
        <v>8.0</v>
      </c>
      <c r="F16" s="167">
        <f>626.1*2</f>
        <v>1252.2</v>
      </c>
      <c r="G16" s="168"/>
      <c r="H16" s="167">
        <f t="shared" ref="H16:H17" si="1">F16*E16</f>
        <v>10017.6</v>
      </c>
      <c r="I16" s="168"/>
      <c r="J16" s="162"/>
    </row>
    <row r="17">
      <c r="A17" s="77"/>
      <c r="B17" s="169" t="s">
        <v>206</v>
      </c>
      <c r="C17" s="170"/>
      <c r="D17" s="171"/>
      <c r="E17" s="172">
        <v>16.0</v>
      </c>
      <c r="F17" s="173">
        <f> 157.4*2</f>
        <v>314.8</v>
      </c>
      <c r="H17" s="174">
        <f t="shared" si="1"/>
        <v>5036.8</v>
      </c>
      <c r="I17" s="175"/>
      <c r="J17" s="162"/>
    </row>
    <row r="18">
      <c r="A18" s="77"/>
      <c r="B18" s="176"/>
      <c r="C18" s="170"/>
      <c r="D18" s="171"/>
      <c r="E18" s="177"/>
      <c r="F18" s="176"/>
      <c r="G18" s="171"/>
      <c r="H18" s="176"/>
      <c r="I18" s="171"/>
      <c r="J18" s="162"/>
    </row>
    <row r="19">
      <c r="A19" s="77"/>
      <c r="B19" s="176"/>
      <c r="C19" s="170"/>
      <c r="D19" s="171"/>
      <c r="E19" s="177"/>
      <c r="F19" s="176"/>
      <c r="G19" s="171"/>
      <c r="H19" s="176"/>
      <c r="I19" s="171"/>
      <c r="J19" s="162"/>
    </row>
    <row r="20">
      <c r="A20" s="77"/>
      <c r="B20" s="176"/>
      <c r="C20" s="170"/>
      <c r="D20" s="171"/>
      <c r="E20" s="177"/>
      <c r="F20" s="176"/>
      <c r="G20" s="171"/>
      <c r="H20" s="176"/>
      <c r="I20" s="171"/>
      <c r="J20" s="162"/>
    </row>
    <row r="21">
      <c r="A21" s="77"/>
      <c r="B21" s="176"/>
      <c r="C21" s="170"/>
      <c r="D21" s="171"/>
      <c r="E21" s="177"/>
      <c r="F21" s="176"/>
      <c r="G21" s="171"/>
      <c r="H21" s="176"/>
      <c r="I21" s="171"/>
      <c r="J21" s="162"/>
    </row>
    <row r="22">
      <c r="A22" s="77"/>
      <c r="B22" s="176"/>
      <c r="C22" s="170"/>
      <c r="D22" s="171"/>
      <c r="E22" s="177"/>
      <c r="F22" s="176"/>
      <c r="G22" s="171"/>
      <c r="H22" s="176"/>
      <c r="I22" s="171"/>
      <c r="J22" s="162"/>
    </row>
    <row r="23">
      <c r="A23" s="77"/>
      <c r="B23" s="176"/>
      <c r="C23" s="170"/>
      <c r="D23" s="171"/>
      <c r="E23" s="177"/>
      <c r="F23" s="176"/>
      <c r="G23" s="171"/>
      <c r="H23" s="176"/>
      <c r="I23" s="171"/>
      <c r="J23" s="162"/>
    </row>
    <row r="24">
      <c r="A24" s="77"/>
      <c r="B24" s="176"/>
      <c r="C24" s="170"/>
      <c r="D24" s="171"/>
      <c r="E24" s="177"/>
      <c r="F24" s="176"/>
      <c r="G24" s="171"/>
      <c r="H24" s="176"/>
      <c r="I24" s="171"/>
      <c r="J24" s="162"/>
    </row>
    <row r="25">
      <c r="A25" s="77"/>
      <c r="B25" s="176"/>
      <c r="C25" s="170"/>
      <c r="D25" s="171"/>
      <c r="E25" s="177"/>
      <c r="F25" s="176"/>
      <c r="G25" s="171"/>
      <c r="H25" s="176"/>
      <c r="I25" s="171"/>
      <c r="J25" s="162"/>
    </row>
    <row r="26">
      <c r="A26" s="77"/>
      <c r="B26" s="176"/>
      <c r="C26" s="170"/>
      <c r="D26" s="171"/>
      <c r="E26" s="177"/>
      <c r="F26" s="176"/>
      <c r="G26" s="171"/>
      <c r="H26" s="176"/>
      <c r="I26" s="171"/>
      <c r="J26" s="162"/>
    </row>
    <row r="27">
      <c r="A27" s="77"/>
      <c r="B27" s="176"/>
      <c r="C27" s="170"/>
      <c r="D27" s="171"/>
      <c r="E27" s="177"/>
      <c r="F27" s="176"/>
      <c r="G27" s="171"/>
      <c r="H27" s="176"/>
      <c r="I27" s="171"/>
      <c r="J27" s="162"/>
    </row>
    <row r="28">
      <c r="A28" s="77"/>
      <c r="B28" s="176"/>
      <c r="C28" s="170"/>
      <c r="D28" s="171"/>
      <c r="E28" s="177"/>
      <c r="F28" s="176"/>
      <c r="G28" s="171"/>
      <c r="H28" s="176"/>
      <c r="I28" s="171"/>
      <c r="J28" s="162"/>
    </row>
    <row r="29">
      <c r="A29" s="77"/>
      <c r="B29" s="176"/>
      <c r="C29" s="170"/>
      <c r="D29" s="171"/>
      <c r="E29" s="177"/>
      <c r="F29" s="176"/>
      <c r="G29" s="171"/>
      <c r="H29" s="176"/>
      <c r="I29" s="171"/>
      <c r="J29" s="162"/>
    </row>
    <row r="30">
      <c r="A30" s="77"/>
      <c r="B30" s="176"/>
      <c r="C30" s="170"/>
      <c r="D30" s="171"/>
      <c r="E30" s="177"/>
      <c r="F30" s="176"/>
      <c r="G30" s="171"/>
      <c r="H30" s="176"/>
      <c r="I30" s="171"/>
      <c r="J30" s="162"/>
    </row>
    <row r="31">
      <c r="A31" s="77"/>
      <c r="B31" s="176"/>
      <c r="C31" s="170"/>
      <c r="D31" s="171"/>
      <c r="E31" s="177"/>
      <c r="F31" s="176"/>
      <c r="G31" s="171"/>
      <c r="H31" s="176"/>
      <c r="I31" s="171"/>
      <c r="J31" s="162"/>
    </row>
    <row r="32">
      <c r="A32" s="77"/>
      <c r="B32" s="176"/>
      <c r="C32" s="170"/>
      <c r="D32" s="171"/>
      <c r="E32" s="177"/>
      <c r="F32" s="176"/>
      <c r="G32" s="171"/>
      <c r="H32" s="176"/>
      <c r="I32" s="171"/>
      <c r="J32" s="162"/>
    </row>
    <row r="33">
      <c r="A33" s="77"/>
      <c r="B33" s="176"/>
      <c r="C33" s="170"/>
      <c r="D33" s="171"/>
      <c r="E33" s="177"/>
      <c r="F33" s="176"/>
      <c r="G33" s="171"/>
      <c r="H33" s="176"/>
      <c r="I33" s="171"/>
      <c r="J33" s="162"/>
    </row>
    <row r="34">
      <c r="A34" s="77"/>
      <c r="B34" s="176"/>
      <c r="C34" s="170"/>
      <c r="D34" s="171"/>
      <c r="E34" s="177"/>
      <c r="F34" s="176"/>
      <c r="G34" s="171"/>
      <c r="H34" s="176"/>
      <c r="I34" s="171"/>
      <c r="J34" s="162"/>
    </row>
    <row r="35">
      <c r="A35" s="77"/>
      <c r="B35" s="176"/>
      <c r="C35" s="170"/>
      <c r="D35" s="171"/>
      <c r="E35" s="177"/>
      <c r="F35" s="176"/>
      <c r="G35" s="171"/>
      <c r="H35" s="176"/>
      <c r="I35" s="171"/>
      <c r="J35" s="162"/>
    </row>
    <row r="36">
      <c r="A36" s="77"/>
      <c r="B36" s="176"/>
      <c r="C36" s="170"/>
      <c r="D36" s="171"/>
      <c r="E36" s="177"/>
      <c r="F36" s="176"/>
      <c r="G36" s="171"/>
      <c r="H36" s="176"/>
      <c r="I36" s="171"/>
      <c r="J36" s="162"/>
    </row>
    <row r="37">
      <c r="A37" s="77"/>
      <c r="B37" s="176"/>
      <c r="C37" s="170"/>
      <c r="D37" s="171"/>
      <c r="E37" s="177"/>
      <c r="F37" s="176"/>
      <c r="G37" s="171"/>
      <c r="H37" s="176"/>
      <c r="I37" s="171"/>
      <c r="J37" s="162"/>
    </row>
    <row r="38">
      <c r="A38" s="77"/>
      <c r="B38" s="176"/>
      <c r="C38" s="170"/>
      <c r="D38" s="171"/>
      <c r="E38" s="177"/>
      <c r="F38" s="176"/>
      <c r="G38" s="171"/>
      <c r="H38" s="176"/>
      <c r="I38" s="171"/>
      <c r="J38" s="162"/>
    </row>
    <row r="39">
      <c r="A39" s="77"/>
      <c r="B39" s="176"/>
      <c r="C39" s="170"/>
      <c r="D39" s="171"/>
      <c r="E39" s="177"/>
      <c r="F39" s="176"/>
      <c r="G39" s="171"/>
      <c r="H39" s="176"/>
      <c r="I39" s="171"/>
      <c r="J39" s="162"/>
    </row>
    <row r="40">
      <c r="A40" s="77"/>
      <c r="B40" s="176"/>
      <c r="C40" s="170"/>
      <c r="D40" s="171"/>
      <c r="E40" s="177"/>
      <c r="F40" s="176"/>
      <c r="G40" s="171"/>
      <c r="H40" s="176"/>
      <c r="I40" s="171"/>
      <c r="J40" s="162"/>
    </row>
    <row r="41">
      <c r="A41" s="77"/>
      <c r="B41" s="176"/>
      <c r="C41" s="170"/>
      <c r="D41" s="171"/>
      <c r="E41" s="177"/>
      <c r="F41" s="176"/>
      <c r="G41" s="171"/>
      <c r="H41" s="176"/>
      <c r="I41" s="171"/>
      <c r="J41" s="162"/>
    </row>
    <row r="42">
      <c r="A42" s="77"/>
      <c r="B42" s="176"/>
      <c r="C42" s="170"/>
      <c r="D42" s="171"/>
      <c r="E42" s="177"/>
      <c r="F42" s="176"/>
      <c r="G42" s="171"/>
      <c r="H42" s="176"/>
      <c r="I42" s="171"/>
      <c r="J42" s="162"/>
    </row>
    <row r="43">
      <c r="A43" s="77"/>
      <c r="B43" s="176"/>
      <c r="C43" s="170"/>
      <c r="D43" s="171"/>
      <c r="E43" s="177"/>
      <c r="F43" s="176"/>
      <c r="G43" s="171"/>
      <c r="H43" s="176"/>
      <c r="I43" s="171"/>
      <c r="J43" s="162"/>
    </row>
    <row r="44">
      <c r="A44" s="77"/>
      <c r="B44" s="176"/>
      <c r="C44" s="170"/>
      <c r="D44" s="171"/>
      <c r="E44" s="177"/>
      <c r="F44" s="176"/>
      <c r="G44" s="171"/>
      <c r="H44" s="176"/>
      <c r="I44" s="171"/>
      <c r="J44" s="162"/>
    </row>
    <row r="45">
      <c r="A45" s="77"/>
      <c r="B45" s="176"/>
      <c r="C45" s="170"/>
      <c r="D45" s="171"/>
      <c r="E45" s="177"/>
      <c r="F45" s="176"/>
      <c r="G45" s="171"/>
      <c r="H45" s="176"/>
      <c r="I45" s="171"/>
      <c r="J45" s="162"/>
    </row>
    <row r="46">
      <c r="A46" s="77"/>
      <c r="B46" s="176"/>
      <c r="C46" s="170"/>
      <c r="D46" s="171"/>
      <c r="E46" s="177"/>
      <c r="F46" s="176"/>
      <c r="G46" s="171"/>
      <c r="H46" s="176"/>
      <c r="I46" s="171"/>
      <c r="J46" s="162"/>
    </row>
    <row r="47">
      <c r="A47" s="77"/>
      <c r="B47" s="176"/>
      <c r="C47" s="170"/>
      <c r="D47" s="171"/>
      <c r="E47" s="177"/>
      <c r="F47" s="176"/>
      <c r="G47" s="171"/>
      <c r="H47" s="176"/>
      <c r="I47" s="171"/>
      <c r="J47" s="162"/>
    </row>
    <row r="48">
      <c r="A48" s="77"/>
      <c r="B48" s="176"/>
      <c r="C48" s="170"/>
      <c r="D48" s="171"/>
      <c r="E48" s="177"/>
      <c r="F48" s="176"/>
      <c r="G48" s="171"/>
      <c r="H48" s="176"/>
      <c r="I48" s="171"/>
      <c r="J48" s="162"/>
    </row>
    <row r="49">
      <c r="A49" s="77"/>
      <c r="B49" s="176"/>
      <c r="C49" s="170"/>
      <c r="D49" s="171"/>
      <c r="E49" s="177"/>
      <c r="F49" s="176"/>
      <c r="G49" s="171"/>
      <c r="H49" s="176"/>
      <c r="I49" s="171"/>
      <c r="J49" s="162"/>
    </row>
    <row r="50">
      <c r="A50" s="77"/>
      <c r="B50" s="176"/>
      <c r="C50" s="170"/>
      <c r="D50" s="171"/>
      <c r="E50" s="177"/>
      <c r="F50" s="176"/>
      <c r="G50" s="171"/>
      <c r="H50" s="176"/>
      <c r="I50" s="171"/>
      <c r="J50" s="162"/>
    </row>
    <row r="51">
      <c r="A51" s="77"/>
      <c r="B51" s="176"/>
      <c r="C51" s="170"/>
      <c r="D51" s="171"/>
      <c r="E51" s="177"/>
      <c r="F51" s="176"/>
      <c r="G51" s="171"/>
      <c r="H51" s="176"/>
      <c r="I51" s="171"/>
      <c r="J51" s="162"/>
    </row>
    <row r="52">
      <c r="A52" s="77"/>
      <c r="B52" s="176"/>
      <c r="C52" s="170"/>
      <c r="D52" s="171"/>
      <c r="E52" s="177"/>
      <c r="F52" s="176"/>
      <c r="G52" s="171"/>
      <c r="H52" s="176"/>
      <c r="I52" s="171"/>
      <c r="J52" s="162"/>
    </row>
    <row r="53">
      <c r="A53" s="77"/>
      <c r="B53" s="176"/>
      <c r="C53" s="170"/>
      <c r="D53" s="171"/>
      <c r="E53" s="177"/>
      <c r="F53" s="176"/>
      <c r="G53" s="171"/>
      <c r="H53" s="176"/>
      <c r="I53" s="171"/>
      <c r="J53" s="162"/>
    </row>
    <row r="54">
      <c r="A54" s="77"/>
      <c r="B54" s="176"/>
      <c r="C54" s="170"/>
      <c r="D54" s="171"/>
      <c r="E54" s="177"/>
      <c r="F54" s="176"/>
      <c r="G54" s="171"/>
      <c r="H54" s="176"/>
      <c r="I54" s="171"/>
      <c r="J54" s="162"/>
    </row>
    <row r="55">
      <c r="A55" s="77"/>
      <c r="B55" s="176"/>
      <c r="C55" s="170"/>
      <c r="D55" s="171"/>
      <c r="E55" s="177"/>
      <c r="F55" s="176"/>
      <c r="G55" s="171"/>
      <c r="H55" s="176"/>
      <c r="I55" s="171"/>
      <c r="J55" s="162"/>
    </row>
    <row r="56">
      <c r="A56" s="77"/>
      <c r="B56" s="176"/>
      <c r="C56" s="170"/>
      <c r="D56" s="171"/>
      <c r="E56" s="177"/>
      <c r="F56" s="176"/>
      <c r="G56" s="171"/>
      <c r="H56" s="176"/>
      <c r="I56" s="171"/>
      <c r="J56" s="162"/>
    </row>
    <row r="57">
      <c r="A57" s="77"/>
      <c r="B57" s="176"/>
      <c r="C57" s="170"/>
      <c r="D57" s="171"/>
      <c r="E57" s="177"/>
      <c r="F57" s="176"/>
      <c r="G57" s="171"/>
      <c r="H57" s="176"/>
      <c r="I57" s="171"/>
      <c r="J57" s="162"/>
    </row>
    <row r="58">
      <c r="A58" s="77"/>
      <c r="B58" s="176"/>
      <c r="C58" s="170"/>
      <c r="D58" s="171"/>
      <c r="E58" s="177"/>
      <c r="F58" s="176"/>
      <c r="G58" s="171"/>
      <c r="H58" s="176"/>
      <c r="I58" s="171"/>
      <c r="J58" s="162"/>
    </row>
    <row r="59">
      <c r="A59" s="77"/>
      <c r="B59" s="178"/>
      <c r="C59" s="179"/>
      <c r="D59" s="180"/>
      <c r="E59" s="181"/>
      <c r="F59" s="178"/>
      <c r="G59" s="180"/>
      <c r="H59" s="178"/>
      <c r="I59" s="180"/>
      <c r="J59" s="162"/>
    </row>
    <row r="60">
      <c r="A60" s="77"/>
      <c r="B60" s="182" t="s">
        <v>207</v>
      </c>
      <c r="C60" s="183"/>
      <c r="D60" s="183"/>
      <c r="E60" s="184"/>
      <c r="F60" s="185">
        <f>SUM(H15:H60)</f>
        <v>15054.4</v>
      </c>
      <c r="G60" s="183"/>
      <c r="H60" s="183"/>
      <c r="I60" s="184"/>
      <c r="J60" s="162"/>
    </row>
    <row r="61">
      <c r="A61" s="77"/>
      <c r="B61" s="186"/>
      <c r="C61" s="187"/>
      <c r="D61" s="187"/>
      <c r="E61" s="188"/>
      <c r="F61" s="186"/>
      <c r="G61" s="187"/>
      <c r="H61" s="187"/>
      <c r="I61" s="188"/>
      <c r="J61" s="162"/>
    </row>
    <row r="62">
      <c r="A62" s="76"/>
      <c r="B62" s="189"/>
      <c r="C62" s="189"/>
      <c r="D62" s="189"/>
      <c r="E62" s="189"/>
      <c r="F62" s="189"/>
      <c r="G62" s="189"/>
      <c r="H62" s="189"/>
      <c r="I62" s="189"/>
      <c r="J62" s="76"/>
    </row>
    <row r="63">
      <c r="A63" s="76"/>
      <c r="B63" s="76"/>
      <c r="C63" s="76"/>
      <c r="D63" s="76"/>
      <c r="E63" s="76"/>
      <c r="F63" s="76"/>
      <c r="G63" s="76"/>
      <c r="H63" s="76"/>
      <c r="I63" s="76"/>
      <c r="J63" s="76"/>
    </row>
    <row r="64">
      <c r="A64" s="76"/>
      <c r="B64" s="76"/>
      <c r="C64" s="76"/>
      <c r="D64" s="76"/>
      <c r="E64" s="76"/>
      <c r="F64" s="190"/>
      <c r="G64" s="76"/>
      <c r="H64" s="76"/>
      <c r="I64" s="76"/>
      <c r="J64" s="76"/>
    </row>
    <row r="65">
      <c r="A65" s="76"/>
      <c r="B65" s="76"/>
      <c r="C65" s="76"/>
      <c r="D65" s="76"/>
      <c r="E65" s="76"/>
      <c r="F65" s="190"/>
      <c r="G65" s="76"/>
      <c r="H65" s="76"/>
      <c r="I65" s="76"/>
      <c r="J65" s="76"/>
    </row>
    <row r="66">
      <c r="A66" s="76"/>
      <c r="B66" s="130"/>
      <c r="C66" s="76"/>
      <c r="D66" s="76"/>
      <c r="E66" s="76"/>
      <c r="F66" s="76"/>
      <c r="G66" s="76"/>
      <c r="H66" s="76"/>
      <c r="I66" s="76"/>
      <c r="J66" s="76"/>
    </row>
    <row r="67">
      <c r="A67" s="76"/>
      <c r="B67" s="76"/>
      <c r="C67" s="76"/>
      <c r="D67" s="76"/>
      <c r="E67" s="76"/>
      <c r="F67" s="76"/>
      <c r="G67" s="191" t="s">
        <v>208</v>
      </c>
      <c r="H67" s="152"/>
      <c r="I67" s="76"/>
      <c r="J67" s="76"/>
    </row>
    <row r="68">
      <c r="A68" s="76"/>
      <c r="B68" s="76"/>
      <c r="C68" s="76"/>
      <c r="D68" s="76"/>
      <c r="E68" s="76"/>
      <c r="F68" s="76"/>
      <c r="G68" s="76"/>
      <c r="H68" s="76"/>
      <c r="I68" s="76"/>
      <c r="J68" s="76"/>
    </row>
    <row r="69">
      <c r="A69" s="76"/>
      <c r="B69" s="76"/>
      <c r="C69" s="76"/>
      <c r="D69" s="76"/>
      <c r="E69" s="76"/>
      <c r="F69" s="192"/>
      <c r="G69" s="193" t="s">
        <v>209</v>
      </c>
      <c r="H69" s="152"/>
      <c r="I69" s="76"/>
      <c r="J69" s="76"/>
    </row>
    <row r="70">
      <c r="A70" s="76"/>
      <c r="B70" s="194"/>
      <c r="C70" s="76"/>
      <c r="D70" s="76"/>
      <c r="E70" s="76"/>
      <c r="F70" s="195"/>
      <c r="G70" s="196" t="s">
        <v>210</v>
      </c>
      <c r="H70" s="197"/>
      <c r="I70" s="76"/>
      <c r="J70" s="76"/>
    </row>
    <row r="71">
      <c r="A71" s="76"/>
      <c r="B71" s="194"/>
      <c r="C71" s="76"/>
      <c r="D71" s="76"/>
      <c r="E71" s="76"/>
      <c r="F71" s="198"/>
      <c r="G71" s="199"/>
      <c r="H71" s="199"/>
      <c r="I71" s="76"/>
      <c r="J71" s="76"/>
    </row>
    <row r="72">
      <c r="A72" s="76"/>
      <c r="B72" s="76"/>
      <c r="C72" s="76"/>
      <c r="D72" s="76"/>
      <c r="E72" s="76"/>
      <c r="F72" s="76"/>
      <c r="G72" s="76"/>
      <c r="H72" s="76"/>
      <c r="I72" s="76"/>
      <c r="J72" s="76"/>
    </row>
    <row r="73">
      <c r="A73" s="76"/>
      <c r="B73" s="76"/>
      <c r="C73" s="76"/>
      <c r="D73" s="76"/>
      <c r="E73" s="76"/>
      <c r="F73" s="76"/>
      <c r="G73" s="76"/>
      <c r="H73" s="76"/>
      <c r="I73" s="76"/>
      <c r="J73" s="76"/>
    </row>
    <row r="74">
      <c r="A74" s="76"/>
      <c r="B74" s="76"/>
      <c r="C74" s="76"/>
      <c r="D74" s="76"/>
      <c r="E74" s="76"/>
      <c r="F74" s="76"/>
      <c r="G74" s="76"/>
      <c r="H74" s="76"/>
      <c r="I74" s="76"/>
      <c r="J74" s="76"/>
    </row>
    <row r="75">
      <c r="A75" s="200" t="s">
        <v>211</v>
      </c>
      <c r="B75" s="201"/>
      <c r="C75" s="201"/>
      <c r="D75" s="201"/>
      <c r="E75" s="201"/>
      <c r="F75" s="201"/>
      <c r="G75" s="201"/>
      <c r="H75" s="201"/>
      <c r="I75" s="201"/>
      <c r="J75" s="152"/>
    </row>
    <row r="76">
      <c r="A76" s="200" t="s">
        <v>212</v>
      </c>
      <c r="B76" s="201"/>
      <c r="C76" s="201"/>
      <c r="D76" s="201"/>
      <c r="E76" s="201"/>
      <c r="F76" s="201"/>
      <c r="G76" s="201"/>
      <c r="H76" s="201"/>
      <c r="I76" s="201"/>
      <c r="J76" s="152"/>
    </row>
    <row r="77">
      <c r="A77" s="202" t="s">
        <v>213</v>
      </c>
      <c r="B77" s="201"/>
      <c r="C77" s="201"/>
      <c r="D77" s="201"/>
      <c r="E77" s="201"/>
      <c r="F77" s="201"/>
      <c r="G77" s="201"/>
      <c r="H77" s="201"/>
      <c r="I77" s="201"/>
      <c r="J77" s="152"/>
    </row>
    <row r="78">
      <c r="A78" s="76"/>
      <c r="B78" s="76"/>
      <c r="C78" s="76"/>
      <c r="D78" s="76"/>
      <c r="E78" s="76"/>
      <c r="F78" s="76"/>
      <c r="G78" s="76"/>
      <c r="H78" s="76"/>
      <c r="I78" s="76"/>
      <c r="J78" s="76"/>
    </row>
    <row r="79">
      <c r="A79" s="76"/>
      <c r="B79" s="76"/>
      <c r="C79" s="76"/>
      <c r="D79" s="76"/>
      <c r="E79" s="76"/>
      <c r="F79" s="76"/>
      <c r="G79" s="76"/>
      <c r="H79" s="76"/>
      <c r="I79" s="76"/>
      <c r="J79" s="76"/>
    </row>
  </sheetData>
  <mergeCells count="15">
    <mergeCell ref="B15:C15"/>
    <mergeCell ref="B60:E61"/>
    <mergeCell ref="F60:I61"/>
    <mergeCell ref="G67:H67"/>
    <mergeCell ref="G69:H69"/>
    <mergeCell ref="A75:J75"/>
    <mergeCell ref="A76:J76"/>
    <mergeCell ref="A77:J77"/>
    <mergeCell ref="E11:F11"/>
    <mergeCell ref="F15:G15"/>
    <mergeCell ref="H15:I15"/>
    <mergeCell ref="F16:G16"/>
    <mergeCell ref="H16:I16"/>
    <mergeCell ref="F17:G17"/>
    <mergeCell ref="H17:I17"/>
  </mergeCell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81.14"/>
    <col customWidth="1" min="2" max="2" width="19.86"/>
    <col customWidth="1" min="3" max="3" width="19.43"/>
    <col customWidth="1" min="4" max="4" width="27.29"/>
    <col customWidth="1" min="5" max="5" width="28.0"/>
    <col customWidth="1" min="6" max="6" width="7.86"/>
    <col customWidth="1" min="7" max="7" width="8.57"/>
    <col customWidth="1" min="8" max="8" width="10.14"/>
    <col customWidth="1" min="9" max="9" width="11.86"/>
    <col customWidth="1" min="10" max="10" width="28.29"/>
    <col customWidth="1" min="11" max="11" width="87.71"/>
    <col customWidth="1" min="12" max="12" width="11.29"/>
    <col customWidth="1" min="13" max="13" width="10.0"/>
    <col customWidth="1" min="14" max="14" width="7.0"/>
    <col customWidth="1" min="15" max="15" width="7.57"/>
    <col customWidth="1" min="16" max="16" width="62.57"/>
    <col customWidth="1" min="17" max="17" width="205.0"/>
    <col customWidth="1" min="18" max="18" width="5306.43"/>
    <col customWidth="1" min="19" max="19" width="39.29"/>
    <col customWidth="1" min="20" max="20" width="16.29"/>
    <col customWidth="1" min="21" max="21" width="10.29"/>
    <col customWidth="1" min="22" max="22" width="13.14"/>
    <col customWidth="1" min="23" max="23" width="16.14"/>
    <col customWidth="1" min="24" max="24" width="10.71"/>
    <col customWidth="1" min="25" max="25" width="13.14"/>
    <col customWidth="1" min="26" max="26" width="14.57"/>
    <col customWidth="1" min="27" max="27" width="12.71"/>
    <col customWidth="1" min="28" max="28" width="17.29"/>
    <col customWidth="1" min="29" max="29" width="21.43"/>
    <col customWidth="1" min="30" max="33" width="19.29"/>
    <col customWidth="1" min="34" max="34" width="119.0"/>
    <col customWidth="1" min="35" max="35" width="115.86"/>
    <col customWidth="1" min="36" max="36" width="110.86"/>
    <col customWidth="1" min="37" max="37" width="109.14"/>
    <col customWidth="1" min="38" max="38" width="108.71"/>
    <col customWidth="1" min="39" max="39" width="11.29"/>
    <col customWidth="1" min="40" max="40" width="23.29"/>
    <col customWidth="1" min="41" max="42" width="25.43"/>
    <col customWidth="1" min="43" max="43" width="20.29"/>
    <col customWidth="1" min="44" max="44" width="28.86"/>
    <col customWidth="1" min="45" max="45" width="23.0"/>
    <col customWidth="1" min="46" max="46" width="19.86"/>
    <col customWidth="1" min="47" max="47" width="13.14"/>
    <col customWidth="1" min="48" max="48" width="25.29"/>
    <col customWidth="1" min="49" max="49" width="26.43"/>
    <col customWidth="1" min="50" max="50" width="18.43"/>
    <col customWidth="1" min="51" max="51" width="18.29"/>
    <col customWidth="1" min="52" max="52" width="21.71"/>
    <col customWidth="1" min="53" max="53" width="22.0"/>
  </cols>
  <sheetData>
    <row r="1" ht="17.25" customHeight="1">
      <c r="A1" s="203" t="s">
        <v>214</v>
      </c>
      <c r="B1" s="203" t="s">
        <v>215</v>
      </c>
      <c r="C1" s="203" t="s">
        <v>216</v>
      </c>
      <c r="D1" s="203" t="s">
        <v>217</v>
      </c>
      <c r="E1" s="203" t="s">
        <v>218</v>
      </c>
      <c r="F1" s="203" t="s">
        <v>219</v>
      </c>
      <c r="G1" s="203" t="s">
        <v>220</v>
      </c>
      <c r="H1" s="203" t="s">
        <v>221</v>
      </c>
      <c r="I1" s="203" t="s">
        <v>222</v>
      </c>
      <c r="J1" s="203" t="s">
        <v>223</v>
      </c>
      <c r="K1" s="203" t="s">
        <v>224</v>
      </c>
      <c r="L1" s="203" t="s">
        <v>225</v>
      </c>
      <c r="M1" s="203" t="s">
        <v>226</v>
      </c>
      <c r="N1" s="203" t="s">
        <v>227</v>
      </c>
      <c r="O1" s="203" t="s">
        <v>228</v>
      </c>
      <c r="P1" s="203" t="s">
        <v>229</v>
      </c>
      <c r="Q1" s="203" t="s">
        <v>230</v>
      </c>
      <c r="R1" s="203" t="s">
        <v>231</v>
      </c>
      <c r="S1" s="203" t="s">
        <v>232</v>
      </c>
      <c r="T1" s="203" t="s">
        <v>233</v>
      </c>
      <c r="U1" s="203" t="s">
        <v>234</v>
      </c>
      <c r="V1" s="203" t="s">
        <v>235</v>
      </c>
      <c r="W1" s="203" t="s">
        <v>236</v>
      </c>
      <c r="X1" s="203" t="s">
        <v>237</v>
      </c>
      <c r="Y1" s="203" t="s">
        <v>238</v>
      </c>
      <c r="Z1" s="203" t="s">
        <v>239</v>
      </c>
      <c r="AA1" s="203" t="s">
        <v>240</v>
      </c>
      <c r="AB1" s="203" t="s">
        <v>241</v>
      </c>
      <c r="AC1" s="203" t="s">
        <v>242</v>
      </c>
      <c r="AD1" s="203" t="s">
        <v>243</v>
      </c>
      <c r="AE1" s="203" t="s">
        <v>244</v>
      </c>
      <c r="AF1" s="203" t="s">
        <v>245</v>
      </c>
      <c r="AG1" s="203" t="s">
        <v>246</v>
      </c>
      <c r="AH1" s="203" t="s">
        <v>247</v>
      </c>
      <c r="AI1" s="203" t="s">
        <v>248</v>
      </c>
      <c r="AJ1" s="203" t="s">
        <v>249</v>
      </c>
      <c r="AK1" s="203" t="s">
        <v>250</v>
      </c>
      <c r="AL1" s="203" t="s">
        <v>251</v>
      </c>
      <c r="AM1" s="203" t="s">
        <v>252</v>
      </c>
      <c r="AN1" s="203" t="s">
        <v>253</v>
      </c>
      <c r="AO1" s="203" t="s">
        <v>254</v>
      </c>
      <c r="AP1" s="203" t="s">
        <v>255</v>
      </c>
      <c r="AQ1" s="203" t="s">
        <v>256</v>
      </c>
      <c r="AR1" s="203" t="s">
        <v>257</v>
      </c>
      <c r="AS1" s="203" t="s">
        <v>258</v>
      </c>
      <c r="AT1" s="203" t="s">
        <v>259</v>
      </c>
      <c r="AU1" s="203" t="s">
        <v>260</v>
      </c>
      <c r="AV1" s="203" t="s">
        <v>261</v>
      </c>
      <c r="AW1" s="203" t="s">
        <v>262</v>
      </c>
      <c r="AX1" s="203" t="s">
        <v>263</v>
      </c>
      <c r="AY1" s="203" t="s">
        <v>264</v>
      </c>
      <c r="AZ1" s="203" t="s">
        <v>265</v>
      </c>
      <c r="BA1" s="203" t="s">
        <v>266</v>
      </c>
    </row>
    <row r="2" ht="17.25" customHeight="1">
      <c r="A2" s="204" t="s">
        <v>267</v>
      </c>
      <c r="B2" s="205">
        <v>28.0</v>
      </c>
      <c r="C2" s="205" t="s">
        <v>268</v>
      </c>
      <c r="D2" s="205" t="s">
        <v>269</v>
      </c>
      <c r="E2" s="205" t="s">
        <v>270</v>
      </c>
      <c r="F2" s="205" t="s">
        <v>268</v>
      </c>
      <c r="G2" s="205" t="s">
        <v>271</v>
      </c>
      <c r="H2" s="205">
        <v>7.2473218E7</v>
      </c>
      <c r="I2" s="205" t="s">
        <v>272</v>
      </c>
      <c r="K2" s="205" t="s">
        <v>273</v>
      </c>
      <c r="L2" s="205" t="s">
        <v>268</v>
      </c>
      <c r="R2" s="205" t="s">
        <v>274</v>
      </c>
      <c r="T2" s="205" t="s">
        <v>271</v>
      </c>
      <c r="V2" s="205">
        <v>43.9</v>
      </c>
      <c r="X2" s="205" t="s">
        <v>275</v>
      </c>
      <c r="Y2" s="205">
        <v>0.4</v>
      </c>
      <c r="Z2" s="205">
        <v>20.0</v>
      </c>
      <c r="AA2" s="205">
        <v>20.0</v>
      </c>
      <c r="AB2" s="205">
        <v>10.0</v>
      </c>
      <c r="AH2" s="205" t="s">
        <v>276</v>
      </c>
      <c r="AI2" s="205" t="s">
        <v>277</v>
      </c>
    </row>
    <row r="3" ht="17.25" customHeight="1">
      <c r="A3" s="204" t="s">
        <v>278</v>
      </c>
      <c r="B3" s="205">
        <v>21.0</v>
      </c>
      <c r="C3" s="205" t="s">
        <v>268</v>
      </c>
      <c r="D3" s="205" t="s">
        <v>269</v>
      </c>
      <c r="E3" s="205" t="s">
        <v>270</v>
      </c>
      <c r="F3" s="205" t="s">
        <v>268</v>
      </c>
      <c r="G3" s="205" t="s">
        <v>271</v>
      </c>
      <c r="H3" s="205">
        <v>5.9336047E7</v>
      </c>
      <c r="I3" s="205" t="s">
        <v>272</v>
      </c>
      <c r="K3" s="205" t="s">
        <v>279</v>
      </c>
      <c r="L3" s="205" t="s">
        <v>271</v>
      </c>
      <c r="R3" s="205" t="s">
        <v>280</v>
      </c>
      <c r="T3" s="205" t="s">
        <v>271</v>
      </c>
      <c r="V3" s="205">
        <v>19.99</v>
      </c>
      <c r="X3" s="205" t="s">
        <v>281</v>
      </c>
      <c r="Y3" s="205">
        <v>0.8</v>
      </c>
      <c r="Z3" s="205">
        <v>12.0</v>
      </c>
      <c r="AA3" s="205">
        <v>12.0</v>
      </c>
      <c r="AB3" s="205">
        <v>12.0</v>
      </c>
      <c r="AH3" s="205" t="s">
        <v>282</v>
      </c>
      <c r="AI3" s="205" t="s">
        <v>283</v>
      </c>
    </row>
    <row r="4" ht="17.25" customHeight="1">
      <c r="A4" s="204" t="s">
        <v>284</v>
      </c>
      <c r="B4" s="205">
        <v>16.0</v>
      </c>
      <c r="C4" s="205" t="s">
        <v>268</v>
      </c>
      <c r="D4" s="205" t="s">
        <v>269</v>
      </c>
      <c r="E4" s="205" t="s">
        <v>270</v>
      </c>
      <c r="F4" s="205" t="s">
        <v>268</v>
      </c>
      <c r="G4" s="205" t="s">
        <v>271</v>
      </c>
      <c r="H4" s="205">
        <v>2.63282847E8</v>
      </c>
      <c r="I4" s="205" t="s">
        <v>272</v>
      </c>
      <c r="K4" s="205" t="s">
        <v>285</v>
      </c>
      <c r="L4" s="205" t="s">
        <v>271</v>
      </c>
      <c r="R4" s="205" t="s">
        <v>286</v>
      </c>
      <c r="T4" s="205" t="s">
        <v>271</v>
      </c>
      <c r="V4" s="205">
        <v>389.9</v>
      </c>
      <c r="X4" s="205" t="s">
        <v>80</v>
      </c>
      <c r="Y4" s="205">
        <v>2.0</v>
      </c>
      <c r="Z4" s="205">
        <v>28.0</v>
      </c>
      <c r="AA4" s="205">
        <v>28.0</v>
      </c>
      <c r="AB4" s="205">
        <v>18.0</v>
      </c>
      <c r="AH4" s="205" t="s">
        <v>287</v>
      </c>
      <c r="AI4" s="205" t="s">
        <v>288</v>
      </c>
      <c r="AJ4" s="205" t="s">
        <v>289</v>
      </c>
    </row>
    <row r="5" ht="17.25" customHeight="1">
      <c r="A5" s="204" t="s">
        <v>290</v>
      </c>
      <c r="B5" s="205">
        <v>14.0</v>
      </c>
      <c r="C5" s="205" t="s">
        <v>268</v>
      </c>
      <c r="D5" s="205" t="s">
        <v>269</v>
      </c>
      <c r="E5" s="205" t="s">
        <v>270</v>
      </c>
      <c r="F5" s="205" t="s">
        <v>268</v>
      </c>
      <c r="G5" s="205" t="s">
        <v>271</v>
      </c>
      <c r="H5" s="205">
        <v>7.2457584E7</v>
      </c>
      <c r="I5" s="205" t="s">
        <v>272</v>
      </c>
      <c r="K5" s="205" t="s">
        <v>291</v>
      </c>
      <c r="L5" s="205" t="s">
        <v>271</v>
      </c>
      <c r="R5" s="205" t="s">
        <v>292</v>
      </c>
      <c r="T5" s="205" t="s">
        <v>271</v>
      </c>
      <c r="V5" s="205">
        <v>29.9</v>
      </c>
      <c r="X5" s="205" t="s">
        <v>281</v>
      </c>
      <c r="Y5" s="205">
        <v>0.2</v>
      </c>
      <c r="Z5" s="205">
        <v>20.0</v>
      </c>
      <c r="AA5" s="205">
        <v>20.0</v>
      </c>
      <c r="AB5" s="205">
        <v>10.0</v>
      </c>
      <c r="AH5" s="205" t="s">
        <v>293</v>
      </c>
    </row>
    <row r="6" ht="17.25" hidden="1" customHeight="1">
      <c r="A6" s="205" t="s">
        <v>294</v>
      </c>
      <c r="B6" s="205">
        <v>10.0</v>
      </c>
      <c r="C6" s="205" t="s">
        <v>268</v>
      </c>
      <c r="D6" s="205" t="s">
        <v>295</v>
      </c>
      <c r="E6" s="205" t="s">
        <v>270</v>
      </c>
      <c r="F6" s="205" t="s">
        <v>271</v>
      </c>
      <c r="G6" s="205" t="s">
        <v>271</v>
      </c>
      <c r="H6" s="205">
        <v>6.1709088E7</v>
      </c>
      <c r="I6" s="205" t="s">
        <v>272</v>
      </c>
      <c r="K6" s="205" t="s">
        <v>296</v>
      </c>
      <c r="L6" s="205" t="s">
        <v>271</v>
      </c>
      <c r="R6" s="205" t="s">
        <v>297</v>
      </c>
      <c r="T6" s="205" t="s">
        <v>271</v>
      </c>
      <c r="V6" s="205">
        <v>1350.0</v>
      </c>
      <c r="X6" s="205" t="s">
        <v>298</v>
      </c>
      <c r="Y6" s="205">
        <v>8.5</v>
      </c>
      <c r="Z6" s="205">
        <v>20.0</v>
      </c>
      <c r="AA6" s="205">
        <v>60.0</v>
      </c>
      <c r="AB6" s="205">
        <v>20.0</v>
      </c>
      <c r="AC6" s="205" t="s">
        <v>299</v>
      </c>
      <c r="AD6" s="205" t="s">
        <v>300</v>
      </c>
      <c r="AH6" s="205" t="s">
        <v>301</v>
      </c>
    </row>
    <row r="7" ht="17.25" customHeight="1">
      <c r="A7" s="204" t="s">
        <v>302</v>
      </c>
      <c r="B7" s="205">
        <v>10.0</v>
      </c>
      <c r="C7" s="205" t="s">
        <v>268</v>
      </c>
      <c r="D7" s="205" t="s">
        <v>269</v>
      </c>
      <c r="E7" s="205" t="s">
        <v>270</v>
      </c>
      <c r="F7" s="205" t="s">
        <v>268</v>
      </c>
      <c r="G7" s="205" t="s">
        <v>271</v>
      </c>
      <c r="H7" s="205">
        <v>1.10443186E8</v>
      </c>
      <c r="I7" s="205" t="s">
        <v>272</v>
      </c>
      <c r="K7" s="205" t="s">
        <v>303</v>
      </c>
      <c r="L7" s="205" t="s">
        <v>268</v>
      </c>
      <c r="P7" s="205" t="s">
        <v>304</v>
      </c>
      <c r="Q7" s="205" t="s">
        <v>305</v>
      </c>
      <c r="R7" s="205" t="s">
        <v>306</v>
      </c>
      <c r="T7" s="205" t="s">
        <v>271</v>
      </c>
      <c r="V7" s="205">
        <v>189.0</v>
      </c>
      <c r="W7" s="205">
        <v>159.0</v>
      </c>
      <c r="X7" s="205" t="s">
        <v>307</v>
      </c>
      <c r="Y7" s="205">
        <v>1.0</v>
      </c>
      <c r="Z7" s="205">
        <v>20.0</v>
      </c>
      <c r="AA7" s="205">
        <v>20.0</v>
      </c>
      <c r="AB7" s="205">
        <v>20.0</v>
      </c>
      <c r="AH7" s="205" t="s">
        <v>308</v>
      </c>
      <c r="AI7" s="205" t="s">
        <v>309</v>
      </c>
    </row>
    <row r="8" ht="17.25" customHeight="1">
      <c r="B8" s="205">
        <v>10.0</v>
      </c>
      <c r="C8" s="205" t="s">
        <v>268</v>
      </c>
      <c r="D8" s="205" t="s">
        <v>310</v>
      </c>
      <c r="E8" s="205" t="s">
        <v>310</v>
      </c>
      <c r="F8" s="205" t="s">
        <v>268</v>
      </c>
      <c r="G8" s="205" t="s">
        <v>271</v>
      </c>
      <c r="H8" s="205">
        <v>2.65737859E8</v>
      </c>
      <c r="I8" s="205" t="s">
        <v>311</v>
      </c>
      <c r="J8" s="205" t="s">
        <v>312</v>
      </c>
      <c r="K8" s="205" t="s">
        <v>313</v>
      </c>
      <c r="L8" s="205" t="s">
        <v>271</v>
      </c>
      <c r="T8" s="205" t="s">
        <v>271</v>
      </c>
      <c r="V8" s="205">
        <v>146.5</v>
      </c>
      <c r="Y8" s="205">
        <v>0.2</v>
      </c>
      <c r="Z8" s="205">
        <v>5.0</v>
      </c>
      <c r="AA8" s="205">
        <v>5.0</v>
      </c>
      <c r="AB8" s="205">
        <v>5.0</v>
      </c>
      <c r="AY8" s="205" t="s">
        <v>314</v>
      </c>
    </row>
    <row r="9" ht="17.25" customHeight="1">
      <c r="B9" s="205">
        <v>10.0</v>
      </c>
      <c r="C9" s="205" t="s">
        <v>268</v>
      </c>
      <c r="D9" s="205" t="s">
        <v>310</v>
      </c>
      <c r="E9" s="205" t="s">
        <v>310</v>
      </c>
      <c r="F9" s="205" t="s">
        <v>268</v>
      </c>
      <c r="G9" s="205" t="s">
        <v>271</v>
      </c>
      <c r="H9" s="205">
        <v>2.65738307E8</v>
      </c>
      <c r="I9" s="205" t="s">
        <v>311</v>
      </c>
      <c r="J9" s="205" t="s">
        <v>312</v>
      </c>
      <c r="K9" s="205" t="s">
        <v>315</v>
      </c>
      <c r="L9" s="205" t="s">
        <v>271</v>
      </c>
      <c r="T9" s="205" t="s">
        <v>271</v>
      </c>
      <c r="V9" s="205">
        <v>170.5</v>
      </c>
      <c r="Y9" s="205">
        <v>0.4</v>
      </c>
      <c r="Z9" s="205">
        <v>10.0</v>
      </c>
      <c r="AA9" s="205">
        <v>10.0</v>
      </c>
      <c r="AB9" s="205">
        <v>10.0</v>
      </c>
      <c r="AY9" s="205" t="s">
        <v>316</v>
      </c>
    </row>
    <row r="10" ht="17.25" customHeight="1">
      <c r="B10" s="205">
        <v>10.0</v>
      </c>
      <c r="C10" s="205" t="s">
        <v>268</v>
      </c>
      <c r="D10" s="205" t="s">
        <v>310</v>
      </c>
      <c r="E10" s="205" t="s">
        <v>310</v>
      </c>
      <c r="F10" s="205" t="s">
        <v>268</v>
      </c>
      <c r="G10" s="205" t="s">
        <v>271</v>
      </c>
      <c r="H10" s="205">
        <v>2.65738655E8</v>
      </c>
      <c r="I10" s="205" t="s">
        <v>311</v>
      </c>
      <c r="J10" s="205" t="s">
        <v>312</v>
      </c>
      <c r="K10" s="205" t="s">
        <v>317</v>
      </c>
      <c r="L10" s="205" t="s">
        <v>271</v>
      </c>
      <c r="T10" s="205" t="s">
        <v>271</v>
      </c>
      <c r="V10" s="205">
        <v>227.0</v>
      </c>
      <c r="Y10" s="205">
        <v>0.5</v>
      </c>
      <c r="Z10" s="205">
        <v>10.0</v>
      </c>
      <c r="AA10" s="205">
        <v>10.0</v>
      </c>
      <c r="AB10" s="205">
        <v>10.0</v>
      </c>
      <c r="AY10" s="205" t="s">
        <v>318</v>
      </c>
    </row>
    <row r="11" ht="17.25" customHeight="1">
      <c r="B11" s="205">
        <v>10.0</v>
      </c>
      <c r="C11" s="205" t="s">
        <v>268</v>
      </c>
      <c r="D11" s="205" t="s">
        <v>310</v>
      </c>
      <c r="E11" s="205" t="s">
        <v>310</v>
      </c>
      <c r="F11" s="205" t="s">
        <v>268</v>
      </c>
      <c r="G11" s="205" t="s">
        <v>271</v>
      </c>
      <c r="H11" s="205">
        <v>2.65738971E8</v>
      </c>
      <c r="I11" s="205" t="s">
        <v>311</v>
      </c>
      <c r="J11" s="205" t="s">
        <v>312</v>
      </c>
      <c r="K11" s="205" t="s">
        <v>319</v>
      </c>
      <c r="L11" s="205" t="s">
        <v>271</v>
      </c>
      <c r="T11" s="205" t="s">
        <v>271</v>
      </c>
      <c r="V11" s="205">
        <v>299.0</v>
      </c>
      <c r="Y11" s="205">
        <v>0.5</v>
      </c>
      <c r="Z11" s="205">
        <v>10.0</v>
      </c>
      <c r="AA11" s="205">
        <v>10.0</v>
      </c>
      <c r="AB11" s="205">
        <v>10.0</v>
      </c>
      <c r="AY11" s="205" t="s">
        <v>320</v>
      </c>
    </row>
    <row r="12" ht="17.25" customHeight="1">
      <c r="B12" s="205">
        <v>10.0</v>
      </c>
      <c r="C12" s="205" t="s">
        <v>268</v>
      </c>
      <c r="D12" s="205" t="s">
        <v>310</v>
      </c>
      <c r="E12" s="205" t="s">
        <v>310</v>
      </c>
      <c r="F12" s="205" t="s">
        <v>268</v>
      </c>
      <c r="G12" s="205" t="s">
        <v>271</v>
      </c>
      <c r="H12" s="205">
        <v>2.65739169E8</v>
      </c>
      <c r="I12" s="205" t="s">
        <v>311</v>
      </c>
      <c r="J12" s="205" t="s">
        <v>312</v>
      </c>
      <c r="K12" s="205" t="s">
        <v>321</v>
      </c>
      <c r="L12" s="205" t="s">
        <v>271</v>
      </c>
      <c r="T12" s="205" t="s">
        <v>271</v>
      </c>
      <c r="V12" s="205">
        <v>495.0</v>
      </c>
      <c r="Y12" s="205">
        <v>0.7</v>
      </c>
      <c r="Z12" s="205">
        <v>11.0</v>
      </c>
      <c r="AA12" s="205">
        <v>11.0</v>
      </c>
      <c r="AB12" s="205">
        <v>11.0</v>
      </c>
      <c r="AY12" s="205" t="s">
        <v>322</v>
      </c>
    </row>
    <row r="13" ht="17.25" customHeight="1">
      <c r="B13" s="205">
        <v>10.0</v>
      </c>
      <c r="C13" s="205" t="s">
        <v>268</v>
      </c>
      <c r="D13" s="205" t="s">
        <v>310</v>
      </c>
      <c r="E13" s="205" t="s">
        <v>310</v>
      </c>
      <c r="F13" s="205" t="s">
        <v>268</v>
      </c>
      <c r="G13" s="205" t="s">
        <v>271</v>
      </c>
      <c r="H13" s="205">
        <v>2.6574168E8</v>
      </c>
      <c r="I13" s="205" t="s">
        <v>311</v>
      </c>
      <c r="J13" s="205" t="s">
        <v>323</v>
      </c>
      <c r="K13" s="205" t="s">
        <v>324</v>
      </c>
      <c r="L13" s="205" t="s">
        <v>271</v>
      </c>
      <c r="T13" s="205" t="s">
        <v>271</v>
      </c>
      <c r="V13" s="205">
        <v>382.0</v>
      </c>
      <c r="Y13" s="205">
        <v>0.7</v>
      </c>
      <c r="Z13" s="205">
        <v>11.0</v>
      </c>
      <c r="AA13" s="205">
        <v>11.0</v>
      </c>
      <c r="AB13" s="205">
        <v>11.0</v>
      </c>
      <c r="AY13" s="205" t="s">
        <v>322</v>
      </c>
    </row>
    <row r="14" ht="17.25" customHeight="1">
      <c r="B14" s="205">
        <v>10.0</v>
      </c>
      <c r="C14" s="205" t="s">
        <v>268</v>
      </c>
      <c r="D14" s="205" t="s">
        <v>310</v>
      </c>
      <c r="E14" s="205" t="s">
        <v>310</v>
      </c>
      <c r="F14" s="205" t="s">
        <v>268</v>
      </c>
      <c r="G14" s="205" t="s">
        <v>271</v>
      </c>
      <c r="H14" s="205">
        <v>2.65741681E8</v>
      </c>
      <c r="I14" s="205" t="s">
        <v>311</v>
      </c>
      <c r="J14" s="205" t="s">
        <v>323</v>
      </c>
      <c r="K14" s="205" t="s">
        <v>325</v>
      </c>
      <c r="L14" s="205" t="s">
        <v>271</v>
      </c>
      <c r="T14" s="205" t="s">
        <v>271</v>
      </c>
      <c r="V14" s="205">
        <v>207.0</v>
      </c>
      <c r="Y14" s="205">
        <v>0.5</v>
      </c>
      <c r="Z14" s="205">
        <v>10.0</v>
      </c>
      <c r="AA14" s="205">
        <v>10.0</v>
      </c>
      <c r="AB14" s="205">
        <v>10.0</v>
      </c>
      <c r="AY14" s="205" t="s">
        <v>320</v>
      </c>
    </row>
    <row r="15" ht="17.25" customHeight="1">
      <c r="B15" s="205">
        <v>10.0</v>
      </c>
      <c r="C15" s="205" t="s">
        <v>268</v>
      </c>
      <c r="D15" s="205" t="s">
        <v>310</v>
      </c>
      <c r="E15" s="205" t="s">
        <v>310</v>
      </c>
      <c r="F15" s="205" t="s">
        <v>268</v>
      </c>
      <c r="G15" s="205" t="s">
        <v>271</v>
      </c>
      <c r="H15" s="205">
        <v>2.65741682E8</v>
      </c>
      <c r="I15" s="205" t="s">
        <v>311</v>
      </c>
      <c r="J15" s="205" t="s">
        <v>323</v>
      </c>
      <c r="K15" s="205" t="s">
        <v>326</v>
      </c>
      <c r="L15" s="205" t="s">
        <v>271</v>
      </c>
      <c r="T15" s="205" t="s">
        <v>271</v>
      </c>
      <c r="V15" s="205">
        <v>170.5</v>
      </c>
      <c r="Y15" s="205">
        <v>0.5</v>
      </c>
      <c r="Z15" s="205">
        <v>10.0</v>
      </c>
      <c r="AA15" s="205">
        <v>10.0</v>
      </c>
      <c r="AB15" s="205">
        <v>10.0</v>
      </c>
      <c r="AY15" s="205" t="s">
        <v>318</v>
      </c>
    </row>
    <row r="16" ht="17.25" customHeight="1">
      <c r="B16" s="205">
        <v>10.0</v>
      </c>
      <c r="C16" s="205" t="s">
        <v>268</v>
      </c>
      <c r="D16" s="205" t="s">
        <v>310</v>
      </c>
      <c r="E16" s="205" t="s">
        <v>310</v>
      </c>
      <c r="F16" s="205" t="s">
        <v>268</v>
      </c>
      <c r="G16" s="205" t="s">
        <v>271</v>
      </c>
      <c r="H16" s="205">
        <v>2.65741684E8</v>
      </c>
      <c r="I16" s="205" t="s">
        <v>311</v>
      </c>
      <c r="J16" s="205" t="s">
        <v>323</v>
      </c>
      <c r="K16" s="205" t="s">
        <v>327</v>
      </c>
      <c r="L16" s="205" t="s">
        <v>271</v>
      </c>
      <c r="T16" s="205" t="s">
        <v>271</v>
      </c>
      <c r="V16" s="205">
        <v>134.5</v>
      </c>
      <c r="Y16" s="205">
        <v>0.4</v>
      </c>
      <c r="Z16" s="205">
        <v>10.0</v>
      </c>
      <c r="AA16" s="205">
        <v>10.0</v>
      </c>
      <c r="AB16" s="205">
        <v>10.0</v>
      </c>
      <c r="AY16" s="205" t="s">
        <v>316</v>
      </c>
    </row>
    <row r="17" ht="17.25" customHeight="1">
      <c r="B17" s="205">
        <v>10.0</v>
      </c>
      <c r="C17" s="205" t="s">
        <v>268</v>
      </c>
      <c r="D17" s="205" t="s">
        <v>310</v>
      </c>
      <c r="E17" s="205" t="s">
        <v>310</v>
      </c>
      <c r="F17" s="205" t="s">
        <v>268</v>
      </c>
      <c r="G17" s="205" t="s">
        <v>271</v>
      </c>
      <c r="H17" s="205">
        <v>2.65741685E8</v>
      </c>
      <c r="I17" s="205" t="s">
        <v>311</v>
      </c>
      <c r="J17" s="205" t="s">
        <v>323</v>
      </c>
      <c r="K17" s="205" t="s">
        <v>328</v>
      </c>
      <c r="L17" s="205" t="s">
        <v>271</v>
      </c>
      <c r="T17" s="205" t="s">
        <v>271</v>
      </c>
      <c r="V17" s="205">
        <v>114.0</v>
      </c>
      <c r="Y17" s="205">
        <v>0.2</v>
      </c>
      <c r="Z17" s="205">
        <v>5.0</v>
      </c>
      <c r="AA17" s="205">
        <v>5.0</v>
      </c>
      <c r="AB17" s="205">
        <v>5.0</v>
      </c>
      <c r="AY17" s="205" t="s">
        <v>314</v>
      </c>
    </row>
    <row r="18" ht="17.25" customHeight="1">
      <c r="A18" s="204" t="s">
        <v>329</v>
      </c>
      <c r="B18" s="205">
        <v>7.0</v>
      </c>
      <c r="C18" s="205" t="s">
        <v>268</v>
      </c>
      <c r="D18" s="205" t="s">
        <v>269</v>
      </c>
      <c r="E18" s="205" t="s">
        <v>270</v>
      </c>
      <c r="F18" s="205" t="s">
        <v>268</v>
      </c>
      <c r="G18" s="205" t="s">
        <v>271</v>
      </c>
      <c r="H18" s="205">
        <v>2.69286278E8</v>
      </c>
      <c r="I18" s="205" t="s">
        <v>272</v>
      </c>
      <c r="K18" s="205" t="s">
        <v>330</v>
      </c>
      <c r="L18" s="205" t="s">
        <v>271</v>
      </c>
      <c r="R18" s="205" t="s">
        <v>331</v>
      </c>
      <c r="T18" s="205" t="s">
        <v>271</v>
      </c>
      <c r="V18" s="205">
        <v>590.0</v>
      </c>
      <c r="Y18" s="205">
        <v>1.0</v>
      </c>
      <c r="Z18" s="205">
        <v>99.0</v>
      </c>
      <c r="AA18" s="205">
        <v>3.0</v>
      </c>
      <c r="AB18" s="205">
        <v>3.0</v>
      </c>
      <c r="AH18" s="205" t="s">
        <v>332</v>
      </c>
      <c r="AI18" s="205" t="s">
        <v>333</v>
      </c>
      <c r="AJ18" s="205" t="s">
        <v>334</v>
      </c>
      <c r="AK18" s="205" t="s">
        <v>335</v>
      </c>
      <c r="AL18" s="205" t="s">
        <v>336</v>
      </c>
    </row>
    <row r="19" ht="17.25" customHeight="1">
      <c r="A19" s="204" t="s">
        <v>337</v>
      </c>
      <c r="B19" s="205">
        <v>6.0</v>
      </c>
      <c r="C19" s="205" t="s">
        <v>268</v>
      </c>
      <c r="D19" s="205" t="s">
        <v>269</v>
      </c>
      <c r="E19" s="205" t="s">
        <v>270</v>
      </c>
      <c r="F19" s="205" t="s">
        <v>268</v>
      </c>
      <c r="G19" s="205" t="s">
        <v>271</v>
      </c>
      <c r="H19" s="205">
        <v>5.9336787E7</v>
      </c>
      <c r="I19" s="205" t="s">
        <v>272</v>
      </c>
      <c r="K19" s="205" t="s">
        <v>338</v>
      </c>
      <c r="L19" s="205" t="s">
        <v>271</v>
      </c>
      <c r="R19" s="205" t="s">
        <v>339</v>
      </c>
      <c r="T19" s="205" t="s">
        <v>271</v>
      </c>
      <c r="V19" s="205">
        <v>21.99</v>
      </c>
      <c r="X19" s="205" t="s">
        <v>281</v>
      </c>
      <c r="Y19" s="205">
        <v>0.8</v>
      </c>
      <c r="Z19" s="205">
        <v>12.0</v>
      </c>
      <c r="AA19" s="205">
        <v>12.0</v>
      </c>
      <c r="AB19" s="205">
        <v>12.0</v>
      </c>
      <c r="AH19" s="205" t="s">
        <v>340</v>
      </c>
    </row>
    <row r="20" ht="17.25" customHeight="1">
      <c r="A20" s="204" t="s">
        <v>341</v>
      </c>
      <c r="B20" s="205">
        <v>6.0</v>
      </c>
      <c r="C20" s="205" t="s">
        <v>268</v>
      </c>
      <c r="D20" s="205" t="s">
        <v>269</v>
      </c>
      <c r="E20" s="205" t="s">
        <v>270</v>
      </c>
      <c r="F20" s="205" t="s">
        <v>268</v>
      </c>
      <c r="G20" s="205" t="s">
        <v>271</v>
      </c>
      <c r="H20" s="205">
        <v>5.9340752E7</v>
      </c>
      <c r="I20" s="205" t="s">
        <v>272</v>
      </c>
      <c r="K20" s="205" t="s">
        <v>342</v>
      </c>
      <c r="L20" s="205" t="s">
        <v>271</v>
      </c>
      <c r="R20" s="205" t="s">
        <v>343</v>
      </c>
      <c r="T20" s="205" t="s">
        <v>271</v>
      </c>
      <c r="V20" s="205">
        <v>49.99</v>
      </c>
      <c r="X20" s="205" t="s">
        <v>281</v>
      </c>
      <c r="Y20" s="205">
        <v>0.8</v>
      </c>
      <c r="Z20" s="205">
        <v>12.0</v>
      </c>
      <c r="AA20" s="205">
        <v>12.0</v>
      </c>
      <c r="AB20" s="205">
        <v>10.0</v>
      </c>
      <c r="AH20" s="205" t="s">
        <v>344</v>
      </c>
      <c r="AI20" s="205" t="s">
        <v>345</v>
      </c>
    </row>
    <row r="21" ht="17.25" customHeight="1">
      <c r="A21" s="204" t="s">
        <v>346</v>
      </c>
      <c r="B21" s="205">
        <v>6.0</v>
      </c>
      <c r="C21" s="205" t="s">
        <v>268</v>
      </c>
      <c r="D21" s="205" t="s">
        <v>269</v>
      </c>
      <c r="E21" s="205" t="s">
        <v>270</v>
      </c>
      <c r="F21" s="205" t="s">
        <v>268</v>
      </c>
      <c r="G21" s="205" t="s">
        <v>271</v>
      </c>
      <c r="H21" s="205">
        <v>2.57657248E8</v>
      </c>
      <c r="I21" s="205" t="s">
        <v>272</v>
      </c>
      <c r="K21" s="205" t="s">
        <v>347</v>
      </c>
      <c r="L21" s="205" t="s">
        <v>271</v>
      </c>
      <c r="P21" s="205" t="s">
        <v>346</v>
      </c>
      <c r="Q21" s="205" t="s">
        <v>348</v>
      </c>
      <c r="R21" s="205" t="s">
        <v>349</v>
      </c>
      <c r="T21" s="205" t="s">
        <v>271</v>
      </c>
      <c r="V21" s="205">
        <v>1699.0</v>
      </c>
      <c r="W21" s="205">
        <v>1079.9</v>
      </c>
      <c r="X21" s="205" t="s">
        <v>80</v>
      </c>
      <c r="Y21" s="205">
        <v>9.0</v>
      </c>
      <c r="Z21" s="205">
        <v>40.0</v>
      </c>
      <c r="AA21" s="205">
        <v>40.0</v>
      </c>
      <c r="AB21" s="205">
        <v>40.0</v>
      </c>
      <c r="AH21" s="205" t="s">
        <v>350</v>
      </c>
      <c r="AI21" s="205" t="s">
        <v>351</v>
      </c>
      <c r="AJ21" s="205" t="s">
        <v>352</v>
      </c>
    </row>
    <row r="22" ht="17.25" customHeight="1">
      <c r="B22" s="205">
        <v>5.0</v>
      </c>
      <c r="C22" s="205" t="s">
        <v>268</v>
      </c>
      <c r="D22" s="205" t="s">
        <v>269</v>
      </c>
      <c r="E22" s="205" t="s">
        <v>270</v>
      </c>
      <c r="F22" s="205" t="s">
        <v>268</v>
      </c>
      <c r="G22" s="205" t="s">
        <v>271</v>
      </c>
      <c r="H22" s="205">
        <v>3.28705586E8</v>
      </c>
      <c r="I22" s="205" t="s">
        <v>311</v>
      </c>
      <c r="J22" s="205" t="s">
        <v>353</v>
      </c>
      <c r="K22" s="205" t="s">
        <v>354</v>
      </c>
      <c r="L22" s="205" t="s">
        <v>271</v>
      </c>
      <c r="T22" s="205" t="s">
        <v>271</v>
      </c>
      <c r="V22" s="205">
        <v>849.0</v>
      </c>
      <c r="W22" s="205">
        <v>769.0</v>
      </c>
      <c r="Y22" s="205">
        <v>2.0</v>
      </c>
      <c r="Z22" s="205">
        <v>35.0</v>
      </c>
      <c r="AA22" s="205">
        <v>35.0</v>
      </c>
      <c r="AB22" s="205">
        <v>35.0</v>
      </c>
      <c r="AN22" s="205" t="s">
        <v>355</v>
      </c>
    </row>
    <row r="23" ht="17.25" customHeight="1">
      <c r="B23" s="205">
        <v>5.0</v>
      </c>
      <c r="C23" s="205" t="s">
        <v>268</v>
      </c>
      <c r="D23" s="205" t="s">
        <v>269</v>
      </c>
      <c r="E23" s="205" t="s">
        <v>270</v>
      </c>
      <c r="F23" s="205" t="s">
        <v>268</v>
      </c>
      <c r="G23" s="205" t="s">
        <v>271</v>
      </c>
      <c r="H23" s="205">
        <v>3.28705846E8</v>
      </c>
      <c r="I23" s="205" t="s">
        <v>311</v>
      </c>
      <c r="J23" s="205" t="s">
        <v>353</v>
      </c>
      <c r="K23" s="205" t="s">
        <v>356</v>
      </c>
      <c r="L23" s="205" t="s">
        <v>271</v>
      </c>
      <c r="T23" s="205" t="s">
        <v>271</v>
      </c>
      <c r="V23" s="205">
        <v>849.0</v>
      </c>
      <c r="W23" s="205">
        <v>769.0</v>
      </c>
      <c r="Y23" s="205">
        <v>2.0</v>
      </c>
      <c r="Z23" s="205">
        <v>45.0</v>
      </c>
      <c r="AA23" s="205">
        <v>35.0</v>
      </c>
      <c r="AB23" s="205">
        <v>55.0</v>
      </c>
      <c r="AN23" s="205" t="s">
        <v>357</v>
      </c>
    </row>
    <row r="24" ht="17.25" customHeight="1">
      <c r="B24" s="205">
        <v>5.0</v>
      </c>
      <c r="C24" s="205" t="s">
        <v>268</v>
      </c>
      <c r="D24" s="205" t="s">
        <v>269</v>
      </c>
      <c r="E24" s="205" t="s">
        <v>270</v>
      </c>
      <c r="F24" s="205" t="s">
        <v>268</v>
      </c>
      <c r="G24" s="205" t="s">
        <v>271</v>
      </c>
      <c r="H24" s="205">
        <v>3.29677208E8</v>
      </c>
      <c r="I24" s="205" t="s">
        <v>311</v>
      </c>
      <c r="J24" s="205" t="s">
        <v>358</v>
      </c>
      <c r="K24" s="205" t="s">
        <v>359</v>
      </c>
      <c r="L24" s="205" t="s">
        <v>271</v>
      </c>
      <c r="T24" s="205" t="s">
        <v>271</v>
      </c>
      <c r="V24" s="205">
        <v>3099.0</v>
      </c>
      <c r="W24" s="205">
        <v>2739.0</v>
      </c>
      <c r="Y24" s="205">
        <v>16.0</v>
      </c>
      <c r="Z24" s="205">
        <v>60.0</v>
      </c>
      <c r="AA24" s="205">
        <v>60.0</v>
      </c>
      <c r="AB24" s="205">
        <v>60.0</v>
      </c>
      <c r="AU24" s="205" t="s">
        <v>360</v>
      </c>
    </row>
    <row r="25" ht="17.25" customHeight="1">
      <c r="A25" s="204" t="s">
        <v>361</v>
      </c>
      <c r="B25" s="205">
        <v>3.0</v>
      </c>
      <c r="C25" s="205" t="s">
        <v>268</v>
      </c>
      <c r="D25" s="205" t="s">
        <v>269</v>
      </c>
      <c r="E25" s="205" t="s">
        <v>270</v>
      </c>
      <c r="F25" s="205" t="s">
        <v>268</v>
      </c>
      <c r="G25" s="205" t="s">
        <v>271</v>
      </c>
      <c r="H25" s="205">
        <v>3.26613652E8</v>
      </c>
      <c r="I25" s="205" t="s">
        <v>272</v>
      </c>
      <c r="K25" s="205" t="s">
        <v>362</v>
      </c>
      <c r="L25" s="205" t="s">
        <v>271</v>
      </c>
      <c r="R25" s="205" t="s">
        <v>363</v>
      </c>
      <c r="T25" s="205" t="s">
        <v>271</v>
      </c>
      <c r="V25" s="205">
        <v>4759.9</v>
      </c>
      <c r="X25" s="205" t="s">
        <v>80</v>
      </c>
      <c r="Y25" s="205">
        <v>6.0</v>
      </c>
      <c r="Z25" s="205">
        <v>11.0</v>
      </c>
      <c r="AA25" s="205">
        <v>45.0</v>
      </c>
      <c r="AB25" s="205">
        <v>35.0</v>
      </c>
      <c r="AH25" s="205" t="s">
        <v>364</v>
      </c>
      <c r="AI25" s="205" t="s">
        <v>365</v>
      </c>
      <c r="AJ25" s="205" t="s">
        <v>366</v>
      </c>
      <c r="AK25" s="205" t="s">
        <v>367</v>
      </c>
      <c r="AL25" s="205" t="s">
        <v>368</v>
      </c>
    </row>
    <row r="26" ht="17.25" customHeight="1">
      <c r="B26" s="205">
        <v>2.0</v>
      </c>
      <c r="C26" s="205" t="s">
        <v>268</v>
      </c>
      <c r="D26" s="205" t="s">
        <v>269</v>
      </c>
      <c r="E26" s="205" t="s">
        <v>270</v>
      </c>
      <c r="F26" s="205" t="s">
        <v>268</v>
      </c>
      <c r="G26" s="205" t="s">
        <v>271</v>
      </c>
      <c r="H26" s="205">
        <v>3.2870505E8</v>
      </c>
      <c r="I26" s="205" t="s">
        <v>311</v>
      </c>
      <c r="J26" s="205" t="s">
        <v>369</v>
      </c>
      <c r="K26" s="205" t="s">
        <v>370</v>
      </c>
      <c r="L26" s="205" t="s">
        <v>271</v>
      </c>
      <c r="T26" s="205" t="s">
        <v>271</v>
      </c>
      <c r="V26" s="205">
        <v>820.0</v>
      </c>
      <c r="W26" s="205">
        <v>769.0</v>
      </c>
      <c r="Y26" s="205">
        <v>2.0</v>
      </c>
      <c r="Z26" s="205">
        <v>35.0</v>
      </c>
      <c r="AA26" s="205">
        <v>35.0</v>
      </c>
      <c r="AB26" s="205">
        <v>35.0</v>
      </c>
      <c r="AO26" s="205" t="s">
        <v>371</v>
      </c>
    </row>
    <row r="27" ht="17.25" customHeight="1">
      <c r="B27" s="205">
        <v>2.0</v>
      </c>
      <c r="C27" s="205" t="s">
        <v>268</v>
      </c>
      <c r="D27" s="205" t="s">
        <v>269</v>
      </c>
      <c r="E27" s="205" t="s">
        <v>270</v>
      </c>
      <c r="F27" s="205" t="s">
        <v>268</v>
      </c>
      <c r="G27" s="205" t="s">
        <v>271</v>
      </c>
      <c r="H27" s="205">
        <v>3.28710437E8</v>
      </c>
      <c r="I27" s="205" t="s">
        <v>311</v>
      </c>
      <c r="J27" s="205" t="s">
        <v>372</v>
      </c>
      <c r="K27" s="205" t="s">
        <v>373</v>
      </c>
      <c r="L27" s="205" t="s">
        <v>271</v>
      </c>
      <c r="T27" s="205" t="s">
        <v>271</v>
      </c>
      <c r="V27" s="205">
        <v>1339.0</v>
      </c>
      <c r="W27" s="205">
        <v>1199.0</v>
      </c>
      <c r="Y27" s="205">
        <v>2.0</v>
      </c>
      <c r="Z27" s="205">
        <v>45.0</v>
      </c>
      <c r="AA27" s="205">
        <v>55.0</v>
      </c>
      <c r="AB27" s="205">
        <v>55.0</v>
      </c>
      <c r="AN27" s="205" t="s">
        <v>357</v>
      </c>
    </row>
    <row r="28" ht="17.25" customHeight="1">
      <c r="B28" s="205">
        <v>2.0</v>
      </c>
      <c r="C28" s="205" t="s">
        <v>268</v>
      </c>
      <c r="D28" s="205" t="s">
        <v>269</v>
      </c>
      <c r="E28" s="205" t="s">
        <v>270</v>
      </c>
      <c r="F28" s="205" t="s">
        <v>268</v>
      </c>
      <c r="G28" s="205" t="s">
        <v>271</v>
      </c>
      <c r="H28" s="205">
        <v>3.28710438E8</v>
      </c>
      <c r="I28" s="205" t="s">
        <v>311</v>
      </c>
      <c r="J28" s="205" t="s">
        <v>372</v>
      </c>
      <c r="K28" s="205" t="s">
        <v>374</v>
      </c>
      <c r="L28" s="205" t="s">
        <v>271</v>
      </c>
      <c r="T28" s="205" t="s">
        <v>271</v>
      </c>
      <c r="V28" s="205">
        <v>1339.0</v>
      </c>
      <c r="W28" s="205">
        <v>1199.0</v>
      </c>
      <c r="Y28" s="205">
        <v>2.0</v>
      </c>
      <c r="Z28" s="205">
        <v>55.0</v>
      </c>
      <c r="AA28" s="205">
        <v>55.0</v>
      </c>
      <c r="AB28" s="205">
        <v>55.0</v>
      </c>
      <c r="AN28" s="205" t="s">
        <v>355</v>
      </c>
    </row>
    <row r="29" ht="17.25" customHeight="1">
      <c r="B29" s="205">
        <v>2.0</v>
      </c>
      <c r="C29" s="205" t="s">
        <v>268</v>
      </c>
      <c r="D29" s="205" t="s">
        <v>269</v>
      </c>
      <c r="E29" s="205" t="s">
        <v>270</v>
      </c>
      <c r="F29" s="205" t="s">
        <v>268</v>
      </c>
      <c r="G29" s="205" t="s">
        <v>271</v>
      </c>
      <c r="H29" s="205">
        <v>3.31336115E8</v>
      </c>
      <c r="I29" s="205" t="s">
        <v>311</v>
      </c>
      <c r="J29" s="205" t="s">
        <v>369</v>
      </c>
      <c r="K29" s="205" t="s">
        <v>375</v>
      </c>
      <c r="L29" s="205" t="s">
        <v>271</v>
      </c>
      <c r="T29" s="205" t="s">
        <v>271</v>
      </c>
      <c r="V29" s="205">
        <v>820.0</v>
      </c>
      <c r="W29" s="205">
        <v>769.0</v>
      </c>
      <c r="Y29" s="205">
        <v>2.0</v>
      </c>
      <c r="Z29" s="205">
        <v>35.0</v>
      </c>
      <c r="AA29" s="205">
        <v>35.0</v>
      </c>
      <c r="AB29" s="205">
        <v>35.0</v>
      </c>
      <c r="AO29" s="205" t="s">
        <v>376</v>
      </c>
    </row>
    <row r="30" ht="17.25" hidden="1" customHeight="1">
      <c r="A30" s="205" t="s">
        <v>377</v>
      </c>
      <c r="B30" s="205">
        <v>1.0</v>
      </c>
      <c r="C30" s="205" t="s">
        <v>268</v>
      </c>
      <c r="D30" s="205" t="s">
        <v>269</v>
      </c>
      <c r="E30" s="205" t="s">
        <v>270</v>
      </c>
      <c r="F30" s="205" t="s">
        <v>271</v>
      </c>
      <c r="G30" s="205" t="s">
        <v>268</v>
      </c>
      <c r="H30" s="205">
        <v>1.59544235E8</v>
      </c>
      <c r="I30" s="205" t="s">
        <v>272</v>
      </c>
      <c r="K30" s="205" t="s">
        <v>378</v>
      </c>
      <c r="L30" s="205" t="s">
        <v>271</v>
      </c>
      <c r="R30" s="205" t="s">
        <v>379</v>
      </c>
      <c r="T30" s="205" t="s">
        <v>271</v>
      </c>
      <c r="V30" s="205">
        <v>5999.0</v>
      </c>
      <c r="W30" s="205">
        <v>4999.0</v>
      </c>
      <c r="X30" s="205" t="s">
        <v>307</v>
      </c>
      <c r="Y30" s="205">
        <v>16.0</v>
      </c>
      <c r="Z30" s="205">
        <v>45.0</v>
      </c>
      <c r="AA30" s="205">
        <v>45.0</v>
      </c>
      <c r="AB30" s="205">
        <v>45.0</v>
      </c>
      <c r="AH30" s="205" t="s">
        <v>380</v>
      </c>
      <c r="AI30" s="205" t="s">
        <v>381</v>
      </c>
      <c r="AJ30" s="205" t="s">
        <v>382</v>
      </c>
      <c r="AK30" s="205" t="s">
        <v>383</v>
      </c>
      <c r="AL30" s="205" t="s">
        <v>384</v>
      </c>
    </row>
    <row r="31" ht="17.25" customHeight="1">
      <c r="A31" s="204" t="s">
        <v>385</v>
      </c>
      <c r="B31" s="205">
        <v>1.0</v>
      </c>
      <c r="C31" s="205" t="s">
        <v>268</v>
      </c>
      <c r="D31" s="205" t="s">
        <v>269</v>
      </c>
      <c r="E31" s="205" t="s">
        <v>386</v>
      </c>
      <c r="F31" s="205" t="s">
        <v>268</v>
      </c>
      <c r="G31" s="205" t="s">
        <v>271</v>
      </c>
      <c r="H31" s="205">
        <v>3.5762524E7</v>
      </c>
      <c r="I31" s="205" t="s">
        <v>272</v>
      </c>
      <c r="K31" s="205" t="s">
        <v>387</v>
      </c>
      <c r="L31" s="205" t="s">
        <v>268</v>
      </c>
      <c r="R31" s="205" t="s">
        <v>388</v>
      </c>
      <c r="T31" s="205" t="s">
        <v>271</v>
      </c>
      <c r="V31" s="205">
        <v>242.0</v>
      </c>
      <c r="X31" s="205" t="s">
        <v>389</v>
      </c>
      <c r="Y31" s="205">
        <v>0.5</v>
      </c>
      <c r="Z31" s="205">
        <v>2.0</v>
      </c>
      <c r="AA31" s="205">
        <v>10.0</v>
      </c>
      <c r="AB31" s="205">
        <v>10.0</v>
      </c>
      <c r="AC31" s="205" t="s">
        <v>390</v>
      </c>
      <c r="AH31" s="205" t="s">
        <v>391</v>
      </c>
      <c r="AI31" s="205" t="s">
        <v>392</v>
      </c>
    </row>
    <row r="32" ht="17.25" customHeight="1">
      <c r="A32" s="204" t="s">
        <v>393</v>
      </c>
      <c r="B32" s="205">
        <v>1.0</v>
      </c>
      <c r="C32" s="205" t="s">
        <v>268</v>
      </c>
      <c r="D32" s="205" t="s">
        <v>269</v>
      </c>
      <c r="E32" s="205" t="s">
        <v>386</v>
      </c>
      <c r="F32" s="205" t="s">
        <v>268</v>
      </c>
      <c r="G32" s="205" t="s">
        <v>271</v>
      </c>
      <c r="H32" s="205">
        <v>3.576282E7</v>
      </c>
      <c r="I32" s="205" t="s">
        <v>272</v>
      </c>
      <c r="K32" s="205" t="s">
        <v>394</v>
      </c>
      <c r="L32" s="205" t="s">
        <v>268</v>
      </c>
      <c r="R32" s="205" t="s">
        <v>395</v>
      </c>
      <c r="T32" s="205" t="s">
        <v>271</v>
      </c>
      <c r="V32" s="205">
        <v>308.0</v>
      </c>
      <c r="X32" s="205" t="s">
        <v>389</v>
      </c>
      <c r="Y32" s="205">
        <v>0.5</v>
      </c>
      <c r="Z32" s="205">
        <v>2.0</v>
      </c>
      <c r="AA32" s="205">
        <v>10.0</v>
      </c>
      <c r="AB32" s="205">
        <v>10.0</v>
      </c>
      <c r="AC32" s="205" t="s">
        <v>390</v>
      </c>
      <c r="AH32" s="205" t="s">
        <v>396</v>
      </c>
      <c r="AI32" s="205" t="s">
        <v>397</v>
      </c>
    </row>
    <row r="33" ht="17.25" customHeight="1">
      <c r="A33" s="204" t="s">
        <v>398</v>
      </c>
      <c r="B33" s="205">
        <v>1.0</v>
      </c>
      <c r="C33" s="205" t="s">
        <v>268</v>
      </c>
      <c r="D33" s="205" t="s">
        <v>269</v>
      </c>
      <c r="E33" s="205" t="s">
        <v>310</v>
      </c>
      <c r="F33" s="205" t="s">
        <v>268</v>
      </c>
      <c r="G33" s="205" t="s">
        <v>271</v>
      </c>
      <c r="H33" s="205">
        <v>5.477161E7</v>
      </c>
      <c r="I33" s="205" t="s">
        <v>272</v>
      </c>
      <c r="K33" s="205" t="s">
        <v>399</v>
      </c>
      <c r="L33" s="205" t="s">
        <v>268</v>
      </c>
      <c r="P33" s="205" t="s">
        <v>398</v>
      </c>
      <c r="Q33" s="205" t="s">
        <v>400</v>
      </c>
      <c r="R33" s="205" t="s">
        <v>401</v>
      </c>
      <c r="S33" s="205" t="s">
        <v>402</v>
      </c>
      <c r="T33" s="205" t="s">
        <v>271</v>
      </c>
      <c r="V33" s="205">
        <v>1635.0</v>
      </c>
      <c r="W33" s="205">
        <v>1410.0</v>
      </c>
      <c r="X33" s="205" t="s">
        <v>389</v>
      </c>
      <c r="Y33" s="205">
        <v>5.0</v>
      </c>
      <c r="Z33" s="205">
        <v>45.0</v>
      </c>
      <c r="AA33" s="205">
        <v>10.0</v>
      </c>
      <c r="AB33" s="205">
        <v>45.0</v>
      </c>
      <c r="AC33" s="205" t="s">
        <v>403</v>
      </c>
      <c r="AH33" s="205" t="s">
        <v>404</v>
      </c>
      <c r="AI33" s="205" t="s">
        <v>405</v>
      </c>
      <c r="AJ33" s="205" t="s">
        <v>406</v>
      </c>
      <c r="AK33" s="205" t="s">
        <v>407</v>
      </c>
      <c r="AL33" s="205" t="s">
        <v>408</v>
      </c>
    </row>
    <row r="34" ht="17.25" customHeight="1">
      <c r="A34" s="204" t="s">
        <v>409</v>
      </c>
      <c r="B34" s="205">
        <v>1.0</v>
      </c>
      <c r="C34" s="205" t="s">
        <v>268</v>
      </c>
      <c r="D34" s="205" t="s">
        <v>269</v>
      </c>
      <c r="E34" s="205" t="s">
        <v>270</v>
      </c>
      <c r="F34" s="205" t="s">
        <v>268</v>
      </c>
      <c r="G34" s="205" t="s">
        <v>271</v>
      </c>
      <c r="H34" s="205">
        <v>7.2457198E7</v>
      </c>
      <c r="I34" s="205" t="s">
        <v>272</v>
      </c>
      <c r="K34" s="205" t="s">
        <v>410</v>
      </c>
      <c r="L34" s="205" t="s">
        <v>271</v>
      </c>
      <c r="R34" s="205" t="s">
        <v>411</v>
      </c>
      <c r="T34" s="205" t="s">
        <v>271</v>
      </c>
      <c r="V34" s="205">
        <v>22.5</v>
      </c>
      <c r="X34" s="205" t="s">
        <v>412</v>
      </c>
      <c r="Y34" s="205">
        <v>0.2</v>
      </c>
      <c r="Z34" s="205">
        <v>20.0</v>
      </c>
      <c r="AA34" s="205">
        <v>20.0</v>
      </c>
      <c r="AB34" s="205">
        <v>10.0</v>
      </c>
      <c r="AH34" s="205" t="s">
        <v>413</v>
      </c>
    </row>
    <row r="35" ht="17.25" customHeight="1">
      <c r="A35" s="204" t="s">
        <v>414</v>
      </c>
      <c r="B35" s="205">
        <v>1.0</v>
      </c>
      <c r="C35" s="205" t="s">
        <v>268</v>
      </c>
      <c r="D35" s="205" t="s">
        <v>269</v>
      </c>
      <c r="E35" s="205" t="s">
        <v>270</v>
      </c>
      <c r="F35" s="205" t="s">
        <v>268</v>
      </c>
      <c r="G35" s="205" t="s">
        <v>271</v>
      </c>
      <c r="H35" s="205">
        <v>2.627919E8</v>
      </c>
      <c r="I35" s="205" t="s">
        <v>272</v>
      </c>
      <c r="K35" s="205" t="s">
        <v>415</v>
      </c>
      <c r="L35" s="205" t="s">
        <v>271</v>
      </c>
      <c r="R35" s="205" t="s">
        <v>416</v>
      </c>
      <c r="T35" s="205" t="s">
        <v>271</v>
      </c>
      <c r="V35" s="205">
        <v>395.0</v>
      </c>
      <c r="X35" s="205" t="s">
        <v>80</v>
      </c>
      <c r="Y35" s="205">
        <v>2.3</v>
      </c>
      <c r="Z35" s="205">
        <v>23.0</v>
      </c>
      <c r="AA35" s="205">
        <v>23.0</v>
      </c>
      <c r="AB35" s="205">
        <v>8.0</v>
      </c>
      <c r="AH35" s="205" t="s">
        <v>417</v>
      </c>
      <c r="AI35" s="205" t="s">
        <v>418</v>
      </c>
      <c r="AJ35" s="205" t="s">
        <v>419</v>
      </c>
      <c r="AK35" s="205" t="s">
        <v>420</v>
      </c>
      <c r="AL35" s="205" t="s">
        <v>421</v>
      </c>
    </row>
    <row r="36" ht="17.25" customHeight="1">
      <c r="A36" s="204" t="s">
        <v>422</v>
      </c>
      <c r="B36" s="205">
        <v>1.0</v>
      </c>
      <c r="C36" s="205" t="s">
        <v>268</v>
      </c>
      <c r="D36" s="205" t="s">
        <v>269</v>
      </c>
      <c r="E36" s="205" t="s">
        <v>270</v>
      </c>
      <c r="F36" s="205" t="s">
        <v>268</v>
      </c>
      <c r="G36" s="205" t="s">
        <v>271</v>
      </c>
      <c r="H36" s="205">
        <v>2.69551128E8</v>
      </c>
      <c r="I36" s="205" t="s">
        <v>272</v>
      </c>
      <c r="K36" s="205" t="s">
        <v>423</v>
      </c>
      <c r="L36" s="205" t="s">
        <v>271</v>
      </c>
      <c r="P36" s="205" t="s">
        <v>422</v>
      </c>
      <c r="Q36" s="205" t="s">
        <v>424</v>
      </c>
      <c r="R36" s="205" t="s">
        <v>425</v>
      </c>
      <c r="T36" s="205" t="s">
        <v>271</v>
      </c>
      <c r="V36" s="205">
        <v>2229.0</v>
      </c>
      <c r="W36" s="205">
        <v>2119.0</v>
      </c>
      <c r="X36" s="205" t="s">
        <v>80</v>
      </c>
      <c r="Y36" s="205">
        <v>12.0</v>
      </c>
      <c r="Z36" s="205">
        <v>100.0</v>
      </c>
      <c r="AA36" s="205">
        <v>100.0</v>
      </c>
      <c r="AB36" s="205">
        <v>100.0</v>
      </c>
      <c r="AH36" s="205" t="s">
        <v>426</v>
      </c>
      <c r="AI36" s="205" t="s">
        <v>427</v>
      </c>
      <c r="AJ36" s="205" t="s">
        <v>428</v>
      </c>
    </row>
    <row r="37" ht="17.25" customHeight="1">
      <c r="B37" s="205">
        <v>1.0</v>
      </c>
      <c r="C37" s="205" t="s">
        <v>268</v>
      </c>
      <c r="D37" s="205" t="s">
        <v>269</v>
      </c>
      <c r="E37" s="205" t="s">
        <v>270</v>
      </c>
      <c r="F37" s="205" t="s">
        <v>268</v>
      </c>
      <c r="G37" s="205" t="s">
        <v>271</v>
      </c>
      <c r="H37" s="205">
        <v>2.74199464E8</v>
      </c>
      <c r="I37" s="205" t="s">
        <v>311</v>
      </c>
      <c r="J37" s="205" t="s">
        <v>429</v>
      </c>
      <c r="K37" s="205" t="s">
        <v>430</v>
      </c>
      <c r="L37" s="205" t="s">
        <v>271</v>
      </c>
      <c r="T37" s="205" t="s">
        <v>268</v>
      </c>
      <c r="V37" s="205">
        <v>2699.0</v>
      </c>
      <c r="Y37" s="205">
        <v>17.0</v>
      </c>
      <c r="Z37" s="205">
        <v>54.0</v>
      </c>
      <c r="AA37" s="205">
        <v>50.0</v>
      </c>
      <c r="AB37" s="205">
        <v>58.0</v>
      </c>
      <c r="AU37" s="205" t="s">
        <v>360</v>
      </c>
    </row>
    <row r="38" ht="17.25" customHeight="1">
      <c r="B38" s="205">
        <v>1.0</v>
      </c>
      <c r="C38" s="205" t="s">
        <v>268</v>
      </c>
      <c r="D38" s="205" t="s">
        <v>269</v>
      </c>
      <c r="E38" s="205" t="s">
        <v>270</v>
      </c>
      <c r="F38" s="205" t="s">
        <v>268</v>
      </c>
      <c r="G38" s="205" t="s">
        <v>271</v>
      </c>
      <c r="H38" s="205">
        <v>3.29740505E8</v>
      </c>
      <c r="I38" s="205" t="s">
        <v>311</v>
      </c>
      <c r="J38" s="205" t="s">
        <v>431</v>
      </c>
      <c r="K38" s="205" t="s">
        <v>432</v>
      </c>
      <c r="L38" s="205" t="s">
        <v>271</v>
      </c>
      <c r="T38" s="205" t="s">
        <v>268</v>
      </c>
      <c r="V38" s="205">
        <v>11779.0</v>
      </c>
      <c r="W38" s="205">
        <v>10699.0</v>
      </c>
      <c r="Y38" s="205">
        <v>8.0</v>
      </c>
      <c r="Z38" s="205">
        <v>50.0</v>
      </c>
      <c r="AA38" s="205">
        <v>50.0</v>
      </c>
      <c r="AB38" s="205">
        <v>50.0</v>
      </c>
      <c r="AU38" s="205" t="s">
        <v>360</v>
      </c>
    </row>
    <row r="39" ht="17.25" customHeight="1">
      <c r="A39" s="204" t="s">
        <v>433</v>
      </c>
      <c r="B39" s="205">
        <v>1.0</v>
      </c>
      <c r="C39" s="205" t="s">
        <v>268</v>
      </c>
      <c r="D39" s="205" t="s">
        <v>269</v>
      </c>
      <c r="E39" s="205" t="s">
        <v>270</v>
      </c>
      <c r="F39" s="205" t="s">
        <v>268</v>
      </c>
      <c r="G39" s="205" t="s">
        <v>268</v>
      </c>
      <c r="H39" s="205">
        <v>3.28916571E8</v>
      </c>
      <c r="I39" s="205" t="s">
        <v>272</v>
      </c>
      <c r="K39" s="205" t="s">
        <v>434</v>
      </c>
      <c r="L39" s="205" t="s">
        <v>268</v>
      </c>
      <c r="P39" s="205" t="s">
        <v>435</v>
      </c>
      <c r="Q39" s="205" t="s">
        <v>436</v>
      </c>
      <c r="R39" s="205" t="s">
        <v>437</v>
      </c>
      <c r="T39" s="205" t="s">
        <v>271</v>
      </c>
      <c r="V39" s="205">
        <v>13789.0</v>
      </c>
      <c r="W39" s="205">
        <v>10999.99</v>
      </c>
      <c r="Y39" s="205">
        <v>30.0</v>
      </c>
      <c r="Z39" s="205">
        <v>100.0</v>
      </c>
      <c r="AA39" s="205">
        <v>100.0</v>
      </c>
      <c r="AB39" s="205">
        <v>100.0</v>
      </c>
      <c r="AH39" s="205" t="s">
        <v>438</v>
      </c>
      <c r="AI39" s="205" t="s">
        <v>439</v>
      </c>
      <c r="AJ39" s="205" t="s">
        <v>440</v>
      </c>
      <c r="AK39" s="205" t="s">
        <v>441</v>
      </c>
      <c r="AL39" s="205" t="s">
        <v>442</v>
      </c>
    </row>
    <row r="40" ht="17.25" customHeight="1">
      <c r="A40" s="204" t="s">
        <v>443</v>
      </c>
      <c r="B40" s="205">
        <v>1.0</v>
      </c>
      <c r="C40" s="205" t="s">
        <v>268</v>
      </c>
      <c r="D40" s="205" t="s">
        <v>269</v>
      </c>
      <c r="E40" s="205" t="s">
        <v>270</v>
      </c>
      <c r="F40" s="205" t="s">
        <v>268</v>
      </c>
      <c r="G40" s="205" t="s">
        <v>268</v>
      </c>
      <c r="H40" s="205">
        <v>3.29610327E8</v>
      </c>
      <c r="I40" s="205" t="s">
        <v>272</v>
      </c>
      <c r="K40" s="205" t="s">
        <v>444</v>
      </c>
      <c r="L40" s="205" t="s">
        <v>268</v>
      </c>
      <c r="P40" s="205" t="s">
        <v>445</v>
      </c>
      <c r="Q40" s="205" t="s">
        <v>446</v>
      </c>
      <c r="R40" s="205" t="s">
        <v>447</v>
      </c>
      <c r="T40" s="205" t="s">
        <v>271</v>
      </c>
      <c r="V40" s="205">
        <v>18990.0</v>
      </c>
      <c r="W40" s="205">
        <v>15999.0</v>
      </c>
      <c r="X40" s="205" t="s">
        <v>448</v>
      </c>
      <c r="Y40" s="205">
        <v>30.0</v>
      </c>
      <c r="Z40" s="205">
        <v>100.0</v>
      </c>
      <c r="AA40" s="205">
        <v>100.0</v>
      </c>
      <c r="AB40" s="205">
        <v>100.0</v>
      </c>
      <c r="AH40" s="205" t="s">
        <v>449</v>
      </c>
      <c r="AI40" s="205" t="s">
        <v>450</v>
      </c>
      <c r="AJ40" s="205" t="s">
        <v>451</v>
      </c>
      <c r="AK40" s="205" t="s">
        <v>452</v>
      </c>
      <c r="AL40" s="205" t="s">
        <v>453</v>
      </c>
    </row>
    <row r="41" ht="17.25" hidden="1" customHeight="1">
      <c r="A41" s="205" t="s">
        <v>454</v>
      </c>
      <c r="B41" s="205">
        <v>0.0</v>
      </c>
      <c r="C41" s="205" t="s">
        <v>268</v>
      </c>
      <c r="D41" s="205" t="s">
        <v>269</v>
      </c>
      <c r="E41" s="205" t="s">
        <v>270</v>
      </c>
      <c r="F41" s="205" t="s">
        <v>271</v>
      </c>
      <c r="G41" s="205" t="s">
        <v>271</v>
      </c>
      <c r="H41" s="205">
        <v>5.9424894E7</v>
      </c>
      <c r="I41" s="205" t="s">
        <v>272</v>
      </c>
      <c r="K41" s="205" t="s">
        <v>455</v>
      </c>
      <c r="L41" s="205" t="s">
        <v>271</v>
      </c>
      <c r="R41" s="205" t="s">
        <v>456</v>
      </c>
      <c r="T41" s="205" t="s">
        <v>271</v>
      </c>
      <c r="V41" s="205">
        <v>43.9</v>
      </c>
      <c r="X41" s="205" t="s">
        <v>281</v>
      </c>
      <c r="Y41" s="205">
        <v>0.8</v>
      </c>
      <c r="Z41" s="205">
        <v>15.0</v>
      </c>
      <c r="AA41" s="205">
        <v>15.0</v>
      </c>
      <c r="AB41" s="205">
        <v>10.0</v>
      </c>
      <c r="AH41" s="205" t="s">
        <v>457</v>
      </c>
    </row>
    <row r="42" ht="17.25" hidden="1" customHeight="1">
      <c r="A42" s="205" t="s">
        <v>458</v>
      </c>
      <c r="B42" s="205">
        <v>0.0</v>
      </c>
      <c r="C42" s="205" t="s">
        <v>268</v>
      </c>
      <c r="D42" s="205" t="s">
        <v>269</v>
      </c>
      <c r="E42" s="205" t="s">
        <v>270</v>
      </c>
      <c r="F42" s="205" t="s">
        <v>271</v>
      </c>
      <c r="G42" s="205" t="s">
        <v>271</v>
      </c>
      <c r="H42" s="205">
        <v>5.9426174E7</v>
      </c>
      <c r="I42" s="205" t="s">
        <v>272</v>
      </c>
      <c r="K42" s="205" t="s">
        <v>459</v>
      </c>
      <c r="L42" s="205" t="s">
        <v>271</v>
      </c>
      <c r="R42" s="205" t="s">
        <v>460</v>
      </c>
      <c r="T42" s="205" t="s">
        <v>271</v>
      </c>
      <c r="V42" s="205">
        <v>92.5</v>
      </c>
      <c r="Y42" s="205">
        <v>0.8</v>
      </c>
      <c r="Z42" s="205">
        <v>15.0</v>
      </c>
      <c r="AA42" s="205">
        <v>10.0</v>
      </c>
      <c r="AB42" s="205">
        <v>5.0</v>
      </c>
      <c r="AH42" s="205" t="s">
        <v>461</v>
      </c>
    </row>
    <row r="43" ht="17.25" hidden="1" customHeight="1">
      <c r="A43" s="205" t="s">
        <v>462</v>
      </c>
      <c r="B43" s="205">
        <v>0.0</v>
      </c>
      <c r="C43" s="205" t="s">
        <v>268</v>
      </c>
      <c r="D43" s="205" t="s">
        <v>269</v>
      </c>
      <c r="E43" s="205" t="s">
        <v>270</v>
      </c>
      <c r="F43" s="205" t="s">
        <v>271</v>
      </c>
      <c r="G43" s="205" t="s">
        <v>271</v>
      </c>
      <c r="H43" s="205">
        <v>5.9428485E7</v>
      </c>
      <c r="I43" s="205" t="s">
        <v>272</v>
      </c>
      <c r="K43" s="205" t="s">
        <v>463</v>
      </c>
      <c r="L43" s="205" t="s">
        <v>271</v>
      </c>
      <c r="R43" s="205" t="s">
        <v>464</v>
      </c>
      <c r="T43" s="205" t="s">
        <v>271</v>
      </c>
      <c r="V43" s="205">
        <v>60.0</v>
      </c>
      <c r="X43" s="205" t="s">
        <v>465</v>
      </c>
      <c r="Y43" s="205">
        <v>0.8</v>
      </c>
      <c r="Z43" s="205">
        <v>15.0</v>
      </c>
      <c r="AA43" s="205">
        <v>15.0</v>
      </c>
      <c r="AB43" s="205">
        <v>5.0</v>
      </c>
      <c r="AH43" s="205" t="s">
        <v>466</v>
      </c>
    </row>
    <row r="44" ht="17.25" hidden="1" customHeight="1">
      <c r="A44" s="205" t="s">
        <v>467</v>
      </c>
      <c r="B44" s="205">
        <v>0.0</v>
      </c>
      <c r="C44" s="205" t="s">
        <v>268</v>
      </c>
      <c r="D44" s="205" t="s">
        <v>269</v>
      </c>
      <c r="E44" s="205" t="s">
        <v>270</v>
      </c>
      <c r="F44" s="205" t="s">
        <v>271</v>
      </c>
      <c r="G44" s="205" t="s">
        <v>271</v>
      </c>
      <c r="H44" s="205">
        <v>5.9429463E7</v>
      </c>
      <c r="I44" s="205" t="s">
        <v>272</v>
      </c>
      <c r="K44" s="205" t="s">
        <v>468</v>
      </c>
      <c r="L44" s="205" t="s">
        <v>271</v>
      </c>
      <c r="R44" s="205" t="s">
        <v>469</v>
      </c>
      <c r="T44" s="205" t="s">
        <v>271</v>
      </c>
      <c r="V44" s="205">
        <v>84.0</v>
      </c>
      <c r="X44" s="205" t="s">
        <v>465</v>
      </c>
      <c r="Y44" s="205">
        <v>0.8</v>
      </c>
      <c r="Z44" s="205">
        <v>15.0</v>
      </c>
      <c r="AA44" s="205">
        <v>15.0</v>
      </c>
      <c r="AB44" s="205">
        <v>5.0</v>
      </c>
      <c r="AH44" s="205" t="s">
        <v>470</v>
      </c>
    </row>
    <row r="45" ht="17.25" hidden="1" customHeight="1">
      <c r="A45" s="205" t="s">
        <v>471</v>
      </c>
      <c r="B45" s="205">
        <v>0.0</v>
      </c>
      <c r="C45" s="205" t="s">
        <v>271</v>
      </c>
      <c r="D45" s="205" t="s">
        <v>295</v>
      </c>
      <c r="E45" s="205" t="s">
        <v>295</v>
      </c>
      <c r="F45" s="205" t="s">
        <v>271</v>
      </c>
      <c r="G45" s="205" t="s">
        <v>271</v>
      </c>
      <c r="H45" s="205">
        <v>6.1713332E7</v>
      </c>
      <c r="I45" s="205" t="s">
        <v>272</v>
      </c>
      <c r="K45" s="205" t="s">
        <v>472</v>
      </c>
      <c r="L45" s="205" t="s">
        <v>271</v>
      </c>
      <c r="R45" s="205" t="s">
        <v>473</v>
      </c>
      <c r="T45" s="205" t="s">
        <v>271</v>
      </c>
      <c r="V45" s="205">
        <v>1119.0</v>
      </c>
      <c r="X45" s="205" t="s">
        <v>298</v>
      </c>
      <c r="Y45" s="205">
        <v>8.0</v>
      </c>
      <c r="Z45" s="205">
        <v>60.0</v>
      </c>
      <c r="AA45" s="205">
        <v>20.0</v>
      </c>
      <c r="AB45" s="205">
        <v>20.0</v>
      </c>
      <c r="AC45" s="205" t="s">
        <v>299</v>
      </c>
      <c r="AD45" s="205" t="s">
        <v>300</v>
      </c>
      <c r="AH45" s="205" t="s">
        <v>474</v>
      </c>
    </row>
    <row r="46" ht="17.25" hidden="1" customHeight="1">
      <c r="A46" s="205" t="s">
        <v>475</v>
      </c>
      <c r="B46" s="205">
        <v>0.0</v>
      </c>
      <c r="C46" s="205" t="s">
        <v>268</v>
      </c>
      <c r="D46" s="205" t="s">
        <v>269</v>
      </c>
      <c r="E46" s="205" t="s">
        <v>270</v>
      </c>
      <c r="F46" s="205" t="s">
        <v>271</v>
      </c>
      <c r="G46" s="205" t="s">
        <v>271</v>
      </c>
      <c r="H46" s="205">
        <v>7.2428556E7</v>
      </c>
      <c r="I46" s="205" t="s">
        <v>272</v>
      </c>
      <c r="K46" s="205" t="s">
        <v>476</v>
      </c>
      <c r="L46" s="205" t="s">
        <v>271</v>
      </c>
      <c r="R46" s="205" t="s">
        <v>477</v>
      </c>
      <c r="T46" s="205" t="s">
        <v>271</v>
      </c>
      <c r="V46" s="205">
        <v>29.9</v>
      </c>
      <c r="X46" s="205" t="s">
        <v>281</v>
      </c>
      <c r="Y46" s="205">
        <v>0.2</v>
      </c>
      <c r="Z46" s="205">
        <v>25.0</v>
      </c>
      <c r="AA46" s="205">
        <v>25.0</v>
      </c>
      <c r="AB46" s="205">
        <v>10.0</v>
      </c>
      <c r="AH46" s="205" t="s">
        <v>478</v>
      </c>
    </row>
    <row r="47" ht="17.25" hidden="1" customHeight="1">
      <c r="A47" s="205" t="s">
        <v>479</v>
      </c>
      <c r="B47" s="205">
        <v>0.0</v>
      </c>
      <c r="C47" s="205" t="s">
        <v>268</v>
      </c>
      <c r="D47" s="205" t="s">
        <v>269</v>
      </c>
      <c r="E47" s="205" t="s">
        <v>270</v>
      </c>
      <c r="F47" s="205" t="s">
        <v>271</v>
      </c>
      <c r="G47" s="205" t="s">
        <v>271</v>
      </c>
      <c r="H47" s="205">
        <v>7.2461366E7</v>
      </c>
      <c r="I47" s="205" t="s">
        <v>272</v>
      </c>
      <c r="K47" s="205" t="s">
        <v>480</v>
      </c>
      <c r="L47" s="205" t="s">
        <v>271</v>
      </c>
      <c r="R47" s="205" t="s">
        <v>481</v>
      </c>
      <c r="T47" s="205" t="s">
        <v>271</v>
      </c>
      <c r="V47" s="205">
        <v>74.9</v>
      </c>
      <c r="X47" s="205" t="s">
        <v>281</v>
      </c>
      <c r="Y47" s="205">
        <v>0.2</v>
      </c>
      <c r="Z47" s="205">
        <v>20.0</v>
      </c>
      <c r="AA47" s="205">
        <v>20.0</v>
      </c>
      <c r="AB47" s="205">
        <v>10.0</v>
      </c>
      <c r="AH47" s="205" t="s">
        <v>482</v>
      </c>
    </row>
    <row r="48" ht="17.25" hidden="1" customHeight="1">
      <c r="A48" s="205" t="s">
        <v>483</v>
      </c>
      <c r="B48" s="205">
        <v>0.0</v>
      </c>
      <c r="C48" s="205" t="s">
        <v>268</v>
      </c>
      <c r="D48" s="205" t="s">
        <v>484</v>
      </c>
      <c r="E48" s="205" t="s">
        <v>270</v>
      </c>
      <c r="F48" s="205" t="s">
        <v>271</v>
      </c>
      <c r="G48" s="205" t="s">
        <v>271</v>
      </c>
      <c r="H48" s="205">
        <v>1.10702508E8</v>
      </c>
      <c r="I48" s="205" t="s">
        <v>272</v>
      </c>
      <c r="K48" s="205" t="s">
        <v>485</v>
      </c>
      <c r="L48" s="205" t="s">
        <v>268</v>
      </c>
      <c r="P48" s="205" t="s">
        <v>483</v>
      </c>
      <c r="Q48" s="205" t="s">
        <v>486</v>
      </c>
      <c r="R48" s="205" t="s">
        <v>487</v>
      </c>
      <c r="T48" s="205" t="s">
        <v>271</v>
      </c>
      <c r="V48" s="205">
        <v>7890.0</v>
      </c>
      <c r="W48" s="205">
        <v>6990.0</v>
      </c>
      <c r="X48" s="205" t="s">
        <v>298</v>
      </c>
      <c r="Y48" s="205">
        <v>45.0</v>
      </c>
      <c r="Z48" s="205">
        <v>100.0</v>
      </c>
      <c r="AA48" s="205">
        <v>100.0</v>
      </c>
      <c r="AB48" s="205">
        <v>100.0</v>
      </c>
      <c r="AC48" s="205" t="s">
        <v>299</v>
      </c>
      <c r="AD48" s="205" t="s">
        <v>488</v>
      </c>
      <c r="AH48" s="205" t="s">
        <v>489</v>
      </c>
      <c r="AI48" s="205" t="s">
        <v>490</v>
      </c>
      <c r="AJ48" s="205" t="s">
        <v>491</v>
      </c>
      <c r="AK48" s="205" t="s">
        <v>492</v>
      </c>
    </row>
    <row r="49" ht="17.25" hidden="1" customHeight="1">
      <c r="A49" s="205" t="s">
        <v>493</v>
      </c>
      <c r="B49" s="205">
        <v>0.0</v>
      </c>
      <c r="C49" s="205" t="s">
        <v>268</v>
      </c>
      <c r="D49" s="205" t="s">
        <v>269</v>
      </c>
      <c r="E49" s="205" t="s">
        <v>270</v>
      </c>
      <c r="F49" s="205" t="s">
        <v>271</v>
      </c>
      <c r="G49" s="205" t="s">
        <v>271</v>
      </c>
      <c r="H49" s="205">
        <v>1.10702759E8</v>
      </c>
      <c r="I49" s="205" t="s">
        <v>272</v>
      </c>
      <c r="K49" s="205" t="s">
        <v>494</v>
      </c>
      <c r="L49" s="205" t="s">
        <v>268</v>
      </c>
      <c r="P49" s="205" t="s">
        <v>493</v>
      </c>
      <c r="Q49" s="205" t="s">
        <v>486</v>
      </c>
      <c r="R49" s="205" t="s">
        <v>487</v>
      </c>
      <c r="T49" s="205" t="s">
        <v>271</v>
      </c>
      <c r="V49" s="205">
        <v>9989.0</v>
      </c>
      <c r="W49" s="205">
        <v>9899.0</v>
      </c>
      <c r="X49" s="205" t="s">
        <v>298</v>
      </c>
      <c r="Y49" s="205">
        <v>54.0</v>
      </c>
      <c r="Z49" s="205">
        <v>100.0</v>
      </c>
      <c r="AA49" s="205">
        <v>100.0</v>
      </c>
      <c r="AB49" s="205">
        <v>100.0</v>
      </c>
      <c r="AC49" s="205" t="s">
        <v>299</v>
      </c>
      <c r="AD49" s="205" t="s">
        <v>488</v>
      </c>
      <c r="AH49" s="205" t="s">
        <v>495</v>
      </c>
      <c r="AI49" s="205" t="s">
        <v>496</v>
      </c>
      <c r="AJ49" s="205" t="s">
        <v>497</v>
      </c>
      <c r="AK49" s="205" t="s">
        <v>498</v>
      </c>
      <c r="AL49" s="205" t="s">
        <v>499</v>
      </c>
    </row>
    <row r="50" ht="17.25" hidden="1" customHeight="1">
      <c r="A50" s="205" t="s">
        <v>500</v>
      </c>
      <c r="B50" s="205">
        <v>0.0</v>
      </c>
      <c r="C50" s="205" t="s">
        <v>268</v>
      </c>
      <c r="D50" s="205" t="s">
        <v>484</v>
      </c>
      <c r="E50" s="205" t="s">
        <v>270</v>
      </c>
      <c r="F50" s="205" t="s">
        <v>271</v>
      </c>
      <c r="G50" s="205" t="s">
        <v>271</v>
      </c>
      <c r="H50" s="205">
        <v>1.10703617E8</v>
      </c>
      <c r="I50" s="205" t="s">
        <v>272</v>
      </c>
      <c r="K50" s="205" t="s">
        <v>501</v>
      </c>
      <c r="L50" s="205" t="s">
        <v>268</v>
      </c>
      <c r="P50" s="205" t="s">
        <v>500</v>
      </c>
      <c r="Q50" s="205" t="s">
        <v>486</v>
      </c>
      <c r="R50" s="205" t="s">
        <v>502</v>
      </c>
      <c r="T50" s="205" t="s">
        <v>271</v>
      </c>
      <c r="V50" s="205">
        <v>5499.0</v>
      </c>
      <c r="W50" s="205">
        <v>5299.0</v>
      </c>
      <c r="X50" s="205" t="s">
        <v>298</v>
      </c>
      <c r="Y50" s="205">
        <v>24.0</v>
      </c>
      <c r="Z50" s="205">
        <v>100.0</v>
      </c>
      <c r="AA50" s="205">
        <v>50.0</v>
      </c>
      <c r="AB50" s="205">
        <v>50.0</v>
      </c>
      <c r="AC50" s="205" t="s">
        <v>299</v>
      </c>
      <c r="AD50" s="205" t="s">
        <v>300</v>
      </c>
      <c r="AH50" s="205" t="s">
        <v>503</v>
      </c>
    </row>
    <row r="51" ht="17.25" hidden="1" customHeight="1">
      <c r="A51" s="205" t="s">
        <v>504</v>
      </c>
      <c r="B51" s="205">
        <v>0.0</v>
      </c>
      <c r="C51" s="205" t="s">
        <v>268</v>
      </c>
      <c r="D51" s="205" t="s">
        <v>295</v>
      </c>
      <c r="E51" s="205" t="s">
        <v>270</v>
      </c>
      <c r="F51" s="205" t="s">
        <v>271</v>
      </c>
      <c r="G51" s="205" t="s">
        <v>271</v>
      </c>
      <c r="H51" s="205">
        <v>1.11262879E8</v>
      </c>
      <c r="I51" s="205" t="s">
        <v>272</v>
      </c>
      <c r="K51" s="205" t="s">
        <v>505</v>
      </c>
      <c r="L51" s="205" t="s">
        <v>268</v>
      </c>
      <c r="R51" s="205" t="s">
        <v>506</v>
      </c>
      <c r="T51" s="205" t="s">
        <v>271</v>
      </c>
      <c r="V51" s="205">
        <v>590.0</v>
      </c>
      <c r="W51" s="205">
        <v>572.0</v>
      </c>
      <c r="X51" s="205" t="s">
        <v>507</v>
      </c>
      <c r="Y51" s="205">
        <v>2.0</v>
      </c>
      <c r="Z51" s="205">
        <v>45.0</v>
      </c>
      <c r="AA51" s="205">
        <v>45.0</v>
      </c>
      <c r="AB51" s="205">
        <v>45.0</v>
      </c>
      <c r="AC51" s="205" t="s">
        <v>299</v>
      </c>
      <c r="AH51" s="205" t="s">
        <v>508</v>
      </c>
      <c r="AI51" s="205" t="s">
        <v>509</v>
      </c>
      <c r="AJ51" s="205" t="s">
        <v>510</v>
      </c>
      <c r="AK51" s="205" t="s">
        <v>511</v>
      </c>
      <c r="AL51" s="205" t="s">
        <v>512</v>
      </c>
    </row>
    <row r="52" ht="17.25" hidden="1" customHeight="1">
      <c r="B52" s="205">
        <v>0.0</v>
      </c>
      <c r="C52" s="205" t="s">
        <v>271</v>
      </c>
      <c r="D52" s="205" t="s">
        <v>269</v>
      </c>
      <c r="E52" s="205" t="s">
        <v>513</v>
      </c>
      <c r="F52" s="205" t="s">
        <v>271</v>
      </c>
      <c r="G52" s="205" t="s">
        <v>271</v>
      </c>
      <c r="H52" s="205">
        <v>1.11851516E8</v>
      </c>
      <c r="I52" s="205" t="s">
        <v>272</v>
      </c>
      <c r="K52" s="205" t="s">
        <v>514</v>
      </c>
      <c r="L52" s="205" t="s">
        <v>271</v>
      </c>
      <c r="T52" s="205" t="s">
        <v>271</v>
      </c>
      <c r="AH52" s="205" t="s">
        <v>515</v>
      </c>
      <c r="AI52" s="205" t="s">
        <v>516</v>
      </c>
      <c r="AJ52" s="205" t="s">
        <v>517</v>
      </c>
      <c r="AK52" s="205" t="s">
        <v>518</v>
      </c>
      <c r="AL52" s="205" t="s">
        <v>519</v>
      </c>
    </row>
    <row r="53" ht="17.25" hidden="1" customHeight="1">
      <c r="A53" s="205" t="s">
        <v>520</v>
      </c>
      <c r="B53" s="205">
        <v>0.0</v>
      </c>
      <c r="C53" s="205" t="s">
        <v>268</v>
      </c>
      <c r="D53" s="205" t="s">
        <v>386</v>
      </c>
      <c r="E53" s="205" t="s">
        <v>270</v>
      </c>
      <c r="F53" s="205" t="s">
        <v>271</v>
      </c>
      <c r="G53" s="205" t="s">
        <v>271</v>
      </c>
      <c r="H53" s="205">
        <v>1.14585057E8</v>
      </c>
      <c r="I53" s="205" t="s">
        <v>272</v>
      </c>
      <c r="K53" s="205" t="s">
        <v>521</v>
      </c>
      <c r="L53" s="205" t="s">
        <v>268</v>
      </c>
      <c r="R53" s="205" t="s">
        <v>522</v>
      </c>
      <c r="T53" s="205" t="s">
        <v>271</v>
      </c>
      <c r="V53" s="205">
        <v>5700.0</v>
      </c>
      <c r="X53" s="205" t="s">
        <v>507</v>
      </c>
      <c r="Y53" s="205">
        <v>5.0</v>
      </c>
      <c r="AC53" s="205" t="s">
        <v>299</v>
      </c>
      <c r="AD53" s="205" t="s">
        <v>488</v>
      </c>
      <c r="AH53" s="205" t="s">
        <v>523</v>
      </c>
    </row>
    <row r="54" ht="17.25" hidden="1" customHeight="1">
      <c r="A54" s="205" t="s">
        <v>524</v>
      </c>
      <c r="B54" s="205">
        <v>0.0</v>
      </c>
      <c r="C54" s="205" t="s">
        <v>268</v>
      </c>
      <c r="D54" s="205" t="s">
        <v>269</v>
      </c>
      <c r="E54" s="205" t="s">
        <v>270</v>
      </c>
      <c r="F54" s="205" t="s">
        <v>271</v>
      </c>
      <c r="G54" s="205" t="s">
        <v>268</v>
      </c>
      <c r="H54" s="205">
        <v>1.63749283E8</v>
      </c>
      <c r="I54" s="205" t="s">
        <v>272</v>
      </c>
      <c r="K54" s="205" t="s">
        <v>525</v>
      </c>
      <c r="L54" s="205" t="s">
        <v>268</v>
      </c>
      <c r="R54" s="205" t="s">
        <v>526</v>
      </c>
      <c r="T54" s="205" t="s">
        <v>271</v>
      </c>
      <c r="V54" s="205">
        <v>920.0</v>
      </c>
      <c r="W54" s="205">
        <v>799.0</v>
      </c>
      <c r="Y54" s="205">
        <v>4.0</v>
      </c>
      <c r="Z54" s="205">
        <v>45.0</v>
      </c>
      <c r="AA54" s="205">
        <v>45.0</v>
      </c>
      <c r="AB54" s="205">
        <v>45.0</v>
      </c>
      <c r="AH54" s="205" t="s">
        <v>527</v>
      </c>
      <c r="AI54" s="205" t="s">
        <v>528</v>
      </c>
      <c r="AJ54" s="205" t="s">
        <v>529</v>
      </c>
      <c r="AK54" s="205" t="s">
        <v>530</v>
      </c>
      <c r="AL54" s="205" t="s">
        <v>531</v>
      </c>
    </row>
    <row r="55" ht="17.25" hidden="1" customHeight="1">
      <c r="A55" s="205" t="s">
        <v>532</v>
      </c>
      <c r="B55" s="205">
        <v>0.0</v>
      </c>
      <c r="C55" s="205" t="s">
        <v>271</v>
      </c>
      <c r="D55" s="205" t="s">
        <v>533</v>
      </c>
      <c r="E55" s="205" t="s">
        <v>533</v>
      </c>
      <c r="F55" s="205" t="s">
        <v>271</v>
      </c>
      <c r="G55" s="205" t="s">
        <v>271</v>
      </c>
      <c r="H55" s="205">
        <v>2.57561416E8</v>
      </c>
      <c r="I55" s="205" t="s">
        <v>272</v>
      </c>
      <c r="K55" s="205" t="s">
        <v>534</v>
      </c>
      <c r="L55" s="205" t="s">
        <v>271</v>
      </c>
      <c r="P55" s="205" t="s">
        <v>532</v>
      </c>
      <c r="Q55" s="205" t="s">
        <v>535</v>
      </c>
      <c r="R55" s="205" t="s">
        <v>536</v>
      </c>
      <c r="T55" s="205" t="s">
        <v>271</v>
      </c>
      <c r="V55" s="205">
        <v>6755.0</v>
      </c>
      <c r="Y55" s="205">
        <v>16.0</v>
      </c>
      <c r="Z55" s="205">
        <v>25.0</v>
      </c>
      <c r="AA55" s="205">
        <v>25.0</v>
      </c>
      <c r="AB55" s="205">
        <v>25.0</v>
      </c>
      <c r="AH55" s="205" t="s">
        <v>537</v>
      </c>
      <c r="AI55" s="205" t="s">
        <v>538</v>
      </c>
      <c r="AJ55" s="205" t="s">
        <v>539</v>
      </c>
      <c r="AK55" s="205" t="s">
        <v>540</v>
      </c>
    </row>
    <row r="56" ht="17.25" hidden="1" customHeight="1">
      <c r="A56" s="205" t="s">
        <v>541</v>
      </c>
      <c r="B56" s="205">
        <v>0.0</v>
      </c>
      <c r="C56" s="205" t="s">
        <v>268</v>
      </c>
      <c r="D56" s="205" t="s">
        <v>269</v>
      </c>
      <c r="E56" s="205" t="s">
        <v>270</v>
      </c>
      <c r="F56" s="205" t="s">
        <v>271</v>
      </c>
      <c r="G56" s="205" t="s">
        <v>271</v>
      </c>
      <c r="H56" s="205">
        <v>2.5765744E8</v>
      </c>
      <c r="I56" s="205" t="s">
        <v>272</v>
      </c>
      <c r="K56" s="205" t="s">
        <v>542</v>
      </c>
      <c r="L56" s="205" t="s">
        <v>271</v>
      </c>
      <c r="P56" s="205" t="s">
        <v>543</v>
      </c>
      <c r="Q56" s="205" t="s">
        <v>544</v>
      </c>
      <c r="R56" s="205" t="s">
        <v>545</v>
      </c>
      <c r="T56" s="205" t="s">
        <v>271</v>
      </c>
      <c r="V56" s="205">
        <v>579.0</v>
      </c>
      <c r="W56" s="205">
        <v>439.0</v>
      </c>
      <c r="X56" s="205" t="s">
        <v>80</v>
      </c>
      <c r="Y56" s="205">
        <v>3.0</v>
      </c>
      <c r="Z56" s="205">
        <v>25.0</v>
      </c>
      <c r="AA56" s="205">
        <v>25.0</v>
      </c>
      <c r="AB56" s="205">
        <v>25.0</v>
      </c>
      <c r="AH56" s="205" t="s">
        <v>546</v>
      </c>
      <c r="AI56" s="205" t="s">
        <v>547</v>
      </c>
      <c r="AJ56" s="205" t="s">
        <v>548</v>
      </c>
      <c r="AK56" s="205" t="s">
        <v>549</v>
      </c>
      <c r="AL56" s="205" t="s">
        <v>550</v>
      </c>
    </row>
    <row r="57" ht="17.25" hidden="1" customHeight="1">
      <c r="A57" s="205" t="s">
        <v>551</v>
      </c>
      <c r="B57" s="205">
        <v>0.0</v>
      </c>
      <c r="C57" s="205" t="s">
        <v>268</v>
      </c>
      <c r="D57" s="205" t="s">
        <v>269</v>
      </c>
      <c r="E57" s="205" t="s">
        <v>270</v>
      </c>
      <c r="F57" s="205" t="s">
        <v>271</v>
      </c>
      <c r="G57" s="205" t="s">
        <v>271</v>
      </c>
      <c r="H57" s="205">
        <v>2.57657614E8</v>
      </c>
      <c r="I57" s="205" t="s">
        <v>272</v>
      </c>
      <c r="K57" s="205" t="s">
        <v>552</v>
      </c>
      <c r="L57" s="205" t="s">
        <v>271</v>
      </c>
      <c r="P57" s="205" t="s">
        <v>553</v>
      </c>
      <c r="Q57" s="205" t="s">
        <v>554</v>
      </c>
      <c r="R57" s="205" t="s">
        <v>555</v>
      </c>
      <c r="T57" s="205" t="s">
        <v>271</v>
      </c>
      <c r="V57" s="205">
        <v>579.0</v>
      </c>
      <c r="W57" s="205">
        <v>479.0</v>
      </c>
      <c r="X57" s="205" t="s">
        <v>80</v>
      </c>
      <c r="Y57" s="205">
        <v>5.0</v>
      </c>
      <c r="Z57" s="205">
        <v>20.0</v>
      </c>
      <c r="AA57" s="205">
        <v>20.0</v>
      </c>
      <c r="AB57" s="205">
        <v>20.0</v>
      </c>
      <c r="AH57" s="205" t="s">
        <v>556</v>
      </c>
      <c r="AI57" s="205" t="s">
        <v>557</v>
      </c>
      <c r="AJ57" s="205" t="s">
        <v>558</v>
      </c>
    </row>
    <row r="58" ht="17.25" hidden="1" customHeight="1">
      <c r="A58" s="205" t="s">
        <v>559</v>
      </c>
      <c r="B58" s="205">
        <v>0.0</v>
      </c>
      <c r="C58" s="205" t="s">
        <v>271</v>
      </c>
      <c r="D58" s="205" t="s">
        <v>386</v>
      </c>
      <c r="E58" s="205" t="s">
        <v>386</v>
      </c>
      <c r="F58" s="205" t="s">
        <v>271</v>
      </c>
      <c r="G58" s="205" t="s">
        <v>271</v>
      </c>
      <c r="H58" s="205">
        <v>2.65348677E8</v>
      </c>
      <c r="I58" s="205" t="s">
        <v>272</v>
      </c>
      <c r="K58" s="205" t="s">
        <v>560</v>
      </c>
      <c r="L58" s="205" t="s">
        <v>271</v>
      </c>
      <c r="P58" s="205" t="s">
        <v>561</v>
      </c>
      <c r="R58" s="205" t="s">
        <v>562</v>
      </c>
      <c r="T58" s="205" t="s">
        <v>271</v>
      </c>
      <c r="V58" s="205">
        <v>750.0</v>
      </c>
      <c r="Y58" s="205">
        <v>2.0</v>
      </c>
      <c r="Z58" s="205">
        <v>30.0</v>
      </c>
      <c r="AA58" s="205">
        <v>25.0</v>
      </c>
      <c r="AB58" s="205">
        <v>25.0</v>
      </c>
      <c r="AH58" s="205" t="s">
        <v>563</v>
      </c>
    </row>
    <row r="59" ht="17.25" hidden="1" customHeight="1">
      <c r="A59" s="205" t="s">
        <v>559</v>
      </c>
      <c r="B59" s="205">
        <v>0.0</v>
      </c>
      <c r="C59" s="205" t="s">
        <v>271</v>
      </c>
      <c r="D59" s="205" t="s">
        <v>310</v>
      </c>
      <c r="E59" s="205" t="s">
        <v>310</v>
      </c>
      <c r="F59" s="205" t="s">
        <v>271</v>
      </c>
      <c r="G59" s="205" t="s">
        <v>271</v>
      </c>
      <c r="H59" s="205">
        <v>2.65349728E8</v>
      </c>
      <c r="I59" s="205" t="s">
        <v>272</v>
      </c>
      <c r="K59" s="205" t="s">
        <v>564</v>
      </c>
      <c r="L59" s="205" t="s">
        <v>271</v>
      </c>
      <c r="P59" s="205" t="s">
        <v>565</v>
      </c>
      <c r="R59" s="205" t="s">
        <v>566</v>
      </c>
      <c r="T59" s="205" t="s">
        <v>271</v>
      </c>
      <c r="V59" s="205">
        <v>900.0</v>
      </c>
      <c r="Y59" s="205">
        <v>2.0</v>
      </c>
      <c r="Z59" s="205">
        <v>30.0</v>
      </c>
      <c r="AA59" s="205">
        <v>25.0</v>
      </c>
      <c r="AB59" s="205">
        <v>25.0</v>
      </c>
      <c r="AH59" s="205" t="s">
        <v>567</v>
      </c>
    </row>
    <row r="60" ht="17.25" hidden="1" customHeight="1">
      <c r="B60" s="205">
        <v>0.0</v>
      </c>
      <c r="C60" s="205" t="s">
        <v>271</v>
      </c>
      <c r="D60" s="205" t="s">
        <v>310</v>
      </c>
      <c r="E60" s="205" t="s">
        <v>310</v>
      </c>
      <c r="F60" s="205" t="s">
        <v>271</v>
      </c>
      <c r="G60" s="205" t="s">
        <v>271</v>
      </c>
      <c r="H60" s="205">
        <v>1.11212033E8</v>
      </c>
      <c r="I60" s="205" t="s">
        <v>311</v>
      </c>
      <c r="J60" s="205" t="s">
        <v>568</v>
      </c>
      <c r="K60" s="205" t="s">
        <v>569</v>
      </c>
      <c r="L60" s="205" t="s">
        <v>271</v>
      </c>
      <c r="T60" s="205" t="s">
        <v>271</v>
      </c>
      <c r="V60" s="205">
        <v>1299.0</v>
      </c>
      <c r="W60" s="205">
        <v>1179.0</v>
      </c>
      <c r="Y60" s="205">
        <v>5.0</v>
      </c>
      <c r="Z60" s="205">
        <v>45.0</v>
      </c>
      <c r="AA60" s="205">
        <v>45.0</v>
      </c>
      <c r="AB60" s="205">
        <v>45.0</v>
      </c>
      <c r="AN60" s="205" t="s">
        <v>357</v>
      </c>
    </row>
    <row r="61" ht="17.25" customHeight="1">
      <c r="A61" s="204" t="s">
        <v>570</v>
      </c>
      <c r="B61" s="205">
        <v>0.0</v>
      </c>
      <c r="C61" s="205" t="s">
        <v>271</v>
      </c>
      <c r="D61" s="205" t="s">
        <v>310</v>
      </c>
      <c r="E61" s="205" t="s">
        <v>310</v>
      </c>
      <c r="F61" s="205" t="s">
        <v>268</v>
      </c>
      <c r="G61" s="205" t="s">
        <v>271</v>
      </c>
      <c r="H61" s="205">
        <v>3.5763128E7</v>
      </c>
      <c r="I61" s="205" t="s">
        <v>272</v>
      </c>
      <c r="K61" s="205" t="s">
        <v>571</v>
      </c>
      <c r="L61" s="205" t="s">
        <v>268</v>
      </c>
      <c r="P61" s="205" t="s">
        <v>570</v>
      </c>
      <c r="Q61" s="205" t="s">
        <v>572</v>
      </c>
      <c r="R61" s="205" t="s">
        <v>573</v>
      </c>
      <c r="S61" s="205" t="s">
        <v>402</v>
      </c>
      <c r="T61" s="205" t="s">
        <v>271</v>
      </c>
      <c r="V61" s="205">
        <v>985.0</v>
      </c>
      <c r="W61" s="205">
        <v>915.0</v>
      </c>
      <c r="X61" s="205" t="s">
        <v>389</v>
      </c>
      <c r="Y61" s="205">
        <v>3.0</v>
      </c>
      <c r="Z61" s="205">
        <v>5.0</v>
      </c>
      <c r="AA61" s="205">
        <v>30.0</v>
      </c>
      <c r="AB61" s="205">
        <v>22.0</v>
      </c>
      <c r="AC61" s="205" t="s">
        <v>403</v>
      </c>
      <c r="AH61" s="205" t="s">
        <v>574</v>
      </c>
      <c r="AI61" s="205" t="s">
        <v>575</v>
      </c>
      <c r="AJ61" s="205" t="s">
        <v>576</v>
      </c>
      <c r="AK61" s="205" t="s">
        <v>577</v>
      </c>
      <c r="AL61" s="205" t="s">
        <v>578</v>
      </c>
    </row>
    <row r="62" ht="17.25" customHeight="1">
      <c r="A62" s="204" t="s">
        <v>579</v>
      </c>
      <c r="B62" s="205">
        <v>0.0</v>
      </c>
      <c r="C62" s="205" t="s">
        <v>271</v>
      </c>
      <c r="D62" s="205" t="s">
        <v>310</v>
      </c>
      <c r="E62" s="205" t="s">
        <v>310</v>
      </c>
      <c r="F62" s="205" t="s">
        <v>268</v>
      </c>
      <c r="G62" s="205" t="s">
        <v>271</v>
      </c>
      <c r="H62" s="205">
        <v>3.5763451E7</v>
      </c>
      <c r="I62" s="205" t="s">
        <v>272</v>
      </c>
      <c r="K62" s="205" t="s">
        <v>580</v>
      </c>
      <c r="L62" s="205" t="s">
        <v>268</v>
      </c>
      <c r="P62" s="205" t="s">
        <v>579</v>
      </c>
      <c r="Q62" s="205" t="s">
        <v>581</v>
      </c>
      <c r="R62" s="205" t="s">
        <v>582</v>
      </c>
      <c r="S62" s="205" t="s">
        <v>402</v>
      </c>
      <c r="T62" s="205" t="s">
        <v>271</v>
      </c>
      <c r="V62" s="205">
        <v>1570.0</v>
      </c>
      <c r="W62" s="205">
        <v>1459.0</v>
      </c>
      <c r="X62" s="205" t="s">
        <v>389</v>
      </c>
      <c r="Y62" s="205">
        <v>4.0</v>
      </c>
      <c r="Z62" s="205">
        <v>12.0</v>
      </c>
      <c r="AA62" s="205">
        <v>50.0</v>
      </c>
      <c r="AB62" s="205">
        <v>35.0</v>
      </c>
      <c r="AC62" s="205" t="s">
        <v>403</v>
      </c>
      <c r="AH62" s="205" t="s">
        <v>583</v>
      </c>
      <c r="AI62" s="205" t="s">
        <v>584</v>
      </c>
      <c r="AJ62" s="205" t="s">
        <v>585</v>
      </c>
      <c r="AK62" s="205" t="s">
        <v>586</v>
      </c>
    </row>
    <row r="63" ht="17.25" customHeight="1">
      <c r="A63" s="204" t="s">
        <v>587</v>
      </c>
      <c r="B63" s="205">
        <v>0.0</v>
      </c>
      <c r="C63" s="205" t="s">
        <v>271</v>
      </c>
      <c r="D63" s="205" t="s">
        <v>310</v>
      </c>
      <c r="E63" s="205" t="s">
        <v>310</v>
      </c>
      <c r="F63" s="205" t="s">
        <v>268</v>
      </c>
      <c r="G63" s="205" t="s">
        <v>271</v>
      </c>
      <c r="H63" s="205">
        <v>3.5763775E7</v>
      </c>
      <c r="I63" s="205" t="s">
        <v>272</v>
      </c>
      <c r="K63" s="205" t="s">
        <v>588</v>
      </c>
      <c r="L63" s="205" t="s">
        <v>268</v>
      </c>
      <c r="P63" s="205" t="s">
        <v>587</v>
      </c>
      <c r="Q63" s="205" t="s">
        <v>589</v>
      </c>
      <c r="R63" s="205" t="s">
        <v>590</v>
      </c>
      <c r="S63" s="205" t="s">
        <v>402</v>
      </c>
      <c r="T63" s="205" t="s">
        <v>271</v>
      </c>
      <c r="V63" s="205">
        <v>2210.0</v>
      </c>
      <c r="X63" s="205" t="s">
        <v>389</v>
      </c>
      <c r="Y63" s="205">
        <v>6.0</v>
      </c>
      <c r="Z63" s="205">
        <v>7.0</v>
      </c>
      <c r="AA63" s="205">
        <v>50.0</v>
      </c>
      <c r="AB63" s="205">
        <v>30.0</v>
      </c>
      <c r="AC63" s="205" t="s">
        <v>403</v>
      </c>
      <c r="AH63" s="205" t="s">
        <v>591</v>
      </c>
      <c r="AI63" s="205" t="s">
        <v>592</v>
      </c>
      <c r="AJ63" s="205" t="s">
        <v>593</v>
      </c>
      <c r="AK63" s="205" t="s">
        <v>594</v>
      </c>
    </row>
    <row r="64" ht="17.25" customHeight="1">
      <c r="A64" s="204" t="s">
        <v>595</v>
      </c>
      <c r="B64" s="205">
        <v>0.0</v>
      </c>
      <c r="C64" s="205" t="s">
        <v>271</v>
      </c>
      <c r="D64" s="205" t="s">
        <v>310</v>
      </c>
      <c r="E64" s="205" t="s">
        <v>310</v>
      </c>
      <c r="F64" s="205" t="s">
        <v>268</v>
      </c>
      <c r="G64" s="205" t="s">
        <v>271</v>
      </c>
      <c r="H64" s="205">
        <v>3.5764554E7</v>
      </c>
      <c r="I64" s="205" t="s">
        <v>272</v>
      </c>
      <c r="K64" s="205" t="s">
        <v>596</v>
      </c>
      <c r="L64" s="205" t="s">
        <v>268</v>
      </c>
      <c r="P64" s="205" t="s">
        <v>597</v>
      </c>
      <c r="Q64" s="205" t="s">
        <v>598</v>
      </c>
      <c r="R64" s="205" t="s">
        <v>599</v>
      </c>
      <c r="T64" s="205" t="s">
        <v>271</v>
      </c>
      <c r="V64" s="205">
        <v>985.0</v>
      </c>
      <c r="W64" s="205">
        <v>909.0</v>
      </c>
      <c r="X64" s="205" t="s">
        <v>389</v>
      </c>
      <c r="Y64" s="205">
        <v>2.0</v>
      </c>
      <c r="Z64" s="205">
        <v>8.0</v>
      </c>
      <c r="AA64" s="205">
        <v>40.0</v>
      </c>
      <c r="AB64" s="205">
        <v>30.0</v>
      </c>
      <c r="AC64" s="205" t="s">
        <v>403</v>
      </c>
      <c r="AH64" s="205" t="s">
        <v>600</v>
      </c>
      <c r="AI64" s="205" t="s">
        <v>601</v>
      </c>
      <c r="AJ64" s="205" t="s">
        <v>602</v>
      </c>
      <c r="AK64" s="205" t="s">
        <v>603</v>
      </c>
      <c r="AL64" s="205" t="s">
        <v>604</v>
      </c>
    </row>
    <row r="65" ht="17.25" customHeight="1">
      <c r="A65" s="204" t="s">
        <v>605</v>
      </c>
      <c r="B65" s="205">
        <v>0.0</v>
      </c>
      <c r="C65" s="205" t="s">
        <v>271</v>
      </c>
      <c r="D65" s="205" t="s">
        <v>310</v>
      </c>
      <c r="E65" s="205" t="s">
        <v>310</v>
      </c>
      <c r="F65" s="205" t="s">
        <v>268</v>
      </c>
      <c r="G65" s="205" t="s">
        <v>271</v>
      </c>
      <c r="H65" s="205">
        <v>3.5764709E7</v>
      </c>
      <c r="I65" s="205" t="s">
        <v>272</v>
      </c>
      <c r="K65" s="205" t="s">
        <v>606</v>
      </c>
      <c r="L65" s="205" t="s">
        <v>268</v>
      </c>
      <c r="P65" s="205" t="s">
        <v>605</v>
      </c>
      <c r="Q65" s="205" t="s">
        <v>607</v>
      </c>
      <c r="R65" s="205" t="s">
        <v>608</v>
      </c>
      <c r="T65" s="205" t="s">
        <v>271</v>
      </c>
      <c r="V65" s="205">
        <v>1325.0</v>
      </c>
      <c r="W65" s="205">
        <v>1229.0</v>
      </c>
      <c r="X65" s="205" t="s">
        <v>389</v>
      </c>
      <c r="Y65" s="205">
        <v>4.0</v>
      </c>
      <c r="Z65" s="205">
        <v>8.0</v>
      </c>
      <c r="AA65" s="205">
        <v>50.0</v>
      </c>
      <c r="AB65" s="205">
        <v>35.0</v>
      </c>
      <c r="AC65" s="205" t="s">
        <v>403</v>
      </c>
      <c r="AH65" s="205" t="s">
        <v>609</v>
      </c>
      <c r="AI65" s="205" t="s">
        <v>610</v>
      </c>
      <c r="AJ65" s="205" t="s">
        <v>611</v>
      </c>
      <c r="AK65" s="205" t="s">
        <v>612</v>
      </c>
    </row>
    <row r="66" ht="17.25" customHeight="1">
      <c r="A66" s="204" t="s">
        <v>613</v>
      </c>
      <c r="B66" s="205">
        <v>0.0</v>
      </c>
      <c r="C66" s="205" t="s">
        <v>271</v>
      </c>
      <c r="D66" s="205" t="s">
        <v>310</v>
      </c>
      <c r="E66" s="205" t="s">
        <v>310</v>
      </c>
      <c r="F66" s="205" t="s">
        <v>268</v>
      </c>
      <c r="G66" s="205" t="s">
        <v>271</v>
      </c>
      <c r="H66" s="205">
        <v>3.5764863E7</v>
      </c>
      <c r="I66" s="205" t="s">
        <v>272</v>
      </c>
      <c r="K66" s="205" t="s">
        <v>614</v>
      </c>
      <c r="L66" s="205" t="s">
        <v>268</v>
      </c>
      <c r="P66" s="205" t="s">
        <v>613</v>
      </c>
      <c r="Q66" s="205" t="s">
        <v>615</v>
      </c>
      <c r="R66" s="205" t="s">
        <v>616</v>
      </c>
      <c r="S66" s="205" t="s">
        <v>402</v>
      </c>
      <c r="T66" s="205" t="s">
        <v>271</v>
      </c>
      <c r="V66" s="205">
        <v>1570.0</v>
      </c>
      <c r="W66" s="205">
        <v>1459.0</v>
      </c>
      <c r="X66" s="205" t="s">
        <v>389</v>
      </c>
      <c r="Y66" s="205">
        <v>4.0</v>
      </c>
      <c r="Z66" s="205">
        <v>8.0</v>
      </c>
      <c r="AA66" s="205">
        <v>50.0</v>
      </c>
      <c r="AB66" s="205">
        <v>35.0</v>
      </c>
      <c r="AC66" s="205" t="s">
        <v>403</v>
      </c>
      <c r="AH66" s="205" t="s">
        <v>617</v>
      </c>
      <c r="AI66" s="205" t="s">
        <v>618</v>
      </c>
      <c r="AJ66" s="205" t="s">
        <v>619</v>
      </c>
      <c r="AK66" s="205" t="s">
        <v>620</v>
      </c>
    </row>
    <row r="67" ht="17.25" customHeight="1">
      <c r="A67" s="204" t="s">
        <v>621</v>
      </c>
      <c r="B67" s="205">
        <v>0.0</v>
      </c>
      <c r="C67" s="205" t="s">
        <v>271</v>
      </c>
      <c r="D67" s="205" t="s">
        <v>310</v>
      </c>
      <c r="E67" s="205" t="s">
        <v>310</v>
      </c>
      <c r="F67" s="205" t="s">
        <v>268</v>
      </c>
      <c r="G67" s="205" t="s">
        <v>271</v>
      </c>
      <c r="H67" s="205">
        <v>3.5765421E7</v>
      </c>
      <c r="I67" s="205" t="s">
        <v>272</v>
      </c>
      <c r="K67" s="205" t="s">
        <v>622</v>
      </c>
      <c r="L67" s="205" t="s">
        <v>268</v>
      </c>
      <c r="P67" s="205" t="s">
        <v>621</v>
      </c>
      <c r="Q67" s="205" t="s">
        <v>623</v>
      </c>
      <c r="R67" s="205" t="s">
        <v>624</v>
      </c>
      <c r="S67" s="205" t="s">
        <v>402</v>
      </c>
      <c r="T67" s="205" t="s">
        <v>271</v>
      </c>
      <c r="V67" s="205">
        <v>3375.0</v>
      </c>
      <c r="X67" s="205" t="s">
        <v>389</v>
      </c>
      <c r="Y67" s="205">
        <v>10.0</v>
      </c>
      <c r="Z67" s="205">
        <v>8.0</v>
      </c>
      <c r="AA67" s="205">
        <v>50.0</v>
      </c>
      <c r="AB67" s="205">
        <v>30.0</v>
      </c>
      <c r="AC67" s="205" t="s">
        <v>403</v>
      </c>
      <c r="AH67" s="205" t="s">
        <v>625</v>
      </c>
      <c r="AI67" s="205" t="s">
        <v>626</v>
      </c>
      <c r="AJ67" s="205" t="s">
        <v>627</v>
      </c>
      <c r="AK67" s="205" t="s">
        <v>628</v>
      </c>
    </row>
    <row r="68" ht="17.25" customHeight="1">
      <c r="A68" s="204" t="s">
        <v>629</v>
      </c>
      <c r="B68" s="205">
        <v>0.0</v>
      </c>
      <c r="C68" s="205" t="s">
        <v>271</v>
      </c>
      <c r="D68" s="205" t="s">
        <v>310</v>
      </c>
      <c r="E68" s="205" t="s">
        <v>310</v>
      </c>
      <c r="F68" s="205" t="s">
        <v>268</v>
      </c>
      <c r="G68" s="205" t="s">
        <v>271</v>
      </c>
      <c r="H68" s="205">
        <v>3.5765658E7</v>
      </c>
      <c r="I68" s="205" t="s">
        <v>272</v>
      </c>
      <c r="K68" s="205" t="s">
        <v>630</v>
      </c>
      <c r="L68" s="205" t="s">
        <v>268</v>
      </c>
      <c r="P68" s="205" t="s">
        <v>629</v>
      </c>
      <c r="Q68" s="205" t="s">
        <v>631</v>
      </c>
      <c r="R68" s="205" t="s">
        <v>632</v>
      </c>
      <c r="S68" s="205" t="s">
        <v>402</v>
      </c>
      <c r="T68" s="205" t="s">
        <v>271</v>
      </c>
      <c r="V68" s="205">
        <v>2285.0</v>
      </c>
      <c r="W68" s="205">
        <v>2129.0</v>
      </c>
      <c r="X68" s="205" t="s">
        <v>389</v>
      </c>
      <c r="Y68" s="205">
        <v>9.0</v>
      </c>
      <c r="Z68" s="205">
        <v>15.0</v>
      </c>
      <c r="AA68" s="205">
        <v>50.0</v>
      </c>
      <c r="AB68" s="205">
        <v>35.0</v>
      </c>
      <c r="AC68" s="205" t="s">
        <v>403</v>
      </c>
      <c r="AH68" s="205" t="s">
        <v>633</v>
      </c>
      <c r="AI68" s="205" t="s">
        <v>634</v>
      </c>
      <c r="AJ68" s="205" t="s">
        <v>635</v>
      </c>
      <c r="AK68" s="205" t="s">
        <v>636</v>
      </c>
    </row>
    <row r="69" ht="17.25" customHeight="1">
      <c r="A69" s="204" t="s">
        <v>637</v>
      </c>
      <c r="B69" s="205">
        <v>0.0</v>
      </c>
      <c r="C69" s="205" t="s">
        <v>271</v>
      </c>
      <c r="D69" s="205" t="s">
        <v>310</v>
      </c>
      <c r="E69" s="205" t="s">
        <v>310</v>
      </c>
      <c r="F69" s="205" t="s">
        <v>268</v>
      </c>
      <c r="G69" s="205" t="s">
        <v>271</v>
      </c>
      <c r="H69" s="205">
        <v>3.5765863E7</v>
      </c>
      <c r="I69" s="205" t="s">
        <v>272</v>
      </c>
      <c r="K69" s="205" t="s">
        <v>638</v>
      </c>
      <c r="L69" s="205" t="s">
        <v>268</v>
      </c>
      <c r="P69" s="205" t="s">
        <v>637</v>
      </c>
      <c r="Q69" s="205" t="s">
        <v>639</v>
      </c>
      <c r="R69" s="205" t="s">
        <v>640</v>
      </c>
      <c r="S69" s="205" t="s">
        <v>402</v>
      </c>
      <c r="T69" s="205" t="s">
        <v>271</v>
      </c>
      <c r="V69" s="205">
        <v>2700.0</v>
      </c>
      <c r="W69" s="205">
        <v>2609.0</v>
      </c>
      <c r="X69" s="205" t="s">
        <v>389</v>
      </c>
      <c r="Y69" s="205">
        <v>10.0</v>
      </c>
      <c r="Z69" s="205">
        <v>8.0</v>
      </c>
      <c r="AA69" s="205">
        <v>50.0</v>
      </c>
      <c r="AB69" s="205">
        <v>35.0</v>
      </c>
      <c r="AC69" s="205" t="s">
        <v>403</v>
      </c>
      <c r="AH69" s="205" t="s">
        <v>641</v>
      </c>
      <c r="AI69" s="205" t="s">
        <v>642</v>
      </c>
      <c r="AJ69" s="205" t="s">
        <v>643</v>
      </c>
      <c r="AK69" s="205" t="s">
        <v>644</v>
      </c>
    </row>
    <row r="70" ht="17.25" customHeight="1">
      <c r="A70" s="204" t="s">
        <v>645</v>
      </c>
      <c r="B70" s="205">
        <v>0.0</v>
      </c>
      <c r="C70" s="205" t="s">
        <v>271</v>
      </c>
      <c r="D70" s="205" t="s">
        <v>310</v>
      </c>
      <c r="E70" s="205" t="s">
        <v>310</v>
      </c>
      <c r="F70" s="205" t="s">
        <v>268</v>
      </c>
      <c r="G70" s="205" t="s">
        <v>271</v>
      </c>
      <c r="H70" s="205">
        <v>3.5766231E7</v>
      </c>
      <c r="I70" s="205" t="s">
        <v>272</v>
      </c>
      <c r="K70" s="205" t="s">
        <v>646</v>
      </c>
      <c r="L70" s="205" t="s">
        <v>268</v>
      </c>
      <c r="P70" s="205" t="s">
        <v>645</v>
      </c>
      <c r="Q70" s="205" t="s">
        <v>647</v>
      </c>
      <c r="R70" s="205" t="s">
        <v>648</v>
      </c>
      <c r="S70" s="205" t="s">
        <v>402</v>
      </c>
      <c r="T70" s="205" t="s">
        <v>271</v>
      </c>
      <c r="V70" s="205">
        <v>2850.0</v>
      </c>
      <c r="W70" s="205">
        <v>2670.0</v>
      </c>
      <c r="X70" s="205" t="s">
        <v>389</v>
      </c>
      <c r="Y70" s="205">
        <v>10.0</v>
      </c>
      <c r="Z70" s="205">
        <v>8.0</v>
      </c>
      <c r="AA70" s="205">
        <v>50.0</v>
      </c>
      <c r="AB70" s="205">
        <v>35.0</v>
      </c>
      <c r="AC70" s="205" t="s">
        <v>403</v>
      </c>
      <c r="AH70" s="205" t="s">
        <v>649</v>
      </c>
      <c r="AI70" s="205" t="s">
        <v>650</v>
      </c>
      <c r="AJ70" s="205" t="s">
        <v>651</v>
      </c>
      <c r="AK70" s="205" t="s">
        <v>652</v>
      </c>
    </row>
    <row r="71" ht="17.25" customHeight="1">
      <c r="A71" s="204" t="s">
        <v>653</v>
      </c>
      <c r="B71" s="205">
        <v>0.0</v>
      </c>
      <c r="C71" s="205" t="s">
        <v>271</v>
      </c>
      <c r="D71" s="205" t="s">
        <v>310</v>
      </c>
      <c r="E71" s="205" t="s">
        <v>310</v>
      </c>
      <c r="F71" s="205" t="s">
        <v>268</v>
      </c>
      <c r="G71" s="205" t="s">
        <v>271</v>
      </c>
      <c r="H71" s="205">
        <v>5.4775006E7</v>
      </c>
      <c r="I71" s="205" t="s">
        <v>272</v>
      </c>
      <c r="K71" s="205" t="s">
        <v>654</v>
      </c>
      <c r="L71" s="205" t="s">
        <v>268</v>
      </c>
      <c r="R71" s="205" t="s">
        <v>655</v>
      </c>
      <c r="T71" s="205" t="s">
        <v>271</v>
      </c>
      <c r="V71" s="205">
        <v>3380.42</v>
      </c>
      <c r="X71" s="205" t="s">
        <v>656</v>
      </c>
      <c r="Y71" s="205">
        <v>18.5</v>
      </c>
      <c r="Z71" s="205">
        <v>40.0</v>
      </c>
      <c r="AA71" s="205">
        <v>40.0</v>
      </c>
      <c r="AB71" s="205">
        <v>40.0</v>
      </c>
      <c r="AC71" s="205" t="s">
        <v>299</v>
      </c>
      <c r="AD71" s="205" t="s">
        <v>300</v>
      </c>
      <c r="AE71" s="205" t="s">
        <v>657</v>
      </c>
      <c r="AH71" s="205" t="s">
        <v>658</v>
      </c>
      <c r="AI71" s="205" t="s">
        <v>659</v>
      </c>
      <c r="AJ71" s="205" t="s">
        <v>660</v>
      </c>
      <c r="AK71" s="205" t="s">
        <v>661</v>
      </c>
    </row>
    <row r="72" ht="17.25" customHeight="1">
      <c r="A72" s="204" t="s">
        <v>662</v>
      </c>
      <c r="B72" s="205">
        <v>0.0</v>
      </c>
      <c r="C72" s="205" t="s">
        <v>271</v>
      </c>
      <c r="D72" s="205" t="s">
        <v>310</v>
      </c>
      <c r="E72" s="205" t="s">
        <v>310</v>
      </c>
      <c r="F72" s="205" t="s">
        <v>268</v>
      </c>
      <c r="G72" s="205" t="s">
        <v>271</v>
      </c>
      <c r="H72" s="205">
        <v>6.0117212E7</v>
      </c>
      <c r="I72" s="205" t="s">
        <v>272</v>
      </c>
      <c r="K72" s="205" t="s">
        <v>663</v>
      </c>
      <c r="L72" s="205" t="s">
        <v>271</v>
      </c>
      <c r="R72" s="205" t="s">
        <v>664</v>
      </c>
      <c r="T72" s="205" t="s">
        <v>271</v>
      </c>
      <c r="V72" s="205">
        <v>3643.3</v>
      </c>
      <c r="X72" s="205" t="s">
        <v>656</v>
      </c>
      <c r="Y72" s="205">
        <v>4.5</v>
      </c>
      <c r="Z72" s="205">
        <v>50.0</v>
      </c>
      <c r="AA72" s="205">
        <v>50.0</v>
      </c>
      <c r="AB72" s="205">
        <v>50.0</v>
      </c>
      <c r="AC72" s="205" t="s">
        <v>299</v>
      </c>
      <c r="AD72" s="205" t="s">
        <v>300</v>
      </c>
      <c r="AH72" s="205" t="s">
        <v>665</v>
      </c>
      <c r="AI72" s="205" t="s">
        <v>666</v>
      </c>
      <c r="AJ72" s="205" t="s">
        <v>667</v>
      </c>
      <c r="AK72" s="205" t="s">
        <v>668</v>
      </c>
    </row>
    <row r="73" ht="17.25" customHeight="1">
      <c r="A73" s="204" t="s">
        <v>669</v>
      </c>
      <c r="B73" s="205">
        <v>0.0</v>
      </c>
      <c r="C73" s="205" t="s">
        <v>271</v>
      </c>
      <c r="D73" s="205" t="s">
        <v>310</v>
      </c>
      <c r="E73" s="205" t="s">
        <v>310</v>
      </c>
      <c r="F73" s="205" t="s">
        <v>268</v>
      </c>
      <c r="G73" s="205" t="s">
        <v>271</v>
      </c>
      <c r="H73" s="205">
        <v>1.10382067E8</v>
      </c>
      <c r="I73" s="205" t="s">
        <v>272</v>
      </c>
      <c r="K73" s="205" t="s">
        <v>670</v>
      </c>
      <c r="L73" s="205" t="s">
        <v>268</v>
      </c>
      <c r="P73" s="205" t="s">
        <v>669</v>
      </c>
      <c r="Q73" s="205" t="s">
        <v>671</v>
      </c>
      <c r="R73" s="205" t="s">
        <v>672</v>
      </c>
      <c r="S73" s="205" t="s">
        <v>402</v>
      </c>
      <c r="T73" s="205" t="s">
        <v>271</v>
      </c>
      <c r="V73" s="205">
        <v>1325.0</v>
      </c>
      <c r="W73" s="205">
        <v>1229.0</v>
      </c>
      <c r="X73" s="205" t="s">
        <v>389</v>
      </c>
      <c r="Y73" s="205">
        <v>4.0</v>
      </c>
      <c r="Z73" s="205">
        <v>7.0</v>
      </c>
      <c r="AA73" s="205">
        <v>44.0</v>
      </c>
      <c r="AB73" s="205">
        <v>28.0</v>
      </c>
      <c r="AC73" s="205" t="s">
        <v>403</v>
      </c>
      <c r="AH73" s="205" t="s">
        <v>673</v>
      </c>
      <c r="AI73" s="205" t="s">
        <v>674</v>
      </c>
    </row>
    <row r="74" ht="17.25" customHeight="1">
      <c r="A74" s="204" t="s">
        <v>675</v>
      </c>
      <c r="B74" s="205">
        <v>0.0</v>
      </c>
      <c r="C74" s="205" t="s">
        <v>271</v>
      </c>
      <c r="D74" s="205" t="s">
        <v>310</v>
      </c>
      <c r="E74" s="205" t="s">
        <v>310</v>
      </c>
      <c r="F74" s="205" t="s">
        <v>268</v>
      </c>
      <c r="G74" s="205" t="s">
        <v>271</v>
      </c>
      <c r="H74" s="205">
        <v>1.10394125E8</v>
      </c>
      <c r="I74" s="205" t="s">
        <v>272</v>
      </c>
      <c r="K74" s="205" t="s">
        <v>676</v>
      </c>
      <c r="L74" s="205" t="s">
        <v>268</v>
      </c>
      <c r="P74" s="205" t="s">
        <v>675</v>
      </c>
      <c r="Q74" s="205" t="s">
        <v>677</v>
      </c>
      <c r="R74" s="205" t="s">
        <v>678</v>
      </c>
      <c r="S74" s="205" t="s">
        <v>402</v>
      </c>
      <c r="T74" s="205" t="s">
        <v>271</v>
      </c>
      <c r="V74" s="205">
        <v>5325.0</v>
      </c>
      <c r="W74" s="205">
        <v>5125.0</v>
      </c>
      <c r="Y74" s="205">
        <v>10.0</v>
      </c>
      <c r="Z74" s="205">
        <v>5.0</v>
      </c>
      <c r="AA74" s="205">
        <v>43.0</v>
      </c>
      <c r="AB74" s="205">
        <v>32.0</v>
      </c>
      <c r="AC74" s="205" t="s">
        <v>403</v>
      </c>
      <c r="AH74" s="205" t="s">
        <v>679</v>
      </c>
      <c r="AI74" s="205" t="s">
        <v>680</v>
      </c>
      <c r="AJ74" s="205" t="s">
        <v>681</v>
      </c>
    </row>
    <row r="75" ht="17.25" customHeight="1">
      <c r="A75" s="204" t="s">
        <v>682</v>
      </c>
      <c r="B75" s="205">
        <v>0.0</v>
      </c>
      <c r="C75" s="205" t="s">
        <v>271</v>
      </c>
      <c r="D75" s="205" t="s">
        <v>310</v>
      </c>
      <c r="E75" s="205" t="s">
        <v>310</v>
      </c>
      <c r="F75" s="205" t="s">
        <v>268</v>
      </c>
      <c r="G75" s="205" t="s">
        <v>271</v>
      </c>
      <c r="H75" s="205">
        <v>1.10395089E8</v>
      </c>
      <c r="I75" s="205" t="s">
        <v>272</v>
      </c>
      <c r="K75" s="205" t="s">
        <v>683</v>
      </c>
      <c r="L75" s="205" t="s">
        <v>271</v>
      </c>
      <c r="P75" s="205" t="s">
        <v>684</v>
      </c>
      <c r="Q75" s="205" t="s">
        <v>685</v>
      </c>
      <c r="R75" s="205" t="s">
        <v>686</v>
      </c>
      <c r="T75" s="205" t="s">
        <v>271</v>
      </c>
      <c r="V75" s="205">
        <v>6755.0</v>
      </c>
      <c r="X75" s="205" t="s">
        <v>389</v>
      </c>
      <c r="Y75" s="205">
        <v>17.0</v>
      </c>
      <c r="Z75" s="205">
        <v>5.0</v>
      </c>
      <c r="AA75" s="205">
        <v>43.0</v>
      </c>
      <c r="AB75" s="205">
        <v>32.0</v>
      </c>
      <c r="AC75" s="205" t="s">
        <v>403</v>
      </c>
      <c r="AH75" s="205" t="s">
        <v>687</v>
      </c>
      <c r="AI75" s="205" t="s">
        <v>688</v>
      </c>
    </row>
    <row r="76" ht="17.25" customHeight="1">
      <c r="A76" s="204" t="s">
        <v>689</v>
      </c>
      <c r="B76" s="205">
        <v>0.0</v>
      </c>
      <c r="C76" s="205" t="s">
        <v>271</v>
      </c>
      <c r="D76" s="205" t="s">
        <v>310</v>
      </c>
      <c r="E76" s="205" t="s">
        <v>310</v>
      </c>
      <c r="F76" s="205" t="s">
        <v>268</v>
      </c>
      <c r="G76" s="205" t="s">
        <v>271</v>
      </c>
      <c r="H76" s="205">
        <v>1.10397436E8</v>
      </c>
      <c r="I76" s="205" t="s">
        <v>272</v>
      </c>
      <c r="K76" s="205" t="s">
        <v>690</v>
      </c>
      <c r="L76" s="205" t="s">
        <v>268</v>
      </c>
      <c r="P76" s="205" t="s">
        <v>689</v>
      </c>
      <c r="Q76" s="205" t="s">
        <v>691</v>
      </c>
      <c r="R76" s="205" t="s">
        <v>692</v>
      </c>
      <c r="S76" s="205" t="s">
        <v>402</v>
      </c>
      <c r="T76" s="205" t="s">
        <v>271</v>
      </c>
      <c r="V76" s="205">
        <v>5215.0</v>
      </c>
      <c r="W76" s="205">
        <v>5100.0</v>
      </c>
      <c r="X76" s="205" t="s">
        <v>389</v>
      </c>
      <c r="Y76" s="205">
        <v>17.0</v>
      </c>
      <c r="Z76" s="205">
        <v>10.0</v>
      </c>
      <c r="AA76" s="205">
        <v>45.0</v>
      </c>
      <c r="AB76" s="205">
        <v>35.0</v>
      </c>
      <c r="AC76" s="205" t="s">
        <v>403</v>
      </c>
      <c r="AH76" s="205" t="s">
        <v>693</v>
      </c>
      <c r="AI76" s="205" t="s">
        <v>694</v>
      </c>
    </row>
    <row r="77" ht="17.25" customHeight="1">
      <c r="A77" s="204" t="s">
        <v>695</v>
      </c>
      <c r="B77" s="205">
        <v>0.0</v>
      </c>
      <c r="C77" s="205" t="s">
        <v>271</v>
      </c>
      <c r="D77" s="205" t="s">
        <v>310</v>
      </c>
      <c r="E77" s="205" t="s">
        <v>310</v>
      </c>
      <c r="F77" s="205" t="s">
        <v>268</v>
      </c>
      <c r="G77" s="205" t="s">
        <v>271</v>
      </c>
      <c r="H77" s="205">
        <v>1.11259022E8</v>
      </c>
      <c r="I77" s="205" t="s">
        <v>272</v>
      </c>
      <c r="K77" s="205" t="s">
        <v>696</v>
      </c>
      <c r="L77" s="205" t="s">
        <v>268</v>
      </c>
      <c r="R77" s="205" t="s">
        <v>697</v>
      </c>
      <c r="T77" s="205" t="s">
        <v>271</v>
      </c>
      <c r="V77" s="205">
        <v>499.0</v>
      </c>
      <c r="W77" s="205">
        <v>479.0</v>
      </c>
      <c r="X77" s="205" t="s">
        <v>507</v>
      </c>
      <c r="Y77" s="205">
        <v>1.0</v>
      </c>
      <c r="Z77" s="205">
        <v>15.0</v>
      </c>
      <c r="AA77" s="205">
        <v>15.0</v>
      </c>
      <c r="AB77" s="205">
        <v>15.0</v>
      </c>
      <c r="AH77" s="205" t="s">
        <v>698</v>
      </c>
      <c r="AI77" s="205" t="s">
        <v>699</v>
      </c>
      <c r="AJ77" s="205" t="s">
        <v>700</v>
      </c>
      <c r="AK77" s="205" t="s">
        <v>701</v>
      </c>
    </row>
    <row r="78" ht="17.25" customHeight="1">
      <c r="A78" s="204" t="s">
        <v>702</v>
      </c>
      <c r="B78" s="205">
        <v>0.0</v>
      </c>
      <c r="C78" s="205" t="s">
        <v>271</v>
      </c>
      <c r="D78" s="205" t="s">
        <v>310</v>
      </c>
      <c r="E78" s="205" t="s">
        <v>310</v>
      </c>
      <c r="F78" s="205" t="s">
        <v>268</v>
      </c>
      <c r="G78" s="205" t="s">
        <v>271</v>
      </c>
      <c r="H78" s="205">
        <v>1.11259655E8</v>
      </c>
      <c r="I78" s="205" t="s">
        <v>272</v>
      </c>
      <c r="K78" s="205" t="s">
        <v>703</v>
      </c>
      <c r="L78" s="205" t="s">
        <v>271</v>
      </c>
      <c r="R78" s="205" t="s">
        <v>704</v>
      </c>
      <c r="T78" s="205" t="s">
        <v>271</v>
      </c>
      <c r="V78" s="205">
        <v>289.0</v>
      </c>
      <c r="W78" s="205">
        <v>249.0</v>
      </c>
      <c r="X78" s="205" t="s">
        <v>507</v>
      </c>
      <c r="Y78" s="205">
        <v>1.0</v>
      </c>
      <c r="AC78" s="205" t="s">
        <v>299</v>
      </c>
      <c r="AH78" s="205" t="s">
        <v>705</v>
      </c>
      <c r="AI78" s="205" t="s">
        <v>706</v>
      </c>
      <c r="AJ78" s="205" t="s">
        <v>707</v>
      </c>
      <c r="AK78" s="205" t="s">
        <v>708</v>
      </c>
    </row>
    <row r="79" ht="17.25" customHeight="1">
      <c r="A79" s="204" t="s">
        <v>709</v>
      </c>
      <c r="B79" s="205">
        <v>0.0</v>
      </c>
      <c r="C79" s="205" t="s">
        <v>271</v>
      </c>
      <c r="D79" s="205" t="s">
        <v>310</v>
      </c>
      <c r="E79" s="205" t="s">
        <v>310</v>
      </c>
      <c r="F79" s="205" t="s">
        <v>268</v>
      </c>
      <c r="G79" s="205" t="s">
        <v>271</v>
      </c>
      <c r="H79" s="205">
        <v>1.11262149E8</v>
      </c>
      <c r="I79" s="205" t="s">
        <v>272</v>
      </c>
      <c r="K79" s="205" t="s">
        <v>710</v>
      </c>
      <c r="L79" s="205" t="s">
        <v>268</v>
      </c>
      <c r="R79" s="205" t="s">
        <v>711</v>
      </c>
      <c r="T79" s="205" t="s">
        <v>271</v>
      </c>
      <c r="V79" s="205">
        <v>790.0</v>
      </c>
      <c r="W79" s="205">
        <v>744.0</v>
      </c>
      <c r="X79" s="205" t="s">
        <v>80</v>
      </c>
      <c r="Y79" s="205">
        <v>2.0</v>
      </c>
      <c r="Z79" s="205">
        <v>20.0</v>
      </c>
      <c r="AA79" s="205">
        <v>20.0</v>
      </c>
      <c r="AB79" s="205">
        <v>20.0</v>
      </c>
      <c r="AC79" s="205" t="s">
        <v>299</v>
      </c>
      <c r="AH79" s="205" t="s">
        <v>712</v>
      </c>
    </row>
    <row r="80" ht="17.25" customHeight="1">
      <c r="A80" s="204" t="s">
        <v>713</v>
      </c>
      <c r="B80" s="205">
        <v>0.0</v>
      </c>
      <c r="C80" s="205" t="s">
        <v>271</v>
      </c>
      <c r="D80" s="205" t="s">
        <v>310</v>
      </c>
      <c r="E80" s="205" t="s">
        <v>310</v>
      </c>
      <c r="F80" s="205" t="s">
        <v>268</v>
      </c>
      <c r="G80" s="205" t="s">
        <v>271</v>
      </c>
      <c r="H80" s="205">
        <v>1.11263336E8</v>
      </c>
      <c r="I80" s="205" t="s">
        <v>272</v>
      </c>
      <c r="K80" s="205" t="s">
        <v>714</v>
      </c>
      <c r="L80" s="205" t="s">
        <v>268</v>
      </c>
      <c r="R80" s="205" t="s">
        <v>715</v>
      </c>
      <c r="T80" s="205" t="s">
        <v>271</v>
      </c>
      <c r="V80" s="205">
        <v>669.9</v>
      </c>
      <c r="X80" s="205" t="s">
        <v>80</v>
      </c>
      <c r="Y80" s="205">
        <v>2.0</v>
      </c>
      <c r="Z80" s="205">
        <v>20.0</v>
      </c>
      <c r="AA80" s="205">
        <v>20.0</v>
      </c>
      <c r="AB80" s="205">
        <v>30.0</v>
      </c>
      <c r="AC80" s="205" t="s">
        <v>299</v>
      </c>
      <c r="AH80" s="205" t="s">
        <v>716</v>
      </c>
      <c r="AI80" s="205" t="s">
        <v>717</v>
      </c>
      <c r="AJ80" s="205" t="s">
        <v>718</v>
      </c>
    </row>
    <row r="81" ht="17.25" customHeight="1">
      <c r="A81" s="204" t="s">
        <v>719</v>
      </c>
      <c r="B81" s="205">
        <v>0.0</v>
      </c>
      <c r="C81" s="205" t="s">
        <v>271</v>
      </c>
      <c r="D81" s="205" t="s">
        <v>310</v>
      </c>
      <c r="E81" s="205" t="s">
        <v>310</v>
      </c>
      <c r="F81" s="205" t="s">
        <v>268</v>
      </c>
      <c r="G81" s="205" t="s">
        <v>271</v>
      </c>
      <c r="H81" s="205">
        <v>1.47089819E8</v>
      </c>
      <c r="I81" s="205" t="s">
        <v>272</v>
      </c>
      <c r="K81" s="205" t="s">
        <v>720</v>
      </c>
      <c r="L81" s="205" t="s">
        <v>271</v>
      </c>
      <c r="R81" s="205" t="s">
        <v>721</v>
      </c>
      <c r="T81" s="205" t="s">
        <v>271</v>
      </c>
      <c r="V81" s="205">
        <v>80.0</v>
      </c>
      <c r="X81" s="205" t="s">
        <v>389</v>
      </c>
      <c r="Y81" s="205">
        <v>3.0</v>
      </c>
      <c r="Z81" s="205">
        <v>5.0</v>
      </c>
      <c r="AA81" s="205">
        <v>20.0</v>
      </c>
      <c r="AB81" s="205">
        <v>15.0</v>
      </c>
      <c r="AH81" s="205" t="s">
        <v>722</v>
      </c>
    </row>
    <row r="82" ht="17.25" customHeight="1">
      <c r="A82" s="204" t="s">
        <v>723</v>
      </c>
      <c r="B82" s="205">
        <v>0.0</v>
      </c>
      <c r="C82" s="205" t="s">
        <v>271</v>
      </c>
      <c r="D82" s="205" t="s">
        <v>310</v>
      </c>
      <c r="E82" s="205" t="s">
        <v>310</v>
      </c>
      <c r="F82" s="205" t="s">
        <v>268</v>
      </c>
      <c r="G82" s="205" t="s">
        <v>271</v>
      </c>
      <c r="H82" s="205">
        <v>1.58670477E8</v>
      </c>
      <c r="I82" s="205" t="s">
        <v>272</v>
      </c>
      <c r="K82" s="205" t="s">
        <v>724</v>
      </c>
      <c r="L82" s="205" t="s">
        <v>268</v>
      </c>
      <c r="P82" s="205" t="s">
        <v>723</v>
      </c>
      <c r="R82" s="205" t="s">
        <v>725</v>
      </c>
      <c r="S82" s="205" t="s">
        <v>726</v>
      </c>
      <c r="T82" s="205" t="s">
        <v>271</v>
      </c>
      <c r="V82" s="205">
        <v>17990.0</v>
      </c>
      <c r="X82" s="205" t="s">
        <v>727</v>
      </c>
      <c r="Y82" s="205">
        <v>12.0</v>
      </c>
      <c r="Z82" s="205">
        <v>95.0</v>
      </c>
      <c r="AA82" s="205">
        <v>50.0</v>
      </c>
      <c r="AB82" s="205">
        <v>60.0</v>
      </c>
      <c r="AH82" s="205" t="s">
        <v>728</v>
      </c>
      <c r="AI82" s="205" t="s">
        <v>729</v>
      </c>
    </row>
    <row r="83" ht="17.25" customHeight="1">
      <c r="A83" s="204" t="s">
        <v>730</v>
      </c>
      <c r="B83" s="205">
        <v>0.0</v>
      </c>
      <c r="C83" s="205" t="s">
        <v>271</v>
      </c>
      <c r="D83" s="205" t="s">
        <v>269</v>
      </c>
      <c r="E83" s="205" t="s">
        <v>513</v>
      </c>
      <c r="F83" s="205" t="s">
        <v>268</v>
      </c>
      <c r="G83" s="205" t="s">
        <v>271</v>
      </c>
      <c r="H83" s="205">
        <v>2.57539845E8</v>
      </c>
      <c r="I83" s="205" t="s">
        <v>272</v>
      </c>
      <c r="K83" s="205" t="s">
        <v>731</v>
      </c>
      <c r="L83" s="205" t="s">
        <v>268</v>
      </c>
      <c r="P83" s="205" t="s">
        <v>730</v>
      </c>
      <c r="Q83" s="205" t="s">
        <v>732</v>
      </c>
      <c r="R83" s="205" t="s">
        <v>733</v>
      </c>
      <c r="T83" s="205" t="s">
        <v>268</v>
      </c>
      <c r="X83" s="205" t="s">
        <v>80</v>
      </c>
      <c r="Y83" s="205">
        <v>3.8</v>
      </c>
      <c r="Z83" s="205">
        <v>35.0</v>
      </c>
      <c r="AA83" s="205">
        <v>35.0</v>
      </c>
      <c r="AB83" s="205">
        <v>20.0</v>
      </c>
      <c r="AH83" s="205" t="s">
        <v>734</v>
      </c>
      <c r="AI83" s="205" t="s">
        <v>735</v>
      </c>
      <c r="AJ83" s="205" t="s">
        <v>736</v>
      </c>
      <c r="AK83" s="205" t="s">
        <v>737</v>
      </c>
      <c r="AL83" s="205" t="s">
        <v>738</v>
      </c>
    </row>
    <row r="84" ht="17.25" customHeight="1">
      <c r="A84" s="204" t="s">
        <v>739</v>
      </c>
      <c r="B84" s="205">
        <v>0.0</v>
      </c>
      <c r="C84" s="205" t="s">
        <v>271</v>
      </c>
      <c r="D84" s="205" t="s">
        <v>269</v>
      </c>
      <c r="E84" s="205" t="s">
        <v>513</v>
      </c>
      <c r="F84" s="205" t="s">
        <v>268</v>
      </c>
      <c r="G84" s="205" t="s">
        <v>271</v>
      </c>
      <c r="H84" s="205">
        <v>2.57559602E8</v>
      </c>
      <c r="I84" s="205" t="s">
        <v>272</v>
      </c>
      <c r="K84" s="205" t="s">
        <v>740</v>
      </c>
      <c r="L84" s="205" t="s">
        <v>268</v>
      </c>
      <c r="P84" s="205" t="s">
        <v>739</v>
      </c>
      <c r="Q84" s="205" t="s">
        <v>732</v>
      </c>
      <c r="R84" s="205" t="s">
        <v>741</v>
      </c>
      <c r="T84" s="205" t="s">
        <v>268</v>
      </c>
      <c r="U84" s="205">
        <v>2.0</v>
      </c>
      <c r="V84" s="205">
        <v>35.0</v>
      </c>
      <c r="W84" s="205">
        <v>0.03</v>
      </c>
      <c r="X84" s="205" t="s">
        <v>80</v>
      </c>
      <c r="Y84" s="205">
        <v>2.0</v>
      </c>
      <c r="Z84" s="205">
        <v>35.0</v>
      </c>
      <c r="AA84" s="205">
        <v>35.0</v>
      </c>
      <c r="AB84" s="205">
        <v>18.0</v>
      </c>
      <c r="AH84" s="205" t="s">
        <v>742</v>
      </c>
      <c r="AI84" s="205" t="s">
        <v>743</v>
      </c>
      <c r="AJ84" s="205" t="s">
        <v>744</v>
      </c>
      <c r="AK84" s="205" t="s">
        <v>745</v>
      </c>
      <c r="AL84" s="205" t="s">
        <v>746</v>
      </c>
    </row>
    <row r="85" ht="17.25" customHeight="1">
      <c r="A85" s="204" t="s">
        <v>747</v>
      </c>
      <c r="B85" s="205">
        <v>0.0</v>
      </c>
      <c r="C85" s="205" t="s">
        <v>271</v>
      </c>
      <c r="D85" s="205" t="s">
        <v>310</v>
      </c>
      <c r="E85" s="205" t="s">
        <v>310</v>
      </c>
      <c r="F85" s="205" t="s">
        <v>268</v>
      </c>
      <c r="G85" s="205" t="s">
        <v>271</v>
      </c>
      <c r="H85" s="205">
        <v>2.57700893E8</v>
      </c>
      <c r="I85" s="205" t="s">
        <v>272</v>
      </c>
      <c r="K85" s="205" t="s">
        <v>748</v>
      </c>
      <c r="L85" s="205" t="s">
        <v>268</v>
      </c>
      <c r="P85" s="205" t="s">
        <v>747</v>
      </c>
      <c r="Q85" s="205" t="s">
        <v>749</v>
      </c>
      <c r="R85" s="205" t="s">
        <v>750</v>
      </c>
      <c r="T85" s="205" t="s">
        <v>271</v>
      </c>
      <c r="V85" s="205">
        <v>1080.5</v>
      </c>
      <c r="Y85" s="205">
        <v>3.0</v>
      </c>
      <c r="Z85" s="205">
        <v>25.0</v>
      </c>
      <c r="AA85" s="205">
        <v>25.0</v>
      </c>
      <c r="AB85" s="205">
        <v>25.0</v>
      </c>
      <c r="AH85" s="205" t="s">
        <v>751</v>
      </c>
      <c r="AI85" s="205" t="s">
        <v>752</v>
      </c>
      <c r="AJ85" s="205" t="s">
        <v>753</v>
      </c>
      <c r="AK85" s="205" t="s">
        <v>754</v>
      </c>
    </row>
    <row r="86" ht="17.25" customHeight="1">
      <c r="A86" s="204" t="s">
        <v>755</v>
      </c>
      <c r="B86" s="205">
        <v>0.0</v>
      </c>
      <c r="C86" s="205" t="s">
        <v>271</v>
      </c>
      <c r="D86" s="205" t="s">
        <v>310</v>
      </c>
      <c r="E86" s="205" t="s">
        <v>310</v>
      </c>
      <c r="F86" s="205" t="s">
        <v>268</v>
      </c>
      <c r="G86" s="205" t="s">
        <v>271</v>
      </c>
      <c r="H86" s="205">
        <v>2.57700986E8</v>
      </c>
      <c r="I86" s="205" t="s">
        <v>272</v>
      </c>
      <c r="K86" s="205" t="s">
        <v>756</v>
      </c>
      <c r="L86" s="205" t="s">
        <v>271</v>
      </c>
      <c r="P86" s="205" t="s">
        <v>755</v>
      </c>
      <c r="R86" s="205" t="s">
        <v>757</v>
      </c>
      <c r="T86" s="205" t="s">
        <v>271</v>
      </c>
      <c r="V86" s="205">
        <v>1397.0</v>
      </c>
      <c r="X86" s="205" t="s">
        <v>656</v>
      </c>
      <c r="Y86" s="205">
        <v>3.0</v>
      </c>
      <c r="Z86" s="205">
        <v>25.0</v>
      </c>
      <c r="AA86" s="205">
        <v>25.0</v>
      </c>
      <c r="AB86" s="205">
        <v>25.0</v>
      </c>
      <c r="AH86" s="205" t="s">
        <v>758</v>
      </c>
      <c r="AI86" s="205" t="s">
        <v>759</v>
      </c>
      <c r="AJ86" s="205" t="s">
        <v>760</v>
      </c>
      <c r="AK86" s="205" t="s">
        <v>761</v>
      </c>
    </row>
    <row r="87" ht="17.25" customHeight="1">
      <c r="A87" s="204" t="s">
        <v>762</v>
      </c>
      <c r="B87" s="205">
        <v>0.0</v>
      </c>
      <c r="C87" s="205" t="s">
        <v>271</v>
      </c>
      <c r="D87" s="205" t="s">
        <v>310</v>
      </c>
      <c r="E87" s="205" t="s">
        <v>310</v>
      </c>
      <c r="F87" s="205" t="s">
        <v>268</v>
      </c>
      <c r="G87" s="205" t="s">
        <v>271</v>
      </c>
      <c r="H87" s="205">
        <v>2.64335741E8</v>
      </c>
      <c r="I87" s="205" t="s">
        <v>272</v>
      </c>
      <c r="K87" s="205" t="s">
        <v>763</v>
      </c>
      <c r="L87" s="205" t="s">
        <v>268</v>
      </c>
      <c r="R87" s="205" t="s">
        <v>764</v>
      </c>
      <c r="T87" s="205" t="s">
        <v>271</v>
      </c>
      <c r="V87" s="205">
        <v>7790.0</v>
      </c>
      <c r="W87" s="205">
        <v>7390.0</v>
      </c>
      <c r="X87" s="205" t="s">
        <v>765</v>
      </c>
      <c r="Y87" s="205">
        <v>15.0</v>
      </c>
      <c r="Z87" s="205">
        <v>64.0</v>
      </c>
      <c r="AA87" s="205">
        <v>28.0</v>
      </c>
      <c r="AB87" s="205">
        <v>28.0</v>
      </c>
      <c r="AH87" s="205" t="s">
        <v>766</v>
      </c>
    </row>
    <row r="88" ht="17.25" customHeight="1">
      <c r="A88" s="204" t="s">
        <v>767</v>
      </c>
      <c r="B88" s="205">
        <v>0.0</v>
      </c>
      <c r="C88" s="205" t="s">
        <v>271</v>
      </c>
      <c r="D88" s="205" t="s">
        <v>310</v>
      </c>
      <c r="E88" s="205" t="s">
        <v>310</v>
      </c>
      <c r="F88" s="205" t="s">
        <v>268</v>
      </c>
      <c r="G88" s="205" t="s">
        <v>271</v>
      </c>
      <c r="H88" s="205">
        <v>2.64336947E8</v>
      </c>
      <c r="I88" s="205" t="s">
        <v>272</v>
      </c>
      <c r="K88" s="205" t="s">
        <v>768</v>
      </c>
      <c r="L88" s="205" t="s">
        <v>268</v>
      </c>
      <c r="R88" s="205" t="s">
        <v>769</v>
      </c>
      <c r="T88" s="205" t="s">
        <v>271</v>
      </c>
      <c r="V88" s="205">
        <v>8290.0</v>
      </c>
      <c r="X88" s="205" t="s">
        <v>765</v>
      </c>
      <c r="Y88" s="205">
        <v>15.0</v>
      </c>
      <c r="Z88" s="205">
        <v>90.0</v>
      </c>
      <c r="AA88" s="205">
        <v>28.0</v>
      </c>
      <c r="AB88" s="205">
        <v>28.0</v>
      </c>
      <c r="AH88" s="205" t="s">
        <v>770</v>
      </c>
    </row>
    <row r="89" ht="17.25" customHeight="1">
      <c r="A89" s="204" t="s">
        <v>771</v>
      </c>
      <c r="B89" s="205">
        <v>0.0</v>
      </c>
      <c r="C89" s="205" t="s">
        <v>271</v>
      </c>
      <c r="D89" s="205" t="s">
        <v>310</v>
      </c>
      <c r="E89" s="205" t="s">
        <v>310</v>
      </c>
      <c r="F89" s="205" t="s">
        <v>268</v>
      </c>
      <c r="G89" s="205" t="s">
        <v>271</v>
      </c>
      <c r="H89" s="205">
        <v>2.64337534E8</v>
      </c>
      <c r="I89" s="205" t="s">
        <v>272</v>
      </c>
      <c r="K89" s="205" t="s">
        <v>772</v>
      </c>
      <c r="L89" s="205" t="s">
        <v>268</v>
      </c>
      <c r="R89" s="205" t="s">
        <v>773</v>
      </c>
      <c r="T89" s="205" t="s">
        <v>271</v>
      </c>
      <c r="V89" s="205">
        <v>8990.0</v>
      </c>
      <c r="X89" s="205" t="s">
        <v>765</v>
      </c>
      <c r="Y89" s="205">
        <v>15.0</v>
      </c>
      <c r="Z89" s="205">
        <v>99.0</v>
      </c>
      <c r="AA89" s="205">
        <v>32.0</v>
      </c>
      <c r="AB89" s="205">
        <v>32.0</v>
      </c>
      <c r="AH89" s="205" t="s">
        <v>774</v>
      </c>
    </row>
    <row r="90" ht="17.25" customHeight="1">
      <c r="A90" s="204" t="s">
        <v>775</v>
      </c>
      <c r="B90" s="205">
        <v>0.0</v>
      </c>
      <c r="C90" s="205" t="s">
        <v>271</v>
      </c>
      <c r="D90" s="205" t="s">
        <v>310</v>
      </c>
      <c r="E90" s="205" t="s">
        <v>310</v>
      </c>
      <c r="F90" s="205" t="s">
        <v>268</v>
      </c>
      <c r="G90" s="205" t="s">
        <v>271</v>
      </c>
      <c r="H90" s="205">
        <v>2.64342089E8</v>
      </c>
      <c r="I90" s="205" t="s">
        <v>272</v>
      </c>
      <c r="K90" s="205" t="s">
        <v>776</v>
      </c>
      <c r="L90" s="205" t="s">
        <v>271</v>
      </c>
      <c r="R90" s="205" t="s">
        <v>777</v>
      </c>
      <c r="T90" s="205" t="s">
        <v>271</v>
      </c>
      <c r="V90" s="205">
        <v>300.0</v>
      </c>
      <c r="X90" s="205" t="s">
        <v>765</v>
      </c>
      <c r="AC90" s="205" t="s">
        <v>778</v>
      </c>
      <c r="AD90" s="205" t="s">
        <v>390</v>
      </c>
      <c r="AH90" s="205" t="s">
        <v>779</v>
      </c>
    </row>
    <row r="91" ht="17.25" customHeight="1">
      <c r="A91" s="204" t="s">
        <v>780</v>
      </c>
      <c r="B91" s="205">
        <v>0.0</v>
      </c>
      <c r="C91" s="205" t="s">
        <v>271</v>
      </c>
      <c r="D91" s="205" t="s">
        <v>310</v>
      </c>
      <c r="E91" s="205" t="s">
        <v>310</v>
      </c>
      <c r="F91" s="205" t="s">
        <v>268</v>
      </c>
      <c r="G91" s="205" t="s">
        <v>271</v>
      </c>
      <c r="H91" s="205">
        <v>2.64696751E8</v>
      </c>
      <c r="I91" s="205" t="s">
        <v>272</v>
      </c>
      <c r="K91" s="205" t="s">
        <v>781</v>
      </c>
      <c r="L91" s="205" t="s">
        <v>271</v>
      </c>
      <c r="R91" s="205" t="s">
        <v>782</v>
      </c>
      <c r="T91" s="205" t="s">
        <v>271</v>
      </c>
      <c r="V91" s="205">
        <v>930.0</v>
      </c>
      <c r="X91" s="205" t="s">
        <v>765</v>
      </c>
      <c r="Y91" s="205">
        <v>8.0</v>
      </c>
      <c r="Z91" s="205">
        <v>50.0</v>
      </c>
      <c r="AA91" s="205">
        <v>50.0</v>
      </c>
      <c r="AB91" s="205">
        <v>50.0</v>
      </c>
      <c r="AH91" s="205" t="s">
        <v>783</v>
      </c>
    </row>
    <row r="92" ht="17.25" customHeight="1">
      <c r="A92" s="204" t="s">
        <v>784</v>
      </c>
      <c r="B92" s="205">
        <v>0.0</v>
      </c>
      <c r="C92" s="205" t="s">
        <v>271</v>
      </c>
      <c r="D92" s="205" t="s">
        <v>310</v>
      </c>
      <c r="E92" s="205" t="s">
        <v>310</v>
      </c>
      <c r="F92" s="205" t="s">
        <v>268</v>
      </c>
      <c r="G92" s="205" t="s">
        <v>271</v>
      </c>
      <c r="H92" s="205">
        <v>2.65340247E8</v>
      </c>
      <c r="I92" s="205" t="s">
        <v>272</v>
      </c>
      <c r="K92" s="205" t="s">
        <v>785</v>
      </c>
      <c r="L92" s="205" t="s">
        <v>271</v>
      </c>
      <c r="R92" s="205" t="s">
        <v>786</v>
      </c>
      <c r="T92" s="205" t="s">
        <v>271</v>
      </c>
      <c r="V92" s="205">
        <v>725.0</v>
      </c>
      <c r="X92" s="205" t="s">
        <v>765</v>
      </c>
      <c r="Y92" s="205">
        <v>6.0</v>
      </c>
      <c r="Z92" s="205">
        <v>30.0</v>
      </c>
      <c r="AA92" s="205">
        <v>30.0</v>
      </c>
      <c r="AB92" s="205">
        <v>70.0</v>
      </c>
      <c r="AH92" s="205" t="s">
        <v>787</v>
      </c>
    </row>
    <row r="93" ht="17.25" customHeight="1">
      <c r="A93" s="204" t="s">
        <v>788</v>
      </c>
      <c r="B93" s="205">
        <v>0.0</v>
      </c>
      <c r="C93" s="205" t="s">
        <v>271</v>
      </c>
      <c r="D93" s="205" t="s">
        <v>310</v>
      </c>
      <c r="E93" s="205" t="s">
        <v>310</v>
      </c>
      <c r="F93" s="205" t="s">
        <v>268</v>
      </c>
      <c r="G93" s="205" t="s">
        <v>271</v>
      </c>
      <c r="H93" s="205">
        <v>2.6534079E8</v>
      </c>
      <c r="I93" s="205" t="s">
        <v>272</v>
      </c>
      <c r="K93" s="205" t="s">
        <v>789</v>
      </c>
      <c r="L93" s="205" t="s">
        <v>271</v>
      </c>
      <c r="R93" s="205" t="s">
        <v>790</v>
      </c>
      <c r="T93" s="205" t="s">
        <v>271</v>
      </c>
      <c r="V93" s="205">
        <v>2520.0</v>
      </c>
      <c r="X93" s="205" t="s">
        <v>765</v>
      </c>
      <c r="Y93" s="205">
        <v>6.0</v>
      </c>
      <c r="Z93" s="205">
        <v>30.0</v>
      </c>
      <c r="AA93" s="205">
        <v>30.0</v>
      </c>
      <c r="AB93" s="205">
        <v>70.0</v>
      </c>
      <c r="AH93" s="205" t="s">
        <v>791</v>
      </c>
    </row>
    <row r="94" ht="17.25" customHeight="1">
      <c r="A94" s="204" t="s">
        <v>792</v>
      </c>
      <c r="B94" s="205">
        <v>0.0</v>
      </c>
      <c r="C94" s="205" t="s">
        <v>271</v>
      </c>
      <c r="D94" s="205" t="s">
        <v>310</v>
      </c>
      <c r="E94" s="205" t="s">
        <v>310</v>
      </c>
      <c r="F94" s="205" t="s">
        <v>268</v>
      </c>
      <c r="G94" s="205" t="s">
        <v>271</v>
      </c>
      <c r="H94" s="205">
        <v>2.6569193E8</v>
      </c>
      <c r="I94" s="205" t="s">
        <v>272</v>
      </c>
      <c r="K94" s="205" t="s">
        <v>793</v>
      </c>
      <c r="L94" s="205" t="s">
        <v>271</v>
      </c>
      <c r="R94" s="205" t="s">
        <v>794</v>
      </c>
      <c r="T94" s="205" t="s">
        <v>271</v>
      </c>
      <c r="V94" s="205">
        <v>3549.0</v>
      </c>
      <c r="X94" s="205" t="s">
        <v>795</v>
      </c>
      <c r="Y94" s="205">
        <v>9.1</v>
      </c>
      <c r="Z94" s="205">
        <v>44.0</v>
      </c>
      <c r="AA94" s="205">
        <v>39.0</v>
      </c>
      <c r="AB94" s="205">
        <v>10.0</v>
      </c>
      <c r="AH94" s="205" t="s">
        <v>796</v>
      </c>
    </row>
    <row r="95" ht="17.25" customHeight="1">
      <c r="A95" s="204" t="s">
        <v>797</v>
      </c>
      <c r="B95" s="205">
        <v>0.0</v>
      </c>
      <c r="C95" s="205" t="s">
        <v>271</v>
      </c>
      <c r="D95" s="205" t="s">
        <v>310</v>
      </c>
      <c r="E95" s="205" t="s">
        <v>310</v>
      </c>
      <c r="F95" s="205" t="s">
        <v>268</v>
      </c>
      <c r="G95" s="205" t="s">
        <v>271</v>
      </c>
      <c r="H95" s="205">
        <v>2.65697567E8</v>
      </c>
      <c r="I95" s="205" t="s">
        <v>272</v>
      </c>
      <c r="K95" s="205" t="s">
        <v>798</v>
      </c>
      <c r="L95" s="205" t="s">
        <v>271</v>
      </c>
      <c r="M95" s="205" t="s">
        <v>799</v>
      </c>
      <c r="R95" s="205" t="s">
        <v>800</v>
      </c>
      <c r="T95" s="205" t="s">
        <v>271</v>
      </c>
      <c r="V95" s="205">
        <v>10104.0</v>
      </c>
      <c r="X95" s="205" t="s">
        <v>795</v>
      </c>
      <c r="Y95" s="205">
        <v>16.0</v>
      </c>
      <c r="Z95" s="205">
        <v>44.0</v>
      </c>
      <c r="AA95" s="205">
        <v>45.0</v>
      </c>
      <c r="AB95" s="205">
        <v>10.0</v>
      </c>
      <c r="AH95" s="205" t="s">
        <v>801</v>
      </c>
    </row>
    <row r="96" ht="17.25" customHeight="1">
      <c r="A96" s="204" t="s">
        <v>802</v>
      </c>
      <c r="B96" s="205">
        <v>0.0</v>
      </c>
      <c r="C96" s="205" t="s">
        <v>271</v>
      </c>
      <c r="D96" s="205" t="s">
        <v>310</v>
      </c>
      <c r="E96" s="205" t="s">
        <v>310</v>
      </c>
      <c r="F96" s="205" t="s">
        <v>268</v>
      </c>
      <c r="G96" s="205" t="s">
        <v>271</v>
      </c>
      <c r="H96" s="205">
        <v>2.65729123E8</v>
      </c>
      <c r="I96" s="205" t="s">
        <v>272</v>
      </c>
      <c r="K96" s="205" t="s">
        <v>803</v>
      </c>
      <c r="L96" s="205" t="s">
        <v>271</v>
      </c>
      <c r="M96" s="205" t="s">
        <v>799</v>
      </c>
      <c r="R96" s="205" t="s">
        <v>804</v>
      </c>
      <c r="T96" s="205" t="s">
        <v>271</v>
      </c>
      <c r="V96" s="205">
        <v>5877.0</v>
      </c>
      <c r="X96" s="205" t="s">
        <v>795</v>
      </c>
      <c r="Y96" s="205">
        <v>12.0</v>
      </c>
      <c r="Z96" s="205">
        <v>44.0</v>
      </c>
      <c r="AA96" s="205">
        <v>38.0</v>
      </c>
      <c r="AB96" s="205">
        <v>10.0</v>
      </c>
      <c r="AH96" s="205" t="s">
        <v>805</v>
      </c>
    </row>
    <row r="97" ht="17.25" customHeight="1">
      <c r="A97" s="204" t="s">
        <v>806</v>
      </c>
      <c r="B97" s="205">
        <v>0.0</v>
      </c>
      <c r="C97" s="205" t="s">
        <v>271</v>
      </c>
      <c r="D97" s="205" t="s">
        <v>310</v>
      </c>
      <c r="E97" s="205" t="s">
        <v>310</v>
      </c>
      <c r="F97" s="205" t="s">
        <v>268</v>
      </c>
      <c r="G97" s="205" t="s">
        <v>271</v>
      </c>
      <c r="H97" s="205">
        <v>2.66140946E8</v>
      </c>
      <c r="I97" s="205" t="s">
        <v>272</v>
      </c>
      <c r="K97" s="205" t="s">
        <v>807</v>
      </c>
      <c r="L97" s="205" t="s">
        <v>271</v>
      </c>
      <c r="M97" s="205" t="s">
        <v>799</v>
      </c>
      <c r="R97" s="205" t="s">
        <v>808</v>
      </c>
      <c r="T97" s="205" t="s">
        <v>271</v>
      </c>
      <c r="V97" s="205">
        <v>8990.0</v>
      </c>
      <c r="X97" s="205" t="s">
        <v>795</v>
      </c>
      <c r="Y97" s="205">
        <v>14.0</v>
      </c>
      <c r="Z97" s="205">
        <v>44.0</v>
      </c>
      <c r="AA97" s="205">
        <v>50.0</v>
      </c>
      <c r="AB97" s="205">
        <v>10.0</v>
      </c>
      <c r="AH97" s="205" t="s">
        <v>809</v>
      </c>
    </row>
    <row r="98" ht="17.25" customHeight="1">
      <c r="A98" s="204" t="s">
        <v>810</v>
      </c>
      <c r="B98" s="205">
        <v>0.0</v>
      </c>
      <c r="C98" s="205" t="s">
        <v>271</v>
      </c>
      <c r="D98" s="205" t="s">
        <v>310</v>
      </c>
      <c r="E98" s="205" t="s">
        <v>310</v>
      </c>
      <c r="F98" s="205" t="s">
        <v>268</v>
      </c>
      <c r="G98" s="205" t="s">
        <v>271</v>
      </c>
      <c r="H98" s="205">
        <v>2.66142344E8</v>
      </c>
      <c r="I98" s="205" t="s">
        <v>272</v>
      </c>
      <c r="K98" s="205" t="s">
        <v>811</v>
      </c>
      <c r="L98" s="205" t="s">
        <v>271</v>
      </c>
      <c r="M98" s="205" t="s">
        <v>799</v>
      </c>
      <c r="R98" s="205" t="s">
        <v>812</v>
      </c>
      <c r="T98" s="205" t="s">
        <v>271</v>
      </c>
      <c r="V98" s="205">
        <v>876.5</v>
      </c>
      <c r="X98" s="205" t="s">
        <v>795</v>
      </c>
      <c r="Y98" s="205">
        <v>1.0</v>
      </c>
      <c r="Z98" s="205">
        <v>19.0</v>
      </c>
      <c r="AA98" s="205">
        <v>14.0</v>
      </c>
      <c r="AB98" s="205">
        <v>4.0</v>
      </c>
      <c r="AH98" s="205" t="s">
        <v>813</v>
      </c>
    </row>
    <row r="99" ht="17.25" customHeight="1">
      <c r="A99" s="204" t="s">
        <v>814</v>
      </c>
      <c r="B99" s="205">
        <v>0.0</v>
      </c>
      <c r="C99" s="205" t="s">
        <v>271</v>
      </c>
      <c r="D99" s="205" t="s">
        <v>310</v>
      </c>
      <c r="E99" s="205" t="s">
        <v>310</v>
      </c>
      <c r="F99" s="205" t="s">
        <v>268</v>
      </c>
      <c r="G99" s="205" t="s">
        <v>271</v>
      </c>
      <c r="H99" s="205">
        <v>2.66149055E8</v>
      </c>
      <c r="I99" s="205" t="s">
        <v>272</v>
      </c>
      <c r="K99" s="205" t="s">
        <v>815</v>
      </c>
      <c r="L99" s="205" t="s">
        <v>271</v>
      </c>
      <c r="M99" s="205" t="s">
        <v>799</v>
      </c>
      <c r="R99" s="205" t="s">
        <v>816</v>
      </c>
      <c r="T99" s="205" t="s">
        <v>271</v>
      </c>
      <c r="V99" s="205">
        <v>3990.0</v>
      </c>
      <c r="X99" s="205" t="s">
        <v>795</v>
      </c>
      <c r="Y99" s="205">
        <v>10.0</v>
      </c>
      <c r="Z99" s="205">
        <v>43.0</v>
      </c>
      <c r="AA99" s="205">
        <v>36.0</v>
      </c>
      <c r="AB99" s="205">
        <v>8.0</v>
      </c>
      <c r="AH99" s="205" t="s">
        <v>817</v>
      </c>
    </row>
    <row r="100" ht="17.25" customHeight="1">
      <c r="A100" s="204" t="s">
        <v>818</v>
      </c>
      <c r="B100" s="205">
        <v>0.0</v>
      </c>
      <c r="C100" s="205" t="s">
        <v>271</v>
      </c>
      <c r="D100" s="205" t="s">
        <v>310</v>
      </c>
      <c r="E100" s="205" t="s">
        <v>310</v>
      </c>
      <c r="F100" s="205" t="s">
        <v>268</v>
      </c>
      <c r="G100" s="205" t="s">
        <v>271</v>
      </c>
      <c r="H100" s="205">
        <v>2.66151852E8</v>
      </c>
      <c r="I100" s="205" t="s">
        <v>272</v>
      </c>
      <c r="K100" s="205" t="s">
        <v>819</v>
      </c>
      <c r="L100" s="205" t="s">
        <v>271</v>
      </c>
      <c r="M100" s="205" t="s">
        <v>799</v>
      </c>
      <c r="R100" s="205" t="s">
        <v>820</v>
      </c>
      <c r="T100" s="205" t="s">
        <v>271</v>
      </c>
      <c r="V100" s="205">
        <v>3145.0</v>
      </c>
      <c r="X100" s="205" t="s">
        <v>795</v>
      </c>
      <c r="Y100" s="205">
        <v>8.0</v>
      </c>
      <c r="Z100" s="205">
        <v>43.0</v>
      </c>
      <c r="AA100" s="205">
        <v>36.0</v>
      </c>
      <c r="AB100" s="205">
        <v>8.0</v>
      </c>
      <c r="AH100" s="205" t="s">
        <v>821</v>
      </c>
    </row>
    <row r="101" ht="17.25" customHeight="1">
      <c r="A101" s="204" t="s">
        <v>822</v>
      </c>
      <c r="B101" s="205">
        <v>0.0</v>
      </c>
      <c r="C101" s="205" t="s">
        <v>271</v>
      </c>
      <c r="D101" s="205" t="s">
        <v>310</v>
      </c>
      <c r="E101" s="205" t="s">
        <v>310</v>
      </c>
      <c r="F101" s="205" t="s">
        <v>268</v>
      </c>
      <c r="G101" s="205" t="s">
        <v>271</v>
      </c>
      <c r="H101" s="205">
        <v>2.67400654E8</v>
      </c>
      <c r="I101" s="205" t="s">
        <v>272</v>
      </c>
      <c r="K101" s="205" t="s">
        <v>823</v>
      </c>
      <c r="L101" s="205" t="s">
        <v>268</v>
      </c>
      <c r="M101" s="205" t="s">
        <v>824</v>
      </c>
      <c r="R101" s="205" t="s">
        <v>825</v>
      </c>
      <c r="T101" s="205" t="s">
        <v>271</v>
      </c>
      <c r="V101" s="205">
        <v>4319.6</v>
      </c>
      <c r="X101" s="205" t="s">
        <v>656</v>
      </c>
      <c r="Y101" s="205">
        <v>18.5</v>
      </c>
      <c r="Z101" s="205">
        <v>40.0</v>
      </c>
      <c r="AA101" s="205">
        <v>40.0</v>
      </c>
      <c r="AB101" s="205">
        <v>40.0</v>
      </c>
      <c r="AH101" s="205" t="s">
        <v>826</v>
      </c>
      <c r="AI101" s="205" t="s">
        <v>827</v>
      </c>
      <c r="AJ101" s="205" t="s">
        <v>828</v>
      </c>
    </row>
    <row r="102" ht="17.25" customHeight="1">
      <c r="A102" s="204" t="s">
        <v>829</v>
      </c>
      <c r="B102" s="205">
        <v>0.0</v>
      </c>
      <c r="C102" s="205" t="s">
        <v>271</v>
      </c>
      <c r="D102" s="205" t="s">
        <v>310</v>
      </c>
      <c r="E102" s="205" t="s">
        <v>310</v>
      </c>
      <c r="F102" s="205" t="s">
        <v>268</v>
      </c>
      <c r="G102" s="205" t="s">
        <v>271</v>
      </c>
      <c r="H102" s="205">
        <v>2.68156213E8</v>
      </c>
      <c r="I102" s="205" t="s">
        <v>272</v>
      </c>
      <c r="K102" s="205" t="s">
        <v>830</v>
      </c>
      <c r="L102" s="205" t="s">
        <v>271</v>
      </c>
      <c r="M102" s="205" t="s">
        <v>831</v>
      </c>
      <c r="R102" s="205" t="s">
        <v>832</v>
      </c>
      <c r="T102" s="205" t="s">
        <v>271</v>
      </c>
      <c r="V102" s="205">
        <v>3464.0</v>
      </c>
      <c r="X102" s="205" t="s">
        <v>656</v>
      </c>
      <c r="Y102" s="205">
        <v>9.5</v>
      </c>
      <c r="Z102" s="205">
        <v>95.0</v>
      </c>
      <c r="AA102" s="205">
        <v>30.0</v>
      </c>
      <c r="AB102" s="205">
        <v>30.0</v>
      </c>
      <c r="AH102" s="205" t="s">
        <v>833</v>
      </c>
      <c r="AI102" s="205" t="s">
        <v>834</v>
      </c>
    </row>
    <row r="103" ht="17.25" customHeight="1">
      <c r="A103" s="204" t="s">
        <v>835</v>
      </c>
      <c r="B103" s="205">
        <v>0.0</v>
      </c>
      <c r="C103" s="205" t="s">
        <v>271</v>
      </c>
      <c r="D103" s="205" t="s">
        <v>310</v>
      </c>
      <c r="E103" s="205" t="s">
        <v>310</v>
      </c>
      <c r="F103" s="205" t="s">
        <v>268</v>
      </c>
      <c r="G103" s="205" t="s">
        <v>271</v>
      </c>
      <c r="H103" s="205">
        <v>2.68172487E8</v>
      </c>
      <c r="I103" s="205" t="s">
        <v>272</v>
      </c>
      <c r="K103" s="205" t="s">
        <v>836</v>
      </c>
      <c r="L103" s="205" t="s">
        <v>268</v>
      </c>
      <c r="R103" s="205" t="s">
        <v>837</v>
      </c>
      <c r="T103" s="205" t="s">
        <v>271</v>
      </c>
      <c r="V103" s="205">
        <v>5774.0</v>
      </c>
      <c r="X103" s="205" t="s">
        <v>656</v>
      </c>
      <c r="Y103" s="205">
        <v>9.5</v>
      </c>
      <c r="Z103" s="205">
        <v>95.0</v>
      </c>
      <c r="AA103" s="205">
        <v>30.0</v>
      </c>
      <c r="AB103" s="205">
        <v>30.0</v>
      </c>
      <c r="AH103" s="205" t="s">
        <v>838</v>
      </c>
      <c r="AI103" s="205" t="s">
        <v>839</v>
      </c>
    </row>
    <row r="104" ht="17.25" customHeight="1">
      <c r="A104" s="204" t="s">
        <v>840</v>
      </c>
      <c r="B104" s="205">
        <v>0.0</v>
      </c>
      <c r="C104" s="205" t="s">
        <v>271</v>
      </c>
      <c r="D104" s="205" t="s">
        <v>310</v>
      </c>
      <c r="E104" s="205" t="s">
        <v>310</v>
      </c>
      <c r="F104" s="205" t="s">
        <v>268</v>
      </c>
      <c r="G104" s="205" t="s">
        <v>271</v>
      </c>
      <c r="H104" s="205">
        <v>2.68956684E8</v>
      </c>
      <c r="I104" s="205" t="s">
        <v>272</v>
      </c>
      <c r="K104" s="205" t="s">
        <v>841</v>
      </c>
      <c r="L104" s="205" t="s">
        <v>271</v>
      </c>
      <c r="R104" s="205" t="s">
        <v>842</v>
      </c>
      <c r="T104" s="205" t="s">
        <v>271</v>
      </c>
      <c r="V104" s="205">
        <v>7190.0</v>
      </c>
      <c r="X104" s="205" t="s">
        <v>843</v>
      </c>
      <c r="Y104" s="205">
        <v>40.0</v>
      </c>
      <c r="Z104" s="205">
        <v>98.0</v>
      </c>
      <c r="AA104" s="205">
        <v>35.0</v>
      </c>
      <c r="AB104" s="205">
        <v>45.0</v>
      </c>
      <c r="AH104" s="205" t="s">
        <v>844</v>
      </c>
      <c r="AI104" s="205" t="s">
        <v>845</v>
      </c>
    </row>
    <row r="105" ht="17.25" customHeight="1">
      <c r="A105" s="204" t="s">
        <v>846</v>
      </c>
      <c r="B105" s="205">
        <v>0.0</v>
      </c>
      <c r="C105" s="205" t="s">
        <v>271</v>
      </c>
      <c r="D105" s="205" t="s">
        <v>310</v>
      </c>
      <c r="E105" s="205" t="s">
        <v>310</v>
      </c>
      <c r="F105" s="205" t="s">
        <v>268</v>
      </c>
      <c r="G105" s="205" t="s">
        <v>271</v>
      </c>
      <c r="H105" s="205">
        <v>2.68964239E8</v>
      </c>
      <c r="I105" s="205" t="s">
        <v>272</v>
      </c>
      <c r="K105" s="205" t="s">
        <v>847</v>
      </c>
      <c r="L105" s="205" t="s">
        <v>271</v>
      </c>
      <c r="R105" s="205" t="s">
        <v>848</v>
      </c>
      <c r="T105" s="205" t="s">
        <v>271</v>
      </c>
      <c r="V105" s="205">
        <v>2540.0</v>
      </c>
      <c r="W105" s="205">
        <v>2046.0</v>
      </c>
      <c r="X105" s="205" t="s">
        <v>843</v>
      </c>
      <c r="Y105" s="205">
        <v>7.3</v>
      </c>
      <c r="Z105" s="205">
        <v>19.0</v>
      </c>
      <c r="AA105" s="205">
        <v>52.0</v>
      </c>
      <c r="AB105" s="205">
        <v>22.0</v>
      </c>
      <c r="AH105" s="205" t="s">
        <v>849</v>
      </c>
      <c r="AI105" s="205" t="s">
        <v>850</v>
      </c>
      <c r="AJ105" s="205" t="s">
        <v>851</v>
      </c>
    </row>
    <row r="106" ht="17.25" customHeight="1">
      <c r="A106" s="204" t="s">
        <v>852</v>
      </c>
      <c r="B106" s="205">
        <v>0.0</v>
      </c>
      <c r="C106" s="205" t="s">
        <v>271</v>
      </c>
      <c r="D106" s="205" t="s">
        <v>310</v>
      </c>
      <c r="E106" s="205" t="s">
        <v>310</v>
      </c>
      <c r="F106" s="205" t="s">
        <v>268</v>
      </c>
      <c r="G106" s="205" t="s">
        <v>271</v>
      </c>
      <c r="H106" s="205">
        <v>2.68969334E8</v>
      </c>
      <c r="I106" s="205" t="s">
        <v>272</v>
      </c>
      <c r="K106" s="205" t="s">
        <v>853</v>
      </c>
      <c r="L106" s="205" t="s">
        <v>271</v>
      </c>
      <c r="R106" s="205" t="s">
        <v>854</v>
      </c>
      <c r="T106" s="205" t="s">
        <v>271</v>
      </c>
      <c r="V106" s="205">
        <v>2740.0</v>
      </c>
      <c r="X106" s="205" t="s">
        <v>843</v>
      </c>
      <c r="Y106" s="205">
        <v>10.0</v>
      </c>
      <c r="Z106" s="205">
        <v>20.0</v>
      </c>
      <c r="AA106" s="205">
        <v>32.0</v>
      </c>
      <c r="AB106" s="205">
        <v>44.0</v>
      </c>
      <c r="AH106" s="205" t="s">
        <v>855</v>
      </c>
    </row>
    <row r="107" ht="17.25" customHeight="1">
      <c r="A107" s="204" t="s">
        <v>856</v>
      </c>
      <c r="B107" s="205">
        <v>0.0</v>
      </c>
      <c r="C107" s="205" t="s">
        <v>271</v>
      </c>
      <c r="D107" s="205" t="s">
        <v>310</v>
      </c>
      <c r="E107" s="205" t="s">
        <v>310</v>
      </c>
      <c r="F107" s="205" t="s">
        <v>268</v>
      </c>
      <c r="G107" s="205" t="s">
        <v>271</v>
      </c>
      <c r="H107" s="205">
        <v>2.69307445E8</v>
      </c>
      <c r="I107" s="205" t="s">
        <v>272</v>
      </c>
      <c r="K107" s="205" t="s">
        <v>857</v>
      </c>
      <c r="L107" s="205" t="s">
        <v>271</v>
      </c>
      <c r="P107" s="205" t="s">
        <v>858</v>
      </c>
      <c r="Q107" s="205" t="s">
        <v>859</v>
      </c>
      <c r="R107" s="205" t="s">
        <v>860</v>
      </c>
      <c r="T107" s="205" t="s">
        <v>271</v>
      </c>
      <c r="V107" s="205">
        <v>1980.0</v>
      </c>
      <c r="Y107" s="205">
        <v>3.0</v>
      </c>
      <c r="Z107" s="205">
        <v>10.0</v>
      </c>
      <c r="AA107" s="205">
        <v>30.0</v>
      </c>
      <c r="AB107" s="205">
        <v>30.0</v>
      </c>
      <c r="AH107" s="205" t="s">
        <v>861</v>
      </c>
    </row>
    <row r="108" ht="17.25" customHeight="1">
      <c r="A108" s="204" t="s">
        <v>862</v>
      </c>
      <c r="B108" s="205">
        <v>0.0</v>
      </c>
      <c r="C108" s="205" t="s">
        <v>271</v>
      </c>
      <c r="D108" s="205" t="s">
        <v>310</v>
      </c>
      <c r="E108" s="205" t="s">
        <v>310</v>
      </c>
      <c r="F108" s="205" t="s">
        <v>268</v>
      </c>
      <c r="G108" s="205" t="s">
        <v>271</v>
      </c>
      <c r="H108" s="205">
        <v>2.69547643E8</v>
      </c>
      <c r="I108" s="205" t="s">
        <v>272</v>
      </c>
      <c r="K108" s="205" t="s">
        <v>863</v>
      </c>
      <c r="L108" s="205" t="s">
        <v>268</v>
      </c>
      <c r="P108" s="205" t="s">
        <v>862</v>
      </c>
      <c r="Q108" s="205" t="s">
        <v>864</v>
      </c>
      <c r="R108" s="205" t="s">
        <v>865</v>
      </c>
      <c r="T108" s="205" t="s">
        <v>271</v>
      </c>
      <c r="V108" s="205">
        <v>2229.0</v>
      </c>
      <c r="W108" s="205">
        <v>2009.0</v>
      </c>
      <c r="X108" s="205" t="s">
        <v>80</v>
      </c>
      <c r="Y108" s="205">
        <v>12.0</v>
      </c>
      <c r="Z108" s="205">
        <v>50.0</v>
      </c>
      <c r="AA108" s="205">
        <v>30.0</v>
      </c>
      <c r="AB108" s="205">
        <v>40.0</v>
      </c>
      <c r="AH108" s="205" t="s">
        <v>866</v>
      </c>
      <c r="AI108" s="205" t="s">
        <v>867</v>
      </c>
      <c r="AJ108" s="205" t="s">
        <v>868</v>
      </c>
    </row>
    <row r="109" ht="17.25" customHeight="1">
      <c r="A109" s="204" t="s">
        <v>869</v>
      </c>
      <c r="B109" s="205">
        <v>0.0</v>
      </c>
      <c r="C109" s="205" t="s">
        <v>271</v>
      </c>
      <c r="D109" s="205" t="s">
        <v>310</v>
      </c>
      <c r="E109" s="205" t="s">
        <v>310</v>
      </c>
      <c r="F109" s="205" t="s">
        <v>268</v>
      </c>
      <c r="G109" s="205" t="s">
        <v>271</v>
      </c>
      <c r="H109" s="205">
        <v>2.90325601E8</v>
      </c>
      <c r="I109" s="205" t="s">
        <v>272</v>
      </c>
      <c r="K109" s="205" t="s">
        <v>870</v>
      </c>
      <c r="L109" s="205" t="s">
        <v>271</v>
      </c>
      <c r="R109" s="205" t="s">
        <v>871</v>
      </c>
      <c r="T109" s="205" t="s">
        <v>271</v>
      </c>
      <c r="V109" s="205">
        <v>6290.0</v>
      </c>
      <c r="X109" s="205" t="s">
        <v>872</v>
      </c>
      <c r="Y109" s="205">
        <v>10.0</v>
      </c>
      <c r="Z109" s="205">
        <v>49.0</v>
      </c>
      <c r="AA109" s="205">
        <v>30.0</v>
      </c>
      <c r="AB109" s="205">
        <v>30.0</v>
      </c>
      <c r="AH109" s="205" t="s">
        <v>873</v>
      </c>
    </row>
    <row r="110" ht="17.25" customHeight="1">
      <c r="A110" s="204" t="s">
        <v>874</v>
      </c>
      <c r="B110" s="205">
        <v>0.0</v>
      </c>
      <c r="C110" s="205" t="s">
        <v>271</v>
      </c>
      <c r="D110" s="205" t="s">
        <v>310</v>
      </c>
      <c r="E110" s="205" t="s">
        <v>310</v>
      </c>
      <c r="F110" s="205" t="s">
        <v>268</v>
      </c>
      <c r="G110" s="205" t="s">
        <v>271</v>
      </c>
      <c r="H110" s="205">
        <v>2.90328523E8</v>
      </c>
      <c r="I110" s="205" t="s">
        <v>272</v>
      </c>
      <c r="K110" s="205" t="s">
        <v>875</v>
      </c>
      <c r="L110" s="205" t="s">
        <v>271</v>
      </c>
      <c r="R110" s="205" t="s">
        <v>876</v>
      </c>
      <c r="T110" s="205" t="s">
        <v>271</v>
      </c>
      <c r="V110" s="205">
        <v>8880.0</v>
      </c>
      <c r="X110" s="205" t="s">
        <v>872</v>
      </c>
      <c r="Y110" s="205">
        <v>17.0</v>
      </c>
      <c r="Z110" s="205">
        <v>80.0</v>
      </c>
      <c r="AA110" s="205">
        <v>30.0</v>
      </c>
      <c r="AB110" s="205">
        <v>30.0</v>
      </c>
      <c r="AH110" s="205" t="s">
        <v>877</v>
      </c>
    </row>
    <row r="111" ht="17.25" customHeight="1">
      <c r="A111" s="204" t="s">
        <v>878</v>
      </c>
      <c r="B111" s="205">
        <v>0.0</v>
      </c>
      <c r="C111" s="205" t="s">
        <v>271</v>
      </c>
      <c r="D111" s="205" t="s">
        <v>310</v>
      </c>
      <c r="E111" s="205" t="s">
        <v>310</v>
      </c>
      <c r="F111" s="205" t="s">
        <v>268</v>
      </c>
      <c r="G111" s="205" t="s">
        <v>271</v>
      </c>
      <c r="H111" s="205">
        <v>2.90334064E8</v>
      </c>
      <c r="I111" s="205" t="s">
        <v>272</v>
      </c>
      <c r="K111" s="205" t="s">
        <v>879</v>
      </c>
      <c r="L111" s="205" t="s">
        <v>271</v>
      </c>
      <c r="R111" s="205" t="s">
        <v>880</v>
      </c>
      <c r="T111" s="205" t="s">
        <v>271</v>
      </c>
      <c r="V111" s="205">
        <v>8329.9</v>
      </c>
      <c r="X111" s="205" t="s">
        <v>872</v>
      </c>
      <c r="Y111" s="205">
        <v>17.0</v>
      </c>
      <c r="Z111" s="205">
        <v>80.0</v>
      </c>
      <c r="AA111" s="205">
        <v>30.0</v>
      </c>
      <c r="AB111" s="205">
        <v>30.0</v>
      </c>
      <c r="AH111" s="205" t="s">
        <v>881</v>
      </c>
    </row>
    <row r="112" ht="17.25" customHeight="1">
      <c r="A112" s="204" t="s">
        <v>882</v>
      </c>
      <c r="B112" s="205">
        <v>0.0</v>
      </c>
      <c r="C112" s="205" t="s">
        <v>271</v>
      </c>
      <c r="D112" s="205" t="s">
        <v>310</v>
      </c>
      <c r="E112" s="205" t="s">
        <v>310</v>
      </c>
      <c r="F112" s="205" t="s">
        <v>268</v>
      </c>
      <c r="G112" s="205" t="s">
        <v>271</v>
      </c>
      <c r="H112" s="205">
        <v>2.90585593E8</v>
      </c>
      <c r="I112" s="205" t="s">
        <v>272</v>
      </c>
      <c r="K112" s="205" t="s">
        <v>883</v>
      </c>
      <c r="L112" s="205" t="s">
        <v>271</v>
      </c>
      <c r="R112" s="205" t="s">
        <v>884</v>
      </c>
      <c r="T112" s="205" t="s">
        <v>271</v>
      </c>
      <c r="V112" s="205">
        <v>5799.0</v>
      </c>
      <c r="X112" s="205" t="s">
        <v>872</v>
      </c>
      <c r="Y112" s="205">
        <v>15.0</v>
      </c>
      <c r="Z112" s="205">
        <v>49.0</v>
      </c>
      <c r="AA112" s="205">
        <v>30.0</v>
      </c>
      <c r="AB112" s="205">
        <v>30.0</v>
      </c>
      <c r="AH112" s="205" t="s">
        <v>885</v>
      </c>
    </row>
    <row r="113" ht="17.25" customHeight="1">
      <c r="A113" s="204" t="s">
        <v>886</v>
      </c>
      <c r="B113" s="205">
        <v>0.0</v>
      </c>
      <c r="C113" s="205" t="s">
        <v>271</v>
      </c>
      <c r="D113" s="205" t="s">
        <v>310</v>
      </c>
      <c r="E113" s="205" t="s">
        <v>310</v>
      </c>
      <c r="F113" s="205" t="s">
        <v>268</v>
      </c>
      <c r="G113" s="205" t="s">
        <v>271</v>
      </c>
      <c r="H113" s="205">
        <v>2.90586211E8</v>
      </c>
      <c r="I113" s="205" t="s">
        <v>272</v>
      </c>
      <c r="K113" s="205" t="s">
        <v>887</v>
      </c>
      <c r="L113" s="205" t="s">
        <v>271</v>
      </c>
      <c r="R113" s="205" t="s">
        <v>888</v>
      </c>
      <c r="T113" s="205" t="s">
        <v>271</v>
      </c>
      <c r="V113" s="205">
        <v>7215.0</v>
      </c>
      <c r="X113" s="205" t="s">
        <v>872</v>
      </c>
      <c r="Y113" s="205">
        <v>17.0</v>
      </c>
      <c r="Z113" s="205">
        <v>80.0</v>
      </c>
      <c r="AA113" s="205">
        <v>30.0</v>
      </c>
      <c r="AB113" s="205">
        <v>30.0</v>
      </c>
      <c r="AH113" s="205" t="s">
        <v>889</v>
      </c>
    </row>
    <row r="114" ht="17.25" customHeight="1">
      <c r="A114" s="204" t="s">
        <v>890</v>
      </c>
      <c r="B114" s="205">
        <v>0.0</v>
      </c>
      <c r="C114" s="205" t="s">
        <v>271</v>
      </c>
      <c r="D114" s="205" t="s">
        <v>310</v>
      </c>
      <c r="E114" s="205" t="s">
        <v>310</v>
      </c>
      <c r="F114" s="205" t="s">
        <v>268</v>
      </c>
      <c r="G114" s="205" t="s">
        <v>271</v>
      </c>
      <c r="H114" s="205">
        <v>2.92174215E8</v>
      </c>
      <c r="I114" s="205" t="s">
        <v>272</v>
      </c>
      <c r="K114" s="205" t="s">
        <v>891</v>
      </c>
      <c r="L114" s="205" t="s">
        <v>271</v>
      </c>
      <c r="R114" s="205" t="s">
        <v>892</v>
      </c>
      <c r="T114" s="205" t="s">
        <v>268</v>
      </c>
      <c r="AH114" s="205" t="s">
        <v>893</v>
      </c>
      <c r="AI114" s="205" t="s">
        <v>894</v>
      </c>
      <c r="AJ114" s="205" t="s">
        <v>895</v>
      </c>
    </row>
    <row r="115" ht="17.25" customHeight="1">
      <c r="A115" s="204" t="s">
        <v>896</v>
      </c>
      <c r="B115" s="205">
        <v>0.0</v>
      </c>
      <c r="C115" s="205" t="s">
        <v>271</v>
      </c>
      <c r="D115" s="205" t="s">
        <v>310</v>
      </c>
      <c r="E115" s="205" t="s">
        <v>310</v>
      </c>
      <c r="F115" s="205" t="s">
        <v>268</v>
      </c>
      <c r="G115" s="205" t="s">
        <v>271</v>
      </c>
      <c r="H115" s="205">
        <v>2.92488865E8</v>
      </c>
      <c r="I115" s="205" t="s">
        <v>272</v>
      </c>
      <c r="K115" s="205" t="s">
        <v>897</v>
      </c>
      <c r="L115" s="205" t="s">
        <v>271</v>
      </c>
      <c r="R115" s="205" t="s">
        <v>898</v>
      </c>
      <c r="T115" s="205" t="s">
        <v>271</v>
      </c>
      <c r="V115" s="205">
        <v>7990.0</v>
      </c>
      <c r="X115" s="205" t="s">
        <v>872</v>
      </c>
      <c r="Y115" s="205">
        <v>17.0</v>
      </c>
      <c r="Z115" s="205">
        <v>80.0</v>
      </c>
      <c r="AA115" s="205">
        <v>30.0</v>
      </c>
      <c r="AB115" s="205">
        <v>30.0</v>
      </c>
      <c r="AH115" s="205" t="s">
        <v>899</v>
      </c>
    </row>
    <row r="116" ht="17.25" customHeight="1">
      <c r="A116" s="204" t="s">
        <v>900</v>
      </c>
      <c r="B116" s="205">
        <v>0.0</v>
      </c>
      <c r="C116" s="205" t="s">
        <v>271</v>
      </c>
      <c r="D116" s="205" t="s">
        <v>310</v>
      </c>
      <c r="E116" s="205" t="s">
        <v>310</v>
      </c>
      <c r="F116" s="205" t="s">
        <v>268</v>
      </c>
      <c r="G116" s="205" t="s">
        <v>271</v>
      </c>
      <c r="H116" s="205">
        <v>2.9249002E8</v>
      </c>
      <c r="I116" s="205" t="s">
        <v>272</v>
      </c>
      <c r="K116" s="205" t="s">
        <v>901</v>
      </c>
      <c r="L116" s="205" t="s">
        <v>271</v>
      </c>
      <c r="R116" s="205" t="s">
        <v>902</v>
      </c>
      <c r="T116" s="205" t="s">
        <v>271</v>
      </c>
      <c r="V116" s="205">
        <v>9157.5</v>
      </c>
      <c r="X116" s="205" t="s">
        <v>872</v>
      </c>
      <c r="Y116" s="205">
        <v>17.0</v>
      </c>
      <c r="Z116" s="205">
        <v>80.0</v>
      </c>
      <c r="AA116" s="205">
        <v>30.0</v>
      </c>
      <c r="AB116" s="205">
        <v>30.0</v>
      </c>
      <c r="AH116" s="205" t="s">
        <v>903</v>
      </c>
    </row>
    <row r="117" ht="17.25" customHeight="1">
      <c r="A117" s="204" t="s">
        <v>904</v>
      </c>
      <c r="B117" s="205">
        <v>0.0</v>
      </c>
      <c r="C117" s="205" t="s">
        <v>271</v>
      </c>
      <c r="D117" s="205" t="s">
        <v>310</v>
      </c>
      <c r="E117" s="205" t="s">
        <v>310</v>
      </c>
      <c r="F117" s="205" t="s">
        <v>268</v>
      </c>
      <c r="G117" s="205" t="s">
        <v>271</v>
      </c>
      <c r="H117" s="205">
        <v>3.01791941E8</v>
      </c>
      <c r="I117" s="205" t="s">
        <v>272</v>
      </c>
      <c r="K117" s="205" t="s">
        <v>905</v>
      </c>
      <c r="L117" s="205" t="s">
        <v>268</v>
      </c>
      <c r="R117" s="205" t="s">
        <v>906</v>
      </c>
      <c r="T117" s="205" t="s">
        <v>271</v>
      </c>
      <c r="V117" s="205">
        <v>14990.0</v>
      </c>
      <c r="X117" s="205" t="s">
        <v>727</v>
      </c>
      <c r="Y117" s="205">
        <v>12.0</v>
      </c>
      <c r="Z117" s="205">
        <v>63.0</v>
      </c>
      <c r="AA117" s="205">
        <v>28.0</v>
      </c>
      <c r="AB117" s="205">
        <v>28.0</v>
      </c>
      <c r="AH117" s="205" t="s">
        <v>907</v>
      </c>
    </row>
    <row r="118" ht="17.25" customHeight="1">
      <c r="A118" s="204" t="s">
        <v>908</v>
      </c>
      <c r="B118" s="205">
        <v>0.0</v>
      </c>
      <c r="C118" s="205" t="s">
        <v>268</v>
      </c>
      <c r="D118" s="205" t="s">
        <v>269</v>
      </c>
      <c r="E118" s="205" t="s">
        <v>270</v>
      </c>
      <c r="F118" s="205" t="s">
        <v>268</v>
      </c>
      <c r="G118" s="205" t="s">
        <v>271</v>
      </c>
      <c r="H118" s="205">
        <v>3.03789843E8</v>
      </c>
      <c r="I118" s="205" t="s">
        <v>272</v>
      </c>
      <c r="K118" s="205" t="s">
        <v>909</v>
      </c>
      <c r="L118" s="205" t="s">
        <v>268</v>
      </c>
      <c r="P118" s="205" t="s">
        <v>908</v>
      </c>
      <c r="Q118" s="205" t="s">
        <v>910</v>
      </c>
      <c r="R118" s="205" t="s">
        <v>911</v>
      </c>
      <c r="T118" s="205" t="s">
        <v>271</v>
      </c>
      <c r="V118" s="205">
        <v>3190.0</v>
      </c>
      <c r="W118" s="205">
        <v>2939.0</v>
      </c>
      <c r="X118" s="205" t="s">
        <v>80</v>
      </c>
      <c r="Y118" s="205">
        <v>28.0</v>
      </c>
      <c r="Z118" s="205">
        <v>86.0</v>
      </c>
      <c r="AA118" s="205">
        <v>35.0</v>
      </c>
      <c r="AB118" s="205">
        <v>35.0</v>
      </c>
      <c r="AH118" s="205" t="s">
        <v>912</v>
      </c>
      <c r="AI118" s="205" t="s">
        <v>913</v>
      </c>
      <c r="AJ118" s="205" t="s">
        <v>914</v>
      </c>
      <c r="AK118" s="205" t="s">
        <v>915</v>
      </c>
      <c r="AL118" s="205" t="s">
        <v>916</v>
      </c>
    </row>
    <row r="119" ht="17.25" customHeight="1">
      <c r="A119" s="204" t="s">
        <v>917</v>
      </c>
      <c r="B119" s="205">
        <v>0.0</v>
      </c>
      <c r="C119" s="205" t="s">
        <v>271</v>
      </c>
      <c r="D119" s="205" t="s">
        <v>310</v>
      </c>
      <c r="E119" s="205" t="s">
        <v>310</v>
      </c>
      <c r="F119" s="205" t="s">
        <v>268</v>
      </c>
      <c r="G119" s="205" t="s">
        <v>271</v>
      </c>
      <c r="H119" s="205">
        <v>3.21810879E8</v>
      </c>
      <c r="I119" s="205" t="s">
        <v>272</v>
      </c>
      <c r="K119" s="205" t="s">
        <v>918</v>
      </c>
      <c r="L119" s="205" t="s">
        <v>271</v>
      </c>
      <c r="R119" s="205" t="s">
        <v>919</v>
      </c>
      <c r="T119" s="205" t="s">
        <v>271</v>
      </c>
      <c r="V119" s="205">
        <v>3649.9</v>
      </c>
      <c r="X119" s="205" t="s">
        <v>795</v>
      </c>
      <c r="Y119" s="205">
        <v>2.7</v>
      </c>
      <c r="Z119" s="205">
        <v>45.0</v>
      </c>
      <c r="AA119" s="205">
        <v>26.0</v>
      </c>
      <c r="AB119" s="205">
        <v>5.0</v>
      </c>
      <c r="AH119" s="205" t="s">
        <v>920</v>
      </c>
      <c r="AI119" s="205" t="s">
        <v>921</v>
      </c>
      <c r="AJ119" s="205" t="s">
        <v>922</v>
      </c>
      <c r="AK119" s="205" t="s">
        <v>923</v>
      </c>
    </row>
    <row r="120" ht="17.25" customHeight="1">
      <c r="A120" s="204" t="s">
        <v>924</v>
      </c>
      <c r="B120" s="205">
        <v>0.0</v>
      </c>
      <c r="C120" s="205" t="s">
        <v>271</v>
      </c>
      <c r="D120" s="205" t="s">
        <v>310</v>
      </c>
      <c r="E120" s="205" t="s">
        <v>310</v>
      </c>
      <c r="F120" s="205" t="s">
        <v>268</v>
      </c>
      <c r="G120" s="205" t="s">
        <v>271</v>
      </c>
      <c r="H120" s="205">
        <v>3.21828651E8</v>
      </c>
      <c r="I120" s="205" t="s">
        <v>272</v>
      </c>
      <c r="K120" s="205" t="s">
        <v>925</v>
      </c>
      <c r="L120" s="205" t="s">
        <v>271</v>
      </c>
      <c r="R120" s="205" t="s">
        <v>926</v>
      </c>
      <c r="T120" s="205" t="s">
        <v>271</v>
      </c>
      <c r="V120" s="205">
        <v>2150.0</v>
      </c>
      <c r="X120" s="205" t="s">
        <v>795</v>
      </c>
      <c r="Y120" s="205">
        <v>0.6</v>
      </c>
      <c r="Z120" s="205">
        <v>22.0</v>
      </c>
      <c r="AA120" s="205">
        <v>11.0</v>
      </c>
      <c r="AB120" s="205">
        <v>33.0</v>
      </c>
      <c r="AH120" s="205" t="s">
        <v>927</v>
      </c>
      <c r="AI120" s="205" t="s">
        <v>928</v>
      </c>
      <c r="AJ120" s="205" t="s">
        <v>929</v>
      </c>
      <c r="AK120" s="205" t="s">
        <v>930</v>
      </c>
    </row>
    <row r="121" ht="17.25" customHeight="1">
      <c r="A121" s="204" t="s">
        <v>931</v>
      </c>
      <c r="B121" s="205">
        <v>0.0</v>
      </c>
      <c r="C121" s="205" t="s">
        <v>271</v>
      </c>
      <c r="D121" s="205" t="s">
        <v>310</v>
      </c>
      <c r="E121" s="205" t="s">
        <v>310</v>
      </c>
      <c r="F121" s="205" t="s">
        <v>268</v>
      </c>
      <c r="G121" s="205" t="s">
        <v>271</v>
      </c>
      <c r="H121" s="205">
        <v>3.21831466E8</v>
      </c>
      <c r="I121" s="205" t="s">
        <v>272</v>
      </c>
      <c r="K121" s="205" t="s">
        <v>932</v>
      </c>
      <c r="L121" s="205" t="s">
        <v>271</v>
      </c>
      <c r="R121" s="205" t="s">
        <v>933</v>
      </c>
      <c r="T121" s="205" t="s">
        <v>271</v>
      </c>
      <c r="V121" s="205">
        <v>949.9</v>
      </c>
      <c r="X121" s="205" t="s">
        <v>795</v>
      </c>
      <c r="Y121" s="205">
        <v>0.22</v>
      </c>
      <c r="Z121" s="205">
        <v>11.0</v>
      </c>
      <c r="AA121" s="205">
        <v>11.0</v>
      </c>
      <c r="AB121" s="205">
        <v>5.0</v>
      </c>
      <c r="AH121" s="205" t="s">
        <v>934</v>
      </c>
      <c r="AI121" s="205" t="s">
        <v>935</v>
      </c>
      <c r="AJ121" s="205" t="s">
        <v>936</v>
      </c>
      <c r="AK121" s="205" t="s">
        <v>937</v>
      </c>
    </row>
    <row r="122" ht="17.25" customHeight="1">
      <c r="A122" s="204" t="s">
        <v>938</v>
      </c>
      <c r="B122" s="205">
        <v>0.0</v>
      </c>
      <c r="C122" s="205" t="s">
        <v>271</v>
      </c>
      <c r="D122" s="205" t="s">
        <v>310</v>
      </c>
      <c r="E122" s="205" t="s">
        <v>310</v>
      </c>
      <c r="F122" s="205" t="s">
        <v>268</v>
      </c>
      <c r="G122" s="205" t="s">
        <v>271</v>
      </c>
      <c r="H122" s="205">
        <v>3.22064456E8</v>
      </c>
      <c r="I122" s="205" t="s">
        <v>272</v>
      </c>
      <c r="K122" s="205" t="s">
        <v>939</v>
      </c>
      <c r="L122" s="205" t="s">
        <v>271</v>
      </c>
      <c r="R122" s="205" t="s">
        <v>940</v>
      </c>
      <c r="T122" s="205" t="s">
        <v>271</v>
      </c>
      <c r="V122" s="205">
        <v>1349.9</v>
      </c>
      <c r="X122" s="205" t="s">
        <v>795</v>
      </c>
      <c r="Y122" s="205">
        <v>1.4</v>
      </c>
      <c r="Z122" s="205">
        <v>25.0</v>
      </c>
      <c r="AA122" s="205">
        <v>20.0</v>
      </c>
      <c r="AB122" s="205">
        <v>57.0</v>
      </c>
      <c r="AH122" s="205" t="s">
        <v>941</v>
      </c>
      <c r="AI122" s="205" t="s">
        <v>942</v>
      </c>
      <c r="AJ122" s="205" t="s">
        <v>943</v>
      </c>
      <c r="AK122" s="205" t="s">
        <v>944</v>
      </c>
    </row>
    <row r="123" ht="17.25" customHeight="1">
      <c r="A123" s="204" t="s">
        <v>945</v>
      </c>
      <c r="B123" s="205">
        <v>0.0</v>
      </c>
      <c r="C123" s="205" t="s">
        <v>271</v>
      </c>
      <c r="D123" s="205" t="s">
        <v>310</v>
      </c>
      <c r="E123" s="205" t="s">
        <v>310</v>
      </c>
      <c r="F123" s="205" t="s">
        <v>268</v>
      </c>
      <c r="G123" s="205" t="s">
        <v>271</v>
      </c>
      <c r="H123" s="205">
        <v>3.23102049E8</v>
      </c>
      <c r="I123" s="205" t="s">
        <v>272</v>
      </c>
      <c r="K123" s="205" t="s">
        <v>946</v>
      </c>
      <c r="L123" s="205" t="s">
        <v>271</v>
      </c>
      <c r="R123" s="205" t="s">
        <v>947</v>
      </c>
      <c r="T123" s="205" t="s">
        <v>271</v>
      </c>
      <c r="V123" s="205">
        <v>1899.0</v>
      </c>
      <c r="X123" s="205" t="s">
        <v>795</v>
      </c>
      <c r="Y123" s="205">
        <v>1.4</v>
      </c>
      <c r="Z123" s="205">
        <v>25.0</v>
      </c>
      <c r="AA123" s="205">
        <v>20.0</v>
      </c>
      <c r="AB123" s="205">
        <v>57.0</v>
      </c>
      <c r="AH123" s="205" t="s">
        <v>948</v>
      </c>
      <c r="AI123" s="205" t="s">
        <v>949</v>
      </c>
      <c r="AJ123" s="205" t="s">
        <v>950</v>
      </c>
      <c r="AK123" s="205" t="s">
        <v>951</v>
      </c>
    </row>
    <row r="124" ht="17.25" customHeight="1">
      <c r="A124" s="204" t="s">
        <v>952</v>
      </c>
      <c r="B124" s="205">
        <v>0.0</v>
      </c>
      <c r="C124" s="205" t="s">
        <v>271</v>
      </c>
      <c r="D124" s="205" t="s">
        <v>310</v>
      </c>
      <c r="E124" s="205" t="s">
        <v>310</v>
      </c>
      <c r="F124" s="205" t="s">
        <v>268</v>
      </c>
      <c r="G124" s="205" t="s">
        <v>271</v>
      </c>
      <c r="H124" s="205">
        <v>3.23105351E8</v>
      </c>
      <c r="I124" s="205" t="s">
        <v>272</v>
      </c>
      <c r="K124" s="205" t="s">
        <v>953</v>
      </c>
      <c r="L124" s="205" t="s">
        <v>271</v>
      </c>
      <c r="R124" s="205" t="s">
        <v>954</v>
      </c>
      <c r="T124" s="205" t="s">
        <v>271</v>
      </c>
      <c r="V124" s="205">
        <v>779.9</v>
      </c>
      <c r="X124" s="205" t="s">
        <v>795</v>
      </c>
      <c r="Y124" s="205">
        <v>6.0</v>
      </c>
      <c r="Z124" s="205">
        <v>14.0</v>
      </c>
      <c r="AA124" s="205">
        <v>37.0</v>
      </c>
      <c r="AB124" s="205">
        <v>37.0</v>
      </c>
      <c r="AH124" s="205" t="s">
        <v>955</v>
      </c>
      <c r="AI124" s="205" t="s">
        <v>956</v>
      </c>
      <c r="AJ124" s="205" t="s">
        <v>957</v>
      </c>
      <c r="AK124" s="205" t="s">
        <v>958</v>
      </c>
    </row>
    <row r="125" ht="17.25" customHeight="1">
      <c r="A125" s="204" t="s">
        <v>959</v>
      </c>
      <c r="B125" s="205">
        <v>0.0</v>
      </c>
      <c r="C125" s="205" t="s">
        <v>268</v>
      </c>
      <c r="D125" s="205" t="s">
        <v>269</v>
      </c>
      <c r="E125" s="205" t="s">
        <v>270</v>
      </c>
      <c r="F125" s="205" t="s">
        <v>268</v>
      </c>
      <c r="G125" s="205" t="s">
        <v>271</v>
      </c>
      <c r="H125" s="205">
        <v>3.25708475E8</v>
      </c>
      <c r="I125" s="205" t="s">
        <v>272</v>
      </c>
      <c r="K125" s="205" t="s">
        <v>960</v>
      </c>
      <c r="L125" s="205" t="s">
        <v>268</v>
      </c>
      <c r="R125" s="205" t="s">
        <v>961</v>
      </c>
      <c r="T125" s="205" t="s">
        <v>271</v>
      </c>
      <c r="V125" s="205">
        <v>7399.0</v>
      </c>
      <c r="X125" s="205" t="s">
        <v>80</v>
      </c>
      <c r="Y125" s="205">
        <v>28.0</v>
      </c>
      <c r="Z125" s="205">
        <v>86.0</v>
      </c>
      <c r="AA125" s="205">
        <v>35.0</v>
      </c>
      <c r="AB125" s="205">
        <v>35.0</v>
      </c>
      <c r="AH125" s="205" t="s">
        <v>962</v>
      </c>
      <c r="AI125" s="205" t="s">
        <v>963</v>
      </c>
      <c r="AJ125" s="205" t="s">
        <v>964</v>
      </c>
      <c r="AK125" s="205" t="s">
        <v>965</v>
      </c>
      <c r="AL125" s="205" t="s">
        <v>966</v>
      </c>
    </row>
    <row r="126" ht="17.25" customHeight="1">
      <c r="A126" s="204" t="s">
        <v>967</v>
      </c>
      <c r="B126" s="205">
        <v>0.0</v>
      </c>
      <c r="C126" s="205" t="s">
        <v>268</v>
      </c>
      <c r="D126" s="205" t="s">
        <v>269</v>
      </c>
      <c r="E126" s="205" t="s">
        <v>270</v>
      </c>
      <c r="F126" s="205" t="s">
        <v>268</v>
      </c>
      <c r="G126" s="205" t="s">
        <v>271</v>
      </c>
      <c r="H126" s="205">
        <v>3.25733274E8</v>
      </c>
      <c r="I126" s="205" t="s">
        <v>272</v>
      </c>
      <c r="K126" s="205" t="s">
        <v>968</v>
      </c>
      <c r="L126" s="205" t="s">
        <v>268</v>
      </c>
      <c r="R126" s="205" t="s">
        <v>969</v>
      </c>
      <c r="T126" s="205" t="s">
        <v>271</v>
      </c>
      <c r="V126" s="205">
        <v>8099.0</v>
      </c>
      <c r="W126" s="205">
        <v>7779.0</v>
      </c>
      <c r="X126" s="205" t="s">
        <v>80</v>
      </c>
      <c r="Y126" s="205">
        <v>28.0</v>
      </c>
      <c r="Z126" s="205">
        <v>86.0</v>
      </c>
      <c r="AA126" s="205">
        <v>35.0</v>
      </c>
      <c r="AB126" s="205">
        <v>35.0</v>
      </c>
      <c r="AH126" s="205" t="s">
        <v>970</v>
      </c>
      <c r="AI126" s="205" t="s">
        <v>971</v>
      </c>
      <c r="AJ126" s="205" t="s">
        <v>972</v>
      </c>
      <c r="AK126" s="205" t="s">
        <v>973</v>
      </c>
      <c r="AL126" s="205" t="s">
        <v>974</v>
      </c>
    </row>
    <row r="127" ht="17.25" customHeight="1">
      <c r="A127" s="204" t="s">
        <v>975</v>
      </c>
      <c r="B127" s="205">
        <v>0.0</v>
      </c>
      <c r="C127" s="205" t="s">
        <v>268</v>
      </c>
      <c r="D127" s="205" t="s">
        <v>269</v>
      </c>
      <c r="E127" s="205" t="s">
        <v>270</v>
      </c>
      <c r="F127" s="205" t="s">
        <v>268</v>
      </c>
      <c r="G127" s="205" t="s">
        <v>271</v>
      </c>
      <c r="H127" s="205">
        <v>3.26191586E8</v>
      </c>
      <c r="I127" s="205" t="s">
        <v>272</v>
      </c>
      <c r="K127" s="205" t="s">
        <v>976</v>
      </c>
      <c r="L127" s="205" t="s">
        <v>268</v>
      </c>
      <c r="R127" s="205" t="s">
        <v>977</v>
      </c>
      <c r="T127" s="205" t="s">
        <v>271</v>
      </c>
      <c r="V127" s="205">
        <v>9799.0</v>
      </c>
      <c r="X127" s="205" t="s">
        <v>80</v>
      </c>
      <c r="Y127" s="205">
        <v>28.0</v>
      </c>
      <c r="Z127" s="205">
        <v>86.0</v>
      </c>
      <c r="AA127" s="205">
        <v>35.0</v>
      </c>
      <c r="AB127" s="205">
        <v>35.0</v>
      </c>
      <c r="AH127" s="205" t="s">
        <v>978</v>
      </c>
      <c r="AI127" s="205" t="s">
        <v>979</v>
      </c>
      <c r="AJ127" s="205" t="s">
        <v>980</v>
      </c>
      <c r="AK127" s="205" t="s">
        <v>981</v>
      </c>
      <c r="AL127" s="205" t="s">
        <v>982</v>
      </c>
    </row>
    <row r="128" ht="17.25" customHeight="1">
      <c r="A128" s="204" t="s">
        <v>983</v>
      </c>
      <c r="B128" s="205">
        <v>0.0</v>
      </c>
      <c r="C128" s="205" t="s">
        <v>271</v>
      </c>
      <c r="D128" s="205" t="s">
        <v>269</v>
      </c>
      <c r="E128" s="205" t="s">
        <v>513</v>
      </c>
      <c r="F128" s="205" t="s">
        <v>268</v>
      </c>
      <c r="G128" s="205" t="s">
        <v>271</v>
      </c>
      <c r="H128" s="205">
        <v>3.26197163E8</v>
      </c>
      <c r="I128" s="205" t="s">
        <v>272</v>
      </c>
      <c r="K128" s="205" t="s">
        <v>984</v>
      </c>
      <c r="L128" s="205" t="s">
        <v>268</v>
      </c>
      <c r="R128" s="205" t="s">
        <v>985</v>
      </c>
      <c r="T128" s="205" t="s">
        <v>268</v>
      </c>
      <c r="X128" s="205" t="s">
        <v>80</v>
      </c>
      <c r="Y128" s="205">
        <v>28.0</v>
      </c>
      <c r="Z128" s="205">
        <v>86.0</v>
      </c>
      <c r="AA128" s="205">
        <v>35.0</v>
      </c>
      <c r="AB128" s="205">
        <v>35.0</v>
      </c>
      <c r="AH128" s="205" t="s">
        <v>986</v>
      </c>
      <c r="AI128" s="205" t="s">
        <v>987</v>
      </c>
      <c r="AJ128" s="205" t="s">
        <v>988</v>
      </c>
      <c r="AK128" s="205" t="s">
        <v>989</v>
      </c>
      <c r="AL128" s="205" t="s">
        <v>990</v>
      </c>
    </row>
    <row r="129" ht="17.25" customHeight="1">
      <c r="A129" s="204" t="s">
        <v>991</v>
      </c>
      <c r="B129" s="205">
        <v>0.0</v>
      </c>
      <c r="C129" s="205" t="s">
        <v>271</v>
      </c>
      <c r="D129" s="205" t="s">
        <v>269</v>
      </c>
      <c r="E129" s="205" t="s">
        <v>513</v>
      </c>
      <c r="F129" s="205" t="s">
        <v>268</v>
      </c>
      <c r="G129" s="205" t="s">
        <v>271</v>
      </c>
      <c r="H129" s="205">
        <v>3.264307E8</v>
      </c>
      <c r="I129" s="205" t="s">
        <v>272</v>
      </c>
      <c r="K129" s="205" t="s">
        <v>992</v>
      </c>
      <c r="L129" s="205" t="s">
        <v>268</v>
      </c>
      <c r="P129" s="205" t="s">
        <v>993</v>
      </c>
      <c r="Q129" s="205" t="s">
        <v>994</v>
      </c>
      <c r="R129" s="205" t="s">
        <v>995</v>
      </c>
      <c r="T129" s="205" t="s">
        <v>268</v>
      </c>
      <c r="V129" s="205">
        <v>12290.0</v>
      </c>
      <c r="W129" s="205">
        <v>11699.0</v>
      </c>
      <c r="X129" s="205" t="s">
        <v>80</v>
      </c>
      <c r="Y129" s="205">
        <v>28.0</v>
      </c>
      <c r="Z129" s="205">
        <v>86.0</v>
      </c>
      <c r="AA129" s="205">
        <v>35.0</v>
      </c>
      <c r="AB129" s="205">
        <v>35.0</v>
      </c>
      <c r="AH129" s="205" t="s">
        <v>996</v>
      </c>
      <c r="AI129" s="205" t="s">
        <v>997</v>
      </c>
      <c r="AJ129" s="205" t="s">
        <v>998</v>
      </c>
      <c r="AK129" s="205" t="s">
        <v>999</v>
      </c>
      <c r="AL129" s="205" t="s">
        <v>1000</v>
      </c>
    </row>
    <row r="130" ht="17.25" customHeight="1">
      <c r="A130" s="204" t="s">
        <v>1001</v>
      </c>
      <c r="B130" s="205">
        <v>0.0</v>
      </c>
      <c r="C130" s="205" t="s">
        <v>268</v>
      </c>
      <c r="D130" s="205" t="s">
        <v>269</v>
      </c>
      <c r="E130" s="205" t="s">
        <v>270</v>
      </c>
      <c r="F130" s="205" t="s">
        <v>268</v>
      </c>
      <c r="G130" s="205" t="s">
        <v>271</v>
      </c>
      <c r="H130" s="205">
        <v>3.26434359E8</v>
      </c>
      <c r="I130" s="205" t="s">
        <v>272</v>
      </c>
      <c r="K130" s="205" t="s">
        <v>1002</v>
      </c>
      <c r="L130" s="205" t="s">
        <v>268</v>
      </c>
      <c r="R130" s="205" t="s">
        <v>1003</v>
      </c>
      <c r="T130" s="205" t="s">
        <v>271</v>
      </c>
      <c r="V130" s="205">
        <v>8999.0</v>
      </c>
      <c r="X130" s="205" t="s">
        <v>80</v>
      </c>
      <c r="Y130" s="205">
        <v>28.0</v>
      </c>
      <c r="Z130" s="205">
        <v>86.0</v>
      </c>
      <c r="AA130" s="205">
        <v>35.0</v>
      </c>
      <c r="AB130" s="205">
        <v>35.0</v>
      </c>
      <c r="AH130" s="205" t="s">
        <v>1004</v>
      </c>
      <c r="AI130" s="205" t="s">
        <v>1005</v>
      </c>
      <c r="AJ130" s="205" t="s">
        <v>1006</v>
      </c>
      <c r="AK130" s="205" t="s">
        <v>1007</v>
      </c>
      <c r="AL130" s="205" t="s">
        <v>1008</v>
      </c>
    </row>
    <row r="131" ht="17.25" customHeight="1">
      <c r="A131" s="204" t="s">
        <v>1009</v>
      </c>
      <c r="B131" s="205">
        <v>0.0</v>
      </c>
      <c r="C131" s="205" t="s">
        <v>271</v>
      </c>
      <c r="D131" s="205" t="s">
        <v>269</v>
      </c>
      <c r="E131" s="205" t="s">
        <v>513</v>
      </c>
      <c r="F131" s="205" t="s">
        <v>268</v>
      </c>
      <c r="G131" s="205" t="s">
        <v>271</v>
      </c>
      <c r="H131" s="205">
        <v>3.26445162E8</v>
      </c>
      <c r="I131" s="205" t="s">
        <v>272</v>
      </c>
      <c r="K131" s="205" t="s">
        <v>1010</v>
      </c>
      <c r="L131" s="205" t="s">
        <v>268</v>
      </c>
      <c r="R131" s="205" t="s">
        <v>1011</v>
      </c>
      <c r="T131" s="205" t="s">
        <v>268</v>
      </c>
      <c r="X131" s="205" t="s">
        <v>80</v>
      </c>
      <c r="Y131" s="205">
        <v>28.0</v>
      </c>
      <c r="Z131" s="205">
        <v>86.0</v>
      </c>
      <c r="AA131" s="205">
        <v>35.0</v>
      </c>
      <c r="AB131" s="205">
        <v>35.0</v>
      </c>
      <c r="AH131" s="205" t="s">
        <v>1012</v>
      </c>
      <c r="AI131" s="205" t="s">
        <v>1013</v>
      </c>
      <c r="AJ131" s="205" t="s">
        <v>1014</v>
      </c>
      <c r="AK131" s="205" t="s">
        <v>1015</v>
      </c>
      <c r="AL131" s="205" t="s">
        <v>1016</v>
      </c>
    </row>
    <row r="132" ht="17.25" customHeight="1">
      <c r="A132" s="204" t="s">
        <v>1017</v>
      </c>
      <c r="B132" s="205">
        <v>0.0</v>
      </c>
      <c r="C132" s="205" t="s">
        <v>271</v>
      </c>
      <c r="D132" s="205" t="s">
        <v>269</v>
      </c>
      <c r="E132" s="205" t="s">
        <v>513</v>
      </c>
      <c r="F132" s="205" t="s">
        <v>268</v>
      </c>
      <c r="G132" s="205" t="s">
        <v>271</v>
      </c>
      <c r="H132" s="205">
        <v>3.26446153E8</v>
      </c>
      <c r="I132" s="205" t="s">
        <v>272</v>
      </c>
      <c r="K132" s="205" t="s">
        <v>1018</v>
      </c>
      <c r="L132" s="205" t="s">
        <v>268</v>
      </c>
      <c r="R132" s="205" t="s">
        <v>1019</v>
      </c>
      <c r="T132" s="205" t="s">
        <v>268</v>
      </c>
      <c r="V132" s="205">
        <v>11290.0</v>
      </c>
      <c r="W132" s="205">
        <v>10899.9</v>
      </c>
      <c r="X132" s="205" t="s">
        <v>80</v>
      </c>
      <c r="Y132" s="205">
        <v>28.0</v>
      </c>
      <c r="Z132" s="205">
        <v>86.0</v>
      </c>
      <c r="AA132" s="205">
        <v>35.0</v>
      </c>
      <c r="AB132" s="205">
        <v>35.0</v>
      </c>
      <c r="AH132" s="205" t="s">
        <v>1020</v>
      </c>
      <c r="AI132" s="205" t="s">
        <v>1021</v>
      </c>
      <c r="AJ132" s="205" t="s">
        <v>1022</v>
      </c>
      <c r="AK132" s="205" t="s">
        <v>1023</v>
      </c>
      <c r="AL132" s="205" t="s">
        <v>1024</v>
      </c>
    </row>
    <row r="133" ht="17.25" customHeight="1">
      <c r="B133" s="205">
        <v>0.0</v>
      </c>
      <c r="C133" s="205" t="s">
        <v>271</v>
      </c>
      <c r="D133" s="205" t="s">
        <v>310</v>
      </c>
      <c r="E133" s="205" t="s">
        <v>310</v>
      </c>
      <c r="F133" s="205" t="s">
        <v>268</v>
      </c>
      <c r="G133" s="205" t="s">
        <v>271</v>
      </c>
      <c r="H133" s="205">
        <v>3.5767263E7</v>
      </c>
      <c r="I133" s="205" t="s">
        <v>311</v>
      </c>
      <c r="J133" s="205" t="s">
        <v>1025</v>
      </c>
      <c r="K133" s="205" t="s">
        <v>1026</v>
      </c>
      <c r="L133" s="205" t="s">
        <v>271</v>
      </c>
      <c r="T133" s="205" t="s">
        <v>271</v>
      </c>
      <c r="V133" s="205">
        <v>808.3</v>
      </c>
      <c r="Y133" s="205">
        <v>2.0</v>
      </c>
      <c r="Z133" s="205">
        <v>30.0</v>
      </c>
      <c r="AA133" s="205">
        <v>30.0</v>
      </c>
      <c r="AB133" s="205">
        <v>13.0</v>
      </c>
      <c r="AN133" s="205" t="s">
        <v>355</v>
      </c>
    </row>
    <row r="134" ht="17.25" customHeight="1">
      <c r="B134" s="205">
        <v>0.0</v>
      </c>
      <c r="C134" s="205" t="s">
        <v>271</v>
      </c>
      <c r="D134" s="205" t="s">
        <v>310</v>
      </c>
      <c r="E134" s="205" t="s">
        <v>310</v>
      </c>
      <c r="F134" s="205" t="s">
        <v>268</v>
      </c>
      <c r="G134" s="205" t="s">
        <v>271</v>
      </c>
      <c r="H134" s="205">
        <v>3.576799E7</v>
      </c>
      <c r="I134" s="205" t="s">
        <v>311</v>
      </c>
      <c r="J134" s="205" t="s">
        <v>1027</v>
      </c>
      <c r="K134" s="205" t="s">
        <v>1028</v>
      </c>
      <c r="L134" s="205" t="s">
        <v>271</v>
      </c>
      <c r="T134" s="205" t="s">
        <v>271</v>
      </c>
      <c r="V134" s="205">
        <v>602.1</v>
      </c>
      <c r="Y134" s="205">
        <v>1.5</v>
      </c>
      <c r="Z134" s="205">
        <v>25.0</v>
      </c>
      <c r="AA134" s="205">
        <v>25.0</v>
      </c>
      <c r="AB134" s="205">
        <v>15.0</v>
      </c>
      <c r="AN134" s="205" t="s">
        <v>355</v>
      </c>
    </row>
    <row r="135" ht="17.25" customHeight="1">
      <c r="B135" s="205">
        <v>0.0</v>
      </c>
      <c r="C135" s="205" t="s">
        <v>271</v>
      </c>
      <c r="D135" s="205" t="s">
        <v>310</v>
      </c>
      <c r="E135" s="205" t="s">
        <v>310</v>
      </c>
      <c r="F135" s="205" t="s">
        <v>268</v>
      </c>
      <c r="G135" s="205" t="s">
        <v>271</v>
      </c>
      <c r="H135" s="205">
        <v>3.5768377E7</v>
      </c>
      <c r="I135" s="205" t="s">
        <v>311</v>
      </c>
      <c r="J135" s="205" t="s">
        <v>1029</v>
      </c>
      <c r="K135" s="205" t="s">
        <v>1030</v>
      </c>
      <c r="L135" s="205" t="s">
        <v>271</v>
      </c>
      <c r="T135" s="205" t="s">
        <v>271</v>
      </c>
      <c r="V135" s="205">
        <v>818.6</v>
      </c>
      <c r="Y135" s="205">
        <v>2.0</v>
      </c>
      <c r="Z135" s="205">
        <v>25.0</v>
      </c>
      <c r="AA135" s="205">
        <v>25.0</v>
      </c>
      <c r="AB135" s="205">
        <v>15.0</v>
      </c>
      <c r="AN135" s="205" t="s">
        <v>355</v>
      </c>
    </row>
    <row r="136" ht="17.25" customHeight="1">
      <c r="B136" s="205">
        <v>0.0</v>
      </c>
      <c r="C136" s="205" t="s">
        <v>271</v>
      </c>
      <c r="D136" s="205" t="s">
        <v>310</v>
      </c>
      <c r="E136" s="205" t="s">
        <v>310</v>
      </c>
      <c r="F136" s="205" t="s">
        <v>268</v>
      </c>
      <c r="G136" s="205" t="s">
        <v>271</v>
      </c>
      <c r="H136" s="205">
        <v>5.5796473E7</v>
      </c>
      <c r="I136" s="205" t="s">
        <v>311</v>
      </c>
      <c r="J136" s="205" t="s">
        <v>1031</v>
      </c>
      <c r="K136" s="205" t="s">
        <v>1032</v>
      </c>
      <c r="L136" s="205" t="s">
        <v>271</v>
      </c>
      <c r="T136" s="205" t="s">
        <v>271</v>
      </c>
      <c r="V136" s="205">
        <v>3520.0</v>
      </c>
      <c r="W136" s="205">
        <v>3344.0</v>
      </c>
      <c r="Y136" s="205">
        <v>15.0</v>
      </c>
      <c r="Z136" s="205">
        <v>30.0</v>
      </c>
      <c r="AA136" s="205">
        <v>26.0</v>
      </c>
      <c r="AB136" s="205">
        <v>26.0</v>
      </c>
      <c r="AN136" s="205" t="s">
        <v>355</v>
      </c>
    </row>
    <row r="137" ht="17.25" customHeight="1">
      <c r="B137" s="205">
        <v>0.0</v>
      </c>
      <c r="C137" s="205" t="s">
        <v>271</v>
      </c>
      <c r="D137" s="205" t="s">
        <v>310</v>
      </c>
      <c r="E137" s="205" t="s">
        <v>310</v>
      </c>
      <c r="F137" s="205" t="s">
        <v>268</v>
      </c>
      <c r="G137" s="205" t="s">
        <v>271</v>
      </c>
      <c r="H137" s="205">
        <v>5.5799451E7</v>
      </c>
      <c r="I137" s="205" t="s">
        <v>311</v>
      </c>
      <c r="J137" s="205" t="s">
        <v>1033</v>
      </c>
      <c r="K137" s="205" t="s">
        <v>1034</v>
      </c>
      <c r="L137" s="205" t="s">
        <v>271</v>
      </c>
      <c r="T137" s="205" t="s">
        <v>271</v>
      </c>
      <c r="V137" s="205">
        <v>6101.0</v>
      </c>
      <c r="W137" s="205">
        <v>5796.0</v>
      </c>
      <c r="Y137" s="205">
        <v>25.0</v>
      </c>
      <c r="Z137" s="205">
        <v>90.0</v>
      </c>
      <c r="AA137" s="205">
        <v>30.0</v>
      </c>
      <c r="AB137" s="205">
        <v>30.0</v>
      </c>
      <c r="AN137" s="205" t="s">
        <v>357</v>
      </c>
    </row>
    <row r="138" ht="17.25" customHeight="1">
      <c r="B138" s="205">
        <v>0.0</v>
      </c>
      <c r="C138" s="205" t="s">
        <v>271</v>
      </c>
      <c r="D138" s="205" t="s">
        <v>310</v>
      </c>
      <c r="E138" s="205" t="s">
        <v>310</v>
      </c>
      <c r="F138" s="205" t="s">
        <v>268</v>
      </c>
      <c r="G138" s="205" t="s">
        <v>271</v>
      </c>
      <c r="H138" s="205">
        <v>5.5799479E7</v>
      </c>
      <c r="I138" s="205" t="s">
        <v>311</v>
      </c>
      <c r="J138" s="205" t="s">
        <v>1033</v>
      </c>
      <c r="K138" s="205" t="s">
        <v>1035</v>
      </c>
      <c r="L138" s="205" t="s">
        <v>271</v>
      </c>
      <c r="T138" s="205" t="s">
        <v>271</v>
      </c>
      <c r="V138" s="205">
        <v>6435.0</v>
      </c>
      <c r="W138" s="205">
        <v>6113.0</v>
      </c>
      <c r="Y138" s="205">
        <v>25.0</v>
      </c>
      <c r="Z138" s="205">
        <v>90.0</v>
      </c>
      <c r="AA138" s="205">
        <v>30.0</v>
      </c>
      <c r="AB138" s="205">
        <v>30.0</v>
      </c>
      <c r="AN138" s="205" t="s">
        <v>355</v>
      </c>
    </row>
    <row r="139" ht="17.25" customHeight="1">
      <c r="B139" s="205">
        <v>0.0</v>
      </c>
      <c r="C139" s="205" t="s">
        <v>271</v>
      </c>
      <c r="D139" s="205" t="s">
        <v>310</v>
      </c>
      <c r="E139" s="205" t="s">
        <v>310</v>
      </c>
      <c r="F139" s="205" t="s">
        <v>268</v>
      </c>
      <c r="G139" s="205" t="s">
        <v>271</v>
      </c>
      <c r="H139" s="205">
        <v>5.5800819E7</v>
      </c>
      <c r="I139" s="205" t="s">
        <v>311</v>
      </c>
      <c r="J139" s="205" t="s">
        <v>1036</v>
      </c>
      <c r="K139" s="205" t="s">
        <v>1037</v>
      </c>
      <c r="L139" s="205" t="s">
        <v>271</v>
      </c>
      <c r="T139" s="205" t="s">
        <v>271</v>
      </c>
      <c r="V139" s="205">
        <v>7603.0</v>
      </c>
      <c r="W139" s="205">
        <v>7223.0</v>
      </c>
      <c r="Y139" s="205">
        <v>25.0</v>
      </c>
      <c r="Z139" s="205">
        <v>90.0</v>
      </c>
      <c r="AA139" s="205">
        <v>30.0</v>
      </c>
      <c r="AB139" s="205">
        <v>30.0</v>
      </c>
      <c r="AN139" s="205" t="s">
        <v>355</v>
      </c>
    </row>
    <row r="140" ht="17.25" customHeight="1">
      <c r="B140" s="205">
        <v>0.0</v>
      </c>
      <c r="C140" s="205" t="s">
        <v>271</v>
      </c>
      <c r="D140" s="205" t="s">
        <v>310</v>
      </c>
      <c r="E140" s="205" t="s">
        <v>310</v>
      </c>
      <c r="F140" s="205" t="s">
        <v>268</v>
      </c>
      <c r="G140" s="205" t="s">
        <v>271</v>
      </c>
      <c r="H140" s="205">
        <v>5.5801449E7</v>
      </c>
      <c r="I140" s="205" t="s">
        <v>311</v>
      </c>
      <c r="J140" s="205" t="s">
        <v>1036</v>
      </c>
      <c r="K140" s="205" t="s">
        <v>1038</v>
      </c>
      <c r="L140" s="205" t="s">
        <v>271</v>
      </c>
      <c r="T140" s="205" t="s">
        <v>271</v>
      </c>
      <c r="V140" s="205">
        <v>7279.0</v>
      </c>
      <c r="W140" s="205">
        <v>6890.0</v>
      </c>
      <c r="Y140" s="205">
        <v>25.0</v>
      </c>
      <c r="Z140" s="205">
        <v>90.0</v>
      </c>
      <c r="AA140" s="205">
        <v>30.0</v>
      </c>
      <c r="AB140" s="205">
        <v>30.0</v>
      </c>
      <c r="AN140" s="205" t="s">
        <v>357</v>
      </c>
    </row>
    <row r="141" ht="17.25" customHeight="1">
      <c r="B141" s="205">
        <v>0.0</v>
      </c>
      <c r="C141" s="205" t="s">
        <v>271</v>
      </c>
      <c r="D141" s="205" t="s">
        <v>310</v>
      </c>
      <c r="E141" s="205" t="s">
        <v>310</v>
      </c>
      <c r="F141" s="205" t="s">
        <v>268</v>
      </c>
      <c r="G141" s="205" t="s">
        <v>271</v>
      </c>
      <c r="H141" s="205">
        <v>5.5801834E7</v>
      </c>
      <c r="I141" s="205" t="s">
        <v>311</v>
      </c>
      <c r="J141" s="205" t="s">
        <v>1039</v>
      </c>
      <c r="K141" s="205" t="s">
        <v>1040</v>
      </c>
      <c r="L141" s="205" t="s">
        <v>271</v>
      </c>
      <c r="T141" s="205" t="s">
        <v>271</v>
      </c>
      <c r="V141" s="205">
        <v>4813.0</v>
      </c>
      <c r="W141" s="205">
        <v>4572.0</v>
      </c>
      <c r="Y141" s="205">
        <v>15.0</v>
      </c>
      <c r="Z141" s="205">
        <v>30.0</v>
      </c>
      <c r="AA141" s="205">
        <v>26.0</v>
      </c>
      <c r="AB141" s="205">
        <v>26.0</v>
      </c>
      <c r="AN141" s="205" t="s">
        <v>355</v>
      </c>
    </row>
    <row r="142" ht="17.25" customHeight="1">
      <c r="B142" s="205">
        <v>0.0</v>
      </c>
      <c r="C142" s="205" t="s">
        <v>271</v>
      </c>
      <c r="D142" s="205" t="s">
        <v>310</v>
      </c>
      <c r="E142" s="205" t="s">
        <v>310</v>
      </c>
      <c r="F142" s="205" t="s">
        <v>268</v>
      </c>
      <c r="G142" s="205" t="s">
        <v>271</v>
      </c>
      <c r="H142" s="205">
        <v>5.5802221E7</v>
      </c>
      <c r="I142" s="205" t="s">
        <v>311</v>
      </c>
      <c r="J142" s="205" t="s">
        <v>1041</v>
      </c>
      <c r="K142" s="205" t="s">
        <v>1042</v>
      </c>
      <c r="L142" s="205" t="s">
        <v>271</v>
      </c>
      <c r="T142" s="205" t="s">
        <v>271</v>
      </c>
      <c r="V142" s="205">
        <v>7394.0</v>
      </c>
      <c r="W142" s="205">
        <v>6990.0</v>
      </c>
      <c r="Y142" s="205">
        <v>25.0</v>
      </c>
      <c r="Z142" s="205">
        <v>90.0</v>
      </c>
      <c r="AA142" s="205">
        <v>30.0</v>
      </c>
      <c r="AB142" s="205">
        <v>30.0</v>
      </c>
      <c r="AN142" s="205" t="s">
        <v>357</v>
      </c>
    </row>
    <row r="143" ht="17.25" customHeight="1">
      <c r="B143" s="205">
        <v>0.0</v>
      </c>
      <c r="C143" s="205" t="s">
        <v>271</v>
      </c>
      <c r="D143" s="205" t="s">
        <v>310</v>
      </c>
      <c r="E143" s="205" t="s">
        <v>310</v>
      </c>
      <c r="F143" s="205" t="s">
        <v>268</v>
      </c>
      <c r="G143" s="205" t="s">
        <v>271</v>
      </c>
      <c r="H143" s="205">
        <v>5.5802265E7</v>
      </c>
      <c r="I143" s="205" t="s">
        <v>311</v>
      </c>
      <c r="J143" s="205" t="s">
        <v>1041</v>
      </c>
      <c r="K143" s="205" t="s">
        <v>1043</v>
      </c>
      <c r="L143" s="205" t="s">
        <v>271</v>
      </c>
      <c r="T143" s="205" t="s">
        <v>271</v>
      </c>
      <c r="V143" s="205">
        <v>7728.0</v>
      </c>
      <c r="W143" s="205">
        <v>7341.0</v>
      </c>
      <c r="Y143" s="205">
        <v>25.0</v>
      </c>
      <c r="Z143" s="205">
        <v>90.0</v>
      </c>
      <c r="AA143" s="205">
        <v>30.0</v>
      </c>
      <c r="AB143" s="205">
        <v>30.0</v>
      </c>
      <c r="AN143" s="205" t="s">
        <v>355</v>
      </c>
    </row>
    <row r="144" ht="17.25" customHeight="1">
      <c r="B144" s="205">
        <v>0.0</v>
      </c>
      <c r="C144" s="205" t="s">
        <v>271</v>
      </c>
      <c r="D144" s="205" t="s">
        <v>310</v>
      </c>
      <c r="E144" s="205" t="s">
        <v>310</v>
      </c>
      <c r="F144" s="205" t="s">
        <v>268</v>
      </c>
      <c r="G144" s="205" t="s">
        <v>271</v>
      </c>
      <c r="H144" s="205">
        <v>5.5830242E7</v>
      </c>
      <c r="I144" s="205" t="s">
        <v>311</v>
      </c>
      <c r="J144" s="205" t="s">
        <v>1044</v>
      </c>
      <c r="K144" s="205" t="s">
        <v>1045</v>
      </c>
      <c r="L144" s="205" t="s">
        <v>271</v>
      </c>
      <c r="T144" s="205" t="s">
        <v>271</v>
      </c>
      <c r="V144" s="205">
        <v>6401.0</v>
      </c>
      <c r="W144" s="205">
        <v>6081.0</v>
      </c>
      <c r="Y144" s="205">
        <v>25.0</v>
      </c>
      <c r="Z144" s="205">
        <v>90.0</v>
      </c>
      <c r="AA144" s="205">
        <v>30.0</v>
      </c>
      <c r="AB144" s="205">
        <v>30.0</v>
      </c>
      <c r="AN144" s="205" t="s">
        <v>355</v>
      </c>
    </row>
    <row r="145" ht="17.25" customHeight="1">
      <c r="B145" s="205">
        <v>0.0</v>
      </c>
      <c r="C145" s="205" t="s">
        <v>271</v>
      </c>
      <c r="D145" s="205" t="s">
        <v>310</v>
      </c>
      <c r="E145" s="205" t="s">
        <v>310</v>
      </c>
      <c r="F145" s="205" t="s">
        <v>268</v>
      </c>
      <c r="G145" s="205" t="s">
        <v>271</v>
      </c>
      <c r="H145" s="205">
        <v>5.5830537E7</v>
      </c>
      <c r="I145" s="205" t="s">
        <v>311</v>
      </c>
      <c r="J145" s="205" t="s">
        <v>1046</v>
      </c>
      <c r="K145" s="205" t="s">
        <v>1047</v>
      </c>
      <c r="L145" s="205" t="s">
        <v>271</v>
      </c>
      <c r="T145" s="205" t="s">
        <v>271</v>
      </c>
      <c r="V145" s="205">
        <v>4688.0</v>
      </c>
      <c r="W145" s="205">
        <v>4454.0</v>
      </c>
      <c r="Y145" s="205">
        <v>25.0</v>
      </c>
      <c r="Z145" s="205">
        <v>90.0</v>
      </c>
      <c r="AA145" s="205">
        <v>30.0</v>
      </c>
      <c r="AB145" s="205">
        <v>30.0</v>
      </c>
      <c r="AN145" s="205" t="s">
        <v>355</v>
      </c>
    </row>
    <row r="146" ht="17.25" customHeight="1">
      <c r="B146" s="205">
        <v>0.0</v>
      </c>
      <c r="C146" s="205" t="s">
        <v>271</v>
      </c>
      <c r="D146" s="205" t="s">
        <v>310</v>
      </c>
      <c r="E146" s="205" t="s">
        <v>310</v>
      </c>
      <c r="F146" s="205" t="s">
        <v>268</v>
      </c>
      <c r="G146" s="205" t="s">
        <v>271</v>
      </c>
      <c r="H146" s="205">
        <v>5.5830676E7</v>
      </c>
      <c r="I146" s="205" t="s">
        <v>311</v>
      </c>
      <c r="J146" s="205" t="s">
        <v>1048</v>
      </c>
      <c r="K146" s="205" t="s">
        <v>1049</v>
      </c>
      <c r="L146" s="205" t="s">
        <v>271</v>
      </c>
      <c r="T146" s="205" t="s">
        <v>271</v>
      </c>
      <c r="V146" s="205">
        <v>9000.0</v>
      </c>
      <c r="W146" s="205">
        <v>8590.0</v>
      </c>
      <c r="Y146" s="205">
        <v>25.0</v>
      </c>
      <c r="Z146" s="205">
        <v>90.0</v>
      </c>
      <c r="AA146" s="205">
        <v>30.0</v>
      </c>
      <c r="AB146" s="205">
        <v>30.0</v>
      </c>
      <c r="AN146" s="205" t="s">
        <v>357</v>
      </c>
    </row>
    <row r="147" ht="17.25" customHeight="1">
      <c r="B147" s="205">
        <v>0.0</v>
      </c>
      <c r="C147" s="205" t="s">
        <v>271</v>
      </c>
      <c r="D147" s="205" t="s">
        <v>310</v>
      </c>
      <c r="E147" s="205" t="s">
        <v>310</v>
      </c>
      <c r="F147" s="205" t="s">
        <v>268</v>
      </c>
      <c r="G147" s="205" t="s">
        <v>271</v>
      </c>
      <c r="H147" s="205">
        <v>5.5830701E7</v>
      </c>
      <c r="I147" s="205" t="s">
        <v>311</v>
      </c>
      <c r="J147" s="205" t="s">
        <v>1048</v>
      </c>
      <c r="K147" s="205" t="s">
        <v>1050</v>
      </c>
      <c r="L147" s="205" t="s">
        <v>271</v>
      </c>
      <c r="T147" s="205" t="s">
        <v>271</v>
      </c>
      <c r="V147" s="205">
        <v>9316.0</v>
      </c>
      <c r="W147" s="205">
        <v>8890.0</v>
      </c>
      <c r="Y147" s="205">
        <v>25.0</v>
      </c>
      <c r="Z147" s="205">
        <v>90.0</v>
      </c>
      <c r="AA147" s="205">
        <v>30.0</v>
      </c>
      <c r="AB147" s="205">
        <v>30.0</v>
      </c>
      <c r="AN147" s="205" t="s">
        <v>355</v>
      </c>
    </row>
    <row r="148" ht="17.25" customHeight="1">
      <c r="B148" s="205">
        <v>0.0</v>
      </c>
      <c r="C148" s="205" t="s">
        <v>271</v>
      </c>
      <c r="D148" s="205" t="s">
        <v>310</v>
      </c>
      <c r="E148" s="205" t="s">
        <v>310</v>
      </c>
      <c r="F148" s="205" t="s">
        <v>268</v>
      </c>
      <c r="G148" s="205" t="s">
        <v>271</v>
      </c>
      <c r="H148" s="205">
        <v>6.0170583E7</v>
      </c>
      <c r="I148" s="205" t="s">
        <v>311</v>
      </c>
      <c r="J148" s="205" t="s">
        <v>1051</v>
      </c>
      <c r="K148" s="205" t="s">
        <v>1052</v>
      </c>
      <c r="L148" s="205" t="s">
        <v>271</v>
      </c>
      <c r="T148" s="205" t="s">
        <v>271</v>
      </c>
      <c r="V148" s="205">
        <v>2661.0</v>
      </c>
      <c r="Y148" s="205">
        <v>13.0</v>
      </c>
      <c r="Z148" s="205">
        <v>30.0</v>
      </c>
      <c r="AA148" s="205">
        <v>30.0</v>
      </c>
      <c r="AB148" s="205">
        <v>30.0</v>
      </c>
      <c r="AN148" s="205" t="s">
        <v>357</v>
      </c>
    </row>
    <row r="149" ht="17.25" customHeight="1">
      <c r="B149" s="205">
        <v>0.0</v>
      </c>
      <c r="C149" s="205" t="s">
        <v>271</v>
      </c>
      <c r="D149" s="205" t="s">
        <v>310</v>
      </c>
      <c r="E149" s="205" t="s">
        <v>310</v>
      </c>
      <c r="F149" s="205" t="s">
        <v>268</v>
      </c>
      <c r="G149" s="205" t="s">
        <v>271</v>
      </c>
      <c r="H149" s="205">
        <v>6.0170666E7</v>
      </c>
      <c r="I149" s="205" t="s">
        <v>311</v>
      </c>
      <c r="J149" s="205" t="s">
        <v>1051</v>
      </c>
      <c r="K149" s="205" t="s">
        <v>1053</v>
      </c>
      <c r="L149" s="205" t="s">
        <v>271</v>
      </c>
      <c r="T149" s="205" t="s">
        <v>271</v>
      </c>
      <c r="V149" s="205">
        <v>3005.16</v>
      </c>
      <c r="Y149" s="205">
        <v>13.0</v>
      </c>
      <c r="Z149" s="205">
        <v>30.0</v>
      </c>
      <c r="AA149" s="205">
        <v>30.0</v>
      </c>
      <c r="AB149" s="205">
        <v>30.0</v>
      </c>
      <c r="AN149" s="205" t="s">
        <v>355</v>
      </c>
    </row>
    <row r="150" ht="17.25" customHeight="1">
      <c r="B150" s="205">
        <v>0.0</v>
      </c>
      <c r="C150" s="205" t="s">
        <v>268</v>
      </c>
      <c r="D150" s="205" t="s">
        <v>269</v>
      </c>
      <c r="E150" s="205" t="s">
        <v>270</v>
      </c>
      <c r="F150" s="205" t="s">
        <v>268</v>
      </c>
      <c r="G150" s="205" t="s">
        <v>271</v>
      </c>
      <c r="H150" s="205">
        <v>8.8436738E7</v>
      </c>
      <c r="I150" s="205" t="s">
        <v>311</v>
      </c>
      <c r="J150" s="205" t="s">
        <v>1054</v>
      </c>
      <c r="K150" s="205" t="s">
        <v>1055</v>
      </c>
      <c r="L150" s="205" t="s">
        <v>271</v>
      </c>
      <c r="T150" s="205" t="s">
        <v>271</v>
      </c>
      <c r="V150" s="205">
        <v>5999.99</v>
      </c>
      <c r="W150" s="205">
        <v>5699.99</v>
      </c>
      <c r="Y150" s="205">
        <v>9.0</v>
      </c>
      <c r="Z150" s="205">
        <v>24.0</v>
      </c>
      <c r="AA150" s="205">
        <v>45.0</v>
      </c>
      <c r="AB150" s="205">
        <v>50.0</v>
      </c>
      <c r="AU150" s="205" t="s">
        <v>1056</v>
      </c>
    </row>
    <row r="151" ht="17.25" customHeight="1">
      <c r="B151" s="205">
        <v>0.0</v>
      </c>
      <c r="C151" s="205" t="s">
        <v>268</v>
      </c>
      <c r="D151" s="205" t="s">
        <v>269</v>
      </c>
      <c r="E151" s="205" t="s">
        <v>270</v>
      </c>
      <c r="F151" s="205" t="s">
        <v>268</v>
      </c>
      <c r="G151" s="205" t="s">
        <v>271</v>
      </c>
      <c r="H151" s="205">
        <v>8.8437278E7</v>
      </c>
      <c r="I151" s="205" t="s">
        <v>311</v>
      </c>
      <c r="J151" s="205" t="s">
        <v>1057</v>
      </c>
      <c r="K151" s="205" t="s">
        <v>1058</v>
      </c>
      <c r="L151" s="205" t="s">
        <v>271</v>
      </c>
      <c r="T151" s="205" t="s">
        <v>271</v>
      </c>
      <c r="V151" s="205">
        <v>9989.0</v>
      </c>
      <c r="W151" s="205">
        <v>9499.0</v>
      </c>
      <c r="Y151" s="205">
        <v>10.0</v>
      </c>
      <c r="Z151" s="205">
        <v>24.0</v>
      </c>
      <c r="AA151" s="205">
        <v>45.0</v>
      </c>
      <c r="AB151" s="205">
        <v>50.0</v>
      </c>
      <c r="AU151" s="205" t="s">
        <v>1056</v>
      </c>
    </row>
    <row r="152" ht="17.25" customHeight="1">
      <c r="B152" s="205">
        <v>0.0</v>
      </c>
      <c r="C152" s="205" t="s">
        <v>268</v>
      </c>
      <c r="D152" s="205" t="s">
        <v>269</v>
      </c>
      <c r="E152" s="205" t="s">
        <v>270</v>
      </c>
      <c r="F152" s="205" t="s">
        <v>268</v>
      </c>
      <c r="G152" s="205" t="s">
        <v>271</v>
      </c>
      <c r="H152" s="205">
        <v>8.8437634E7</v>
      </c>
      <c r="I152" s="205" t="s">
        <v>311</v>
      </c>
      <c r="J152" s="205" t="s">
        <v>1059</v>
      </c>
      <c r="K152" s="205" t="s">
        <v>1060</v>
      </c>
      <c r="L152" s="205" t="s">
        <v>271</v>
      </c>
      <c r="T152" s="205" t="s">
        <v>271</v>
      </c>
      <c r="V152" s="205">
        <v>11900.0</v>
      </c>
      <c r="W152" s="205">
        <v>11499.0</v>
      </c>
      <c r="Y152" s="205">
        <v>9.0</v>
      </c>
      <c r="Z152" s="205">
        <v>24.0</v>
      </c>
      <c r="AA152" s="205">
        <v>45.0</v>
      </c>
      <c r="AB152" s="205">
        <v>50.0</v>
      </c>
      <c r="AU152" s="205" t="s">
        <v>1056</v>
      </c>
    </row>
    <row r="153" ht="17.25" customHeight="1">
      <c r="B153" s="205">
        <v>0.0</v>
      </c>
      <c r="C153" s="205" t="s">
        <v>271</v>
      </c>
      <c r="D153" s="205" t="s">
        <v>269</v>
      </c>
      <c r="E153" s="205" t="s">
        <v>513</v>
      </c>
      <c r="F153" s="205" t="s">
        <v>268</v>
      </c>
      <c r="G153" s="205" t="s">
        <v>271</v>
      </c>
      <c r="H153" s="205">
        <v>1.06831739E8</v>
      </c>
      <c r="I153" s="205" t="s">
        <v>311</v>
      </c>
      <c r="J153" s="205" t="s">
        <v>1061</v>
      </c>
      <c r="K153" s="205" t="s">
        <v>1062</v>
      </c>
      <c r="L153" s="205" t="s">
        <v>271</v>
      </c>
      <c r="T153" s="205" t="s">
        <v>271</v>
      </c>
      <c r="V153" s="205">
        <v>599.0</v>
      </c>
      <c r="W153" s="205">
        <v>499.0</v>
      </c>
      <c r="AZ153" s="205" t="s">
        <v>1063</v>
      </c>
    </row>
    <row r="154" ht="17.25" customHeight="1">
      <c r="B154" s="205">
        <v>0.0</v>
      </c>
      <c r="C154" s="205" t="s">
        <v>271</v>
      </c>
      <c r="D154" s="205" t="s">
        <v>269</v>
      </c>
      <c r="E154" s="205" t="s">
        <v>513</v>
      </c>
      <c r="F154" s="205" t="s">
        <v>268</v>
      </c>
      <c r="G154" s="205" t="s">
        <v>271</v>
      </c>
      <c r="H154" s="205">
        <v>1.06831796E8</v>
      </c>
      <c r="I154" s="205" t="s">
        <v>311</v>
      </c>
      <c r="J154" s="205" t="s">
        <v>1061</v>
      </c>
      <c r="K154" s="205" t="s">
        <v>1064</v>
      </c>
      <c r="L154" s="205" t="s">
        <v>271</v>
      </c>
      <c r="T154" s="205" t="s">
        <v>271</v>
      </c>
      <c r="V154" s="205">
        <v>799.0</v>
      </c>
      <c r="W154" s="205">
        <v>699.0</v>
      </c>
      <c r="AZ154" s="205" t="s">
        <v>1065</v>
      </c>
    </row>
    <row r="155" ht="17.25" customHeight="1">
      <c r="B155" s="205">
        <v>0.0</v>
      </c>
      <c r="C155" s="205" t="s">
        <v>271</v>
      </c>
      <c r="D155" s="205" t="s">
        <v>269</v>
      </c>
      <c r="E155" s="205" t="s">
        <v>513</v>
      </c>
      <c r="F155" s="205" t="s">
        <v>268</v>
      </c>
      <c r="G155" s="205" t="s">
        <v>271</v>
      </c>
      <c r="H155" s="205">
        <v>1.06831822E8</v>
      </c>
      <c r="I155" s="205" t="s">
        <v>311</v>
      </c>
      <c r="J155" s="205" t="s">
        <v>1061</v>
      </c>
      <c r="K155" s="205" t="s">
        <v>1066</v>
      </c>
      <c r="L155" s="205" t="s">
        <v>271</v>
      </c>
      <c r="T155" s="205" t="s">
        <v>271</v>
      </c>
      <c r="V155" s="205">
        <v>1099.0</v>
      </c>
      <c r="W155" s="205">
        <v>899.0</v>
      </c>
      <c r="AZ155" s="205" t="s">
        <v>1067</v>
      </c>
    </row>
    <row r="156" ht="17.25" customHeight="1">
      <c r="B156" s="205">
        <v>0.0</v>
      </c>
      <c r="C156" s="205" t="s">
        <v>271</v>
      </c>
      <c r="D156" s="205" t="s">
        <v>269</v>
      </c>
      <c r="E156" s="205" t="s">
        <v>513</v>
      </c>
      <c r="F156" s="205" t="s">
        <v>268</v>
      </c>
      <c r="G156" s="205" t="s">
        <v>271</v>
      </c>
      <c r="H156" s="205">
        <v>1.06831858E8</v>
      </c>
      <c r="I156" s="205" t="s">
        <v>311</v>
      </c>
      <c r="J156" s="205" t="s">
        <v>1061</v>
      </c>
      <c r="K156" s="205" t="s">
        <v>1068</v>
      </c>
      <c r="L156" s="205" t="s">
        <v>271</v>
      </c>
      <c r="T156" s="205" t="s">
        <v>271</v>
      </c>
      <c r="V156" s="205">
        <v>1299.0</v>
      </c>
      <c r="W156" s="205">
        <v>1099.0</v>
      </c>
      <c r="AZ156" s="205" t="s">
        <v>1069</v>
      </c>
    </row>
    <row r="157" ht="17.25" customHeight="1">
      <c r="B157" s="205">
        <v>0.0</v>
      </c>
      <c r="C157" s="205" t="s">
        <v>271</v>
      </c>
      <c r="D157" s="205" t="s">
        <v>386</v>
      </c>
      <c r="E157" s="205" t="s">
        <v>386</v>
      </c>
      <c r="F157" s="205" t="s">
        <v>268</v>
      </c>
      <c r="G157" s="205" t="s">
        <v>271</v>
      </c>
      <c r="H157" s="205">
        <v>1.06832262E8</v>
      </c>
      <c r="I157" s="205" t="s">
        <v>311</v>
      </c>
      <c r="J157" s="205" t="s">
        <v>1061</v>
      </c>
      <c r="K157" s="205" t="s">
        <v>1070</v>
      </c>
      <c r="L157" s="205" t="s">
        <v>271</v>
      </c>
      <c r="T157" s="205" t="s">
        <v>271</v>
      </c>
      <c r="V157" s="205">
        <v>1499.0</v>
      </c>
      <c r="W157" s="205">
        <v>1299.0</v>
      </c>
      <c r="AZ157" s="205" t="s">
        <v>1071</v>
      </c>
    </row>
    <row r="158" ht="17.25" customHeight="1">
      <c r="B158" s="205">
        <v>0.0</v>
      </c>
      <c r="C158" s="205" t="s">
        <v>271</v>
      </c>
      <c r="D158" s="205" t="s">
        <v>269</v>
      </c>
      <c r="E158" s="205" t="s">
        <v>513</v>
      </c>
      <c r="F158" s="205" t="s">
        <v>268</v>
      </c>
      <c r="G158" s="205" t="s">
        <v>271</v>
      </c>
      <c r="H158" s="205">
        <v>1.06847687E8</v>
      </c>
      <c r="I158" s="205" t="s">
        <v>311</v>
      </c>
      <c r="J158" s="205" t="s">
        <v>1072</v>
      </c>
      <c r="K158" s="205" t="s">
        <v>1073</v>
      </c>
      <c r="L158" s="205" t="s">
        <v>271</v>
      </c>
      <c r="T158" s="205" t="s">
        <v>271</v>
      </c>
      <c r="V158" s="205">
        <v>499.0</v>
      </c>
      <c r="W158" s="205">
        <v>399.0</v>
      </c>
      <c r="AZ158" s="205" t="s">
        <v>1063</v>
      </c>
    </row>
    <row r="159" ht="17.25" customHeight="1">
      <c r="B159" s="205">
        <v>0.0</v>
      </c>
      <c r="C159" s="205" t="s">
        <v>271</v>
      </c>
      <c r="D159" s="205" t="s">
        <v>269</v>
      </c>
      <c r="E159" s="205" t="s">
        <v>513</v>
      </c>
      <c r="F159" s="205" t="s">
        <v>268</v>
      </c>
      <c r="G159" s="205" t="s">
        <v>271</v>
      </c>
      <c r="H159" s="205">
        <v>1.06849867E8</v>
      </c>
      <c r="I159" s="205" t="s">
        <v>311</v>
      </c>
      <c r="J159" s="205" t="s">
        <v>1072</v>
      </c>
      <c r="K159" s="205" t="s">
        <v>1074</v>
      </c>
      <c r="L159" s="205" t="s">
        <v>271</v>
      </c>
      <c r="T159" s="205" t="s">
        <v>271</v>
      </c>
      <c r="V159" s="205">
        <v>590.0</v>
      </c>
      <c r="W159" s="205">
        <v>499.0</v>
      </c>
      <c r="AZ159" s="205" t="s">
        <v>1065</v>
      </c>
    </row>
    <row r="160" ht="17.25" customHeight="1">
      <c r="B160" s="205">
        <v>0.0</v>
      </c>
      <c r="C160" s="205" t="s">
        <v>271</v>
      </c>
      <c r="D160" s="205" t="s">
        <v>269</v>
      </c>
      <c r="E160" s="205" t="s">
        <v>513</v>
      </c>
      <c r="F160" s="205" t="s">
        <v>268</v>
      </c>
      <c r="G160" s="205" t="s">
        <v>271</v>
      </c>
      <c r="H160" s="205">
        <v>1.06850205E8</v>
      </c>
      <c r="I160" s="205" t="s">
        <v>311</v>
      </c>
      <c r="J160" s="205" t="s">
        <v>1072</v>
      </c>
      <c r="K160" s="205" t="s">
        <v>1075</v>
      </c>
      <c r="L160" s="205" t="s">
        <v>271</v>
      </c>
      <c r="T160" s="205" t="s">
        <v>271</v>
      </c>
      <c r="V160" s="205">
        <v>699.0</v>
      </c>
      <c r="W160" s="205">
        <v>599.0</v>
      </c>
      <c r="AZ160" s="205" t="s">
        <v>1067</v>
      </c>
    </row>
    <row r="161" ht="17.25" customHeight="1">
      <c r="B161" s="205">
        <v>0.0</v>
      </c>
      <c r="C161" s="205" t="s">
        <v>271</v>
      </c>
      <c r="D161" s="205" t="s">
        <v>269</v>
      </c>
      <c r="E161" s="205" t="s">
        <v>513</v>
      </c>
      <c r="F161" s="205" t="s">
        <v>268</v>
      </c>
      <c r="G161" s="205" t="s">
        <v>271</v>
      </c>
      <c r="H161" s="205">
        <v>1.06850302E8</v>
      </c>
      <c r="I161" s="205" t="s">
        <v>311</v>
      </c>
      <c r="J161" s="205" t="s">
        <v>1072</v>
      </c>
      <c r="K161" s="205" t="s">
        <v>1076</v>
      </c>
      <c r="L161" s="205" t="s">
        <v>271</v>
      </c>
      <c r="T161" s="205" t="s">
        <v>271</v>
      </c>
      <c r="V161" s="205">
        <v>799.0</v>
      </c>
      <c r="W161" s="205">
        <v>699.0</v>
      </c>
      <c r="AZ161" s="205" t="s">
        <v>1069</v>
      </c>
    </row>
    <row r="162" ht="17.25" customHeight="1">
      <c r="B162" s="205">
        <v>0.0</v>
      </c>
      <c r="C162" s="205" t="s">
        <v>271</v>
      </c>
      <c r="D162" s="205" t="s">
        <v>269</v>
      </c>
      <c r="E162" s="205" t="s">
        <v>513</v>
      </c>
      <c r="F162" s="205" t="s">
        <v>268</v>
      </c>
      <c r="G162" s="205" t="s">
        <v>271</v>
      </c>
      <c r="H162" s="205">
        <v>1.06850449E8</v>
      </c>
      <c r="I162" s="205" t="s">
        <v>311</v>
      </c>
      <c r="J162" s="205" t="s">
        <v>1072</v>
      </c>
      <c r="K162" s="205" t="s">
        <v>1077</v>
      </c>
      <c r="L162" s="205" t="s">
        <v>271</v>
      </c>
      <c r="T162" s="205" t="s">
        <v>271</v>
      </c>
      <c r="V162" s="205">
        <v>899.0</v>
      </c>
      <c r="W162" s="205">
        <v>799.0</v>
      </c>
      <c r="AZ162" s="205" t="s">
        <v>1071</v>
      </c>
    </row>
    <row r="163" ht="17.25" customHeight="1">
      <c r="B163" s="205">
        <v>0.0</v>
      </c>
      <c r="C163" s="205" t="s">
        <v>271</v>
      </c>
      <c r="D163" s="205" t="s">
        <v>310</v>
      </c>
      <c r="E163" s="205" t="s">
        <v>310</v>
      </c>
      <c r="F163" s="205" t="s">
        <v>268</v>
      </c>
      <c r="G163" s="205" t="s">
        <v>271</v>
      </c>
      <c r="H163" s="205">
        <v>1.11211941E8</v>
      </c>
      <c r="I163" s="205" t="s">
        <v>311</v>
      </c>
      <c r="J163" s="205" t="s">
        <v>568</v>
      </c>
      <c r="K163" s="205" t="s">
        <v>1078</v>
      </c>
      <c r="L163" s="205" t="s">
        <v>271</v>
      </c>
      <c r="T163" s="205" t="s">
        <v>271</v>
      </c>
      <c r="V163" s="205">
        <v>1299.0</v>
      </c>
      <c r="W163" s="205">
        <v>1179.0</v>
      </c>
      <c r="Y163" s="205">
        <v>5.0</v>
      </c>
      <c r="Z163" s="205">
        <v>45.0</v>
      </c>
      <c r="AA163" s="205">
        <v>45.0</v>
      </c>
      <c r="AB163" s="205">
        <v>45.0</v>
      </c>
      <c r="AN163" s="205" t="s">
        <v>355</v>
      </c>
    </row>
    <row r="164" ht="17.25" customHeight="1">
      <c r="B164" s="205">
        <v>0.0</v>
      </c>
      <c r="C164" s="205" t="s">
        <v>271</v>
      </c>
      <c r="D164" s="205" t="s">
        <v>310</v>
      </c>
      <c r="E164" s="205" t="s">
        <v>310</v>
      </c>
      <c r="F164" s="205" t="s">
        <v>268</v>
      </c>
      <c r="G164" s="205" t="s">
        <v>271</v>
      </c>
      <c r="H164" s="205">
        <v>1.11212515E8</v>
      </c>
      <c r="I164" s="205" t="s">
        <v>311</v>
      </c>
      <c r="J164" s="205" t="s">
        <v>1079</v>
      </c>
      <c r="K164" s="205" t="s">
        <v>1080</v>
      </c>
      <c r="L164" s="205" t="s">
        <v>271</v>
      </c>
      <c r="T164" s="205" t="s">
        <v>271</v>
      </c>
      <c r="V164" s="205">
        <v>999.0</v>
      </c>
      <c r="W164" s="205">
        <v>789.0</v>
      </c>
      <c r="Y164" s="205">
        <v>3.0</v>
      </c>
      <c r="Z164" s="205">
        <v>35.0</v>
      </c>
      <c r="AA164" s="205">
        <v>45.0</v>
      </c>
      <c r="AB164" s="205">
        <v>45.0</v>
      </c>
      <c r="AN164" s="205" t="s">
        <v>355</v>
      </c>
    </row>
    <row r="165" ht="17.25" customHeight="1">
      <c r="B165" s="205">
        <v>0.0</v>
      </c>
      <c r="C165" s="205" t="s">
        <v>271</v>
      </c>
      <c r="D165" s="205" t="s">
        <v>310</v>
      </c>
      <c r="E165" s="205" t="s">
        <v>310</v>
      </c>
      <c r="F165" s="205" t="s">
        <v>268</v>
      </c>
      <c r="G165" s="205" t="s">
        <v>271</v>
      </c>
      <c r="H165" s="205">
        <v>1.11212587E8</v>
      </c>
      <c r="I165" s="205" t="s">
        <v>311</v>
      </c>
      <c r="J165" s="205" t="s">
        <v>1079</v>
      </c>
      <c r="K165" s="205" t="s">
        <v>1081</v>
      </c>
      <c r="L165" s="205" t="s">
        <v>271</v>
      </c>
      <c r="T165" s="205" t="s">
        <v>271</v>
      </c>
      <c r="V165" s="205">
        <v>999.0</v>
      </c>
      <c r="W165" s="205">
        <v>789.0</v>
      </c>
      <c r="AN165" s="205" t="s">
        <v>357</v>
      </c>
    </row>
    <row r="166" ht="17.25" customHeight="1">
      <c r="B166" s="205">
        <v>0.0</v>
      </c>
      <c r="C166" s="205" t="s">
        <v>271</v>
      </c>
      <c r="D166" s="205" t="s">
        <v>310</v>
      </c>
      <c r="E166" s="205" t="s">
        <v>310</v>
      </c>
      <c r="F166" s="205" t="s">
        <v>268</v>
      </c>
      <c r="G166" s="205" t="s">
        <v>271</v>
      </c>
      <c r="H166" s="205">
        <v>1.1121533E8</v>
      </c>
      <c r="I166" s="205" t="s">
        <v>311</v>
      </c>
      <c r="J166" s="205" t="s">
        <v>1082</v>
      </c>
      <c r="K166" s="205" t="s">
        <v>1083</v>
      </c>
      <c r="L166" s="205" t="s">
        <v>271</v>
      </c>
      <c r="T166" s="205" t="s">
        <v>271</v>
      </c>
      <c r="V166" s="205">
        <v>3980.0</v>
      </c>
      <c r="W166" s="205">
        <v>3599.0</v>
      </c>
      <c r="Y166" s="205">
        <v>9.0</v>
      </c>
      <c r="Z166" s="205">
        <v>45.0</v>
      </c>
      <c r="AA166" s="205">
        <v>45.0</v>
      </c>
      <c r="AB166" s="205">
        <v>45.0</v>
      </c>
      <c r="AN166" s="205" t="s">
        <v>355</v>
      </c>
    </row>
    <row r="167" ht="17.25" customHeight="1">
      <c r="B167" s="205">
        <v>0.0</v>
      </c>
      <c r="C167" s="205" t="s">
        <v>271</v>
      </c>
      <c r="D167" s="205" t="s">
        <v>310</v>
      </c>
      <c r="E167" s="205" t="s">
        <v>310</v>
      </c>
      <c r="F167" s="205" t="s">
        <v>268</v>
      </c>
      <c r="G167" s="205" t="s">
        <v>271</v>
      </c>
      <c r="H167" s="205">
        <v>1.11215399E8</v>
      </c>
      <c r="I167" s="205" t="s">
        <v>311</v>
      </c>
      <c r="J167" s="205" t="s">
        <v>1082</v>
      </c>
      <c r="K167" s="205" t="s">
        <v>1084</v>
      </c>
      <c r="L167" s="205" t="s">
        <v>271</v>
      </c>
      <c r="T167" s="205" t="s">
        <v>271</v>
      </c>
      <c r="V167" s="205">
        <v>3980.0</v>
      </c>
      <c r="W167" s="205">
        <v>3799.0</v>
      </c>
      <c r="Y167" s="205">
        <v>9.0</v>
      </c>
      <c r="Z167" s="205">
        <v>45.0</v>
      </c>
      <c r="AA167" s="205">
        <v>45.0</v>
      </c>
      <c r="AB167" s="205">
        <v>45.0</v>
      </c>
      <c r="AN167" s="205" t="s">
        <v>357</v>
      </c>
    </row>
    <row r="168" ht="17.25" customHeight="1">
      <c r="B168" s="205">
        <v>0.0</v>
      </c>
      <c r="C168" s="205" t="s">
        <v>268</v>
      </c>
      <c r="D168" s="205" t="s">
        <v>295</v>
      </c>
      <c r="E168" s="205" t="s">
        <v>270</v>
      </c>
      <c r="F168" s="205" t="s">
        <v>268</v>
      </c>
      <c r="G168" s="205" t="s">
        <v>271</v>
      </c>
      <c r="H168" s="205">
        <v>1.11260792E8</v>
      </c>
      <c r="I168" s="205" t="s">
        <v>311</v>
      </c>
      <c r="J168" s="205" t="s">
        <v>1085</v>
      </c>
      <c r="K168" s="205" t="s">
        <v>1086</v>
      </c>
      <c r="L168" s="205" t="s">
        <v>271</v>
      </c>
      <c r="T168" s="205" t="s">
        <v>271</v>
      </c>
      <c r="V168" s="205">
        <v>1442.0</v>
      </c>
      <c r="W168" s="205">
        <v>1342.0</v>
      </c>
      <c r="Y168" s="205">
        <v>4.0</v>
      </c>
      <c r="Z168" s="205">
        <v>45.0</v>
      </c>
      <c r="AA168" s="205">
        <v>45.0</v>
      </c>
      <c r="AB168" s="205">
        <v>45.0</v>
      </c>
      <c r="AN168" s="205" t="s">
        <v>357</v>
      </c>
    </row>
    <row r="169" ht="17.25" customHeight="1">
      <c r="B169" s="205">
        <v>0.0</v>
      </c>
      <c r="C169" s="205" t="s">
        <v>268</v>
      </c>
      <c r="D169" s="205" t="s">
        <v>295</v>
      </c>
      <c r="E169" s="205" t="s">
        <v>270</v>
      </c>
      <c r="F169" s="205" t="s">
        <v>268</v>
      </c>
      <c r="G169" s="205" t="s">
        <v>271</v>
      </c>
      <c r="H169" s="205">
        <v>1.11260852E8</v>
      </c>
      <c r="I169" s="205" t="s">
        <v>311</v>
      </c>
      <c r="J169" s="205" t="s">
        <v>1085</v>
      </c>
      <c r="K169" s="205" t="s">
        <v>1087</v>
      </c>
      <c r="L169" s="205" t="s">
        <v>271</v>
      </c>
      <c r="T169" s="205" t="s">
        <v>271</v>
      </c>
      <c r="V169" s="205">
        <v>1364.0</v>
      </c>
      <c r="W169" s="205">
        <v>1264.0</v>
      </c>
      <c r="Y169" s="205">
        <v>4.0</v>
      </c>
      <c r="Z169" s="205">
        <v>45.0</v>
      </c>
      <c r="AA169" s="205">
        <v>45.0</v>
      </c>
      <c r="AB169" s="205">
        <v>45.0</v>
      </c>
      <c r="AN169" s="205" t="s">
        <v>355</v>
      </c>
    </row>
    <row r="170" ht="17.25" customHeight="1">
      <c r="B170" s="205">
        <v>0.0</v>
      </c>
      <c r="C170" s="205" t="s">
        <v>271</v>
      </c>
      <c r="D170" s="205" t="s">
        <v>310</v>
      </c>
      <c r="E170" s="205" t="s">
        <v>310</v>
      </c>
      <c r="F170" s="205" t="s">
        <v>268</v>
      </c>
      <c r="G170" s="205" t="s">
        <v>271</v>
      </c>
      <c r="H170" s="205">
        <v>1.11261332E8</v>
      </c>
      <c r="I170" s="205" t="s">
        <v>311</v>
      </c>
      <c r="J170" s="205" t="s">
        <v>1088</v>
      </c>
      <c r="K170" s="205" t="s">
        <v>1089</v>
      </c>
      <c r="L170" s="205" t="s">
        <v>271</v>
      </c>
      <c r="T170" s="205" t="s">
        <v>271</v>
      </c>
      <c r="V170" s="205">
        <v>1031.0</v>
      </c>
      <c r="W170" s="205">
        <v>999.0</v>
      </c>
      <c r="Y170" s="205">
        <v>4.0</v>
      </c>
      <c r="Z170" s="205">
        <v>45.0</v>
      </c>
      <c r="AA170" s="205">
        <v>45.0</v>
      </c>
      <c r="AB170" s="205">
        <v>45.0</v>
      </c>
      <c r="AN170" s="205" t="s">
        <v>355</v>
      </c>
    </row>
    <row r="171" ht="17.25" customHeight="1">
      <c r="B171" s="205">
        <v>0.0</v>
      </c>
      <c r="C171" s="205" t="s">
        <v>271</v>
      </c>
      <c r="D171" s="205" t="s">
        <v>310</v>
      </c>
      <c r="E171" s="205" t="s">
        <v>310</v>
      </c>
      <c r="F171" s="205" t="s">
        <v>268</v>
      </c>
      <c r="G171" s="205" t="s">
        <v>271</v>
      </c>
      <c r="H171" s="205">
        <v>1.11261415E8</v>
      </c>
      <c r="I171" s="205" t="s">
        <v>311</v>
      </c>
      <c r="J171" s="205" t="s">
        <v>1088</v>
      </c>
      <c r="K171" s="205" t="s">
        <v>1090</v>
      </c>
      <c r="L171" s="205" t="s">
        <v>271</v>
      </c>
      <c r="T171" s="205" t="s">
        <v>271</v>
      </c>
      <c r="V171" s="205">
        <v>1018.0</v>
      </c>
      <c r="W171" s="205">
        <v>979.0</v>
      </c>
      <c r="AN171" s="205" t="s">
        <v>357</v>
      </c>
    </row>
    <row r="172" ht="17.25" customHeight="1">
      <c r="B172" s="205">
        <v>0.0</v>
      </c>
      <c r="C172" s="205" t="s">
        <v>271</v>
      </c>
      <c r="D172" s="205" t="s">
        <v>310</v>
      </c>
      <c r="E172" s="205" t="s">
        <v>310</v>
      </c>
      <c r="F172" s="205" t="s">
        <v>268</v>
      </c>
      <c r="G172" s="205" t="s">
        <v>271</v>
      </c>
      <c r="H172" s="205">
        <v>1.11261912E8</v>
      </c>
      <c r="I172" s="205" t="s">
        <v>311</v>
      </c>
      <c r="J172" s="205" t="s">
        <v>1091</v>
      </c>
      <c r="K172" s="205" t="s">
        <v>1092</v>
      </c>
      <c r="L172" s="205" t="s">
        <v>271</v>
      </c>
      <c r="T172" s="205" t="s">
        <v>271</v>
      </c>
      <c r="V172" s="205">
        <v>867.0</v>
      </c>
      <c r="W172" s="205">
        <v>849.0</v>
      </c>
      <c r="AN172" s="205" t="s">
        <v>357</v>
      </c>
    </row>
    <row r="173" ht="17.25" customHeight="1">
      <c r="B173" s="205">
        <v>0.0</v>
      </c>
      <c r="C173" s="205" t="s">
        <v>271</v>
      </c>
      <c r="D173" s="205" t="s">
        <v>310</v>
      </c>
      <c r="E173" s="205" t="s">
        <v>310</v>
      </c>
      <c r="F173" s="205" t="s">
        <v>268</v>
      </c>
      <c r="G173" s="205" t="s">
        <v>271</v>
      </c>
      <c r="H173" s="205">
        <v>1.11265814E8</v>
      </c>
      <c r="I173" s="205" t="s">
        <v>311</v>
      </c>
      <c r="J173" s="205" t="s">
        <v>1093</v>
      </c>
      <c r="K173" s="205" t="s">
        <v>1094</v>
      </c>
      <c r="L173" s="205" t="s">
        <v>271</v>
      </c>
      <c r="T173" s="205" t="s">
        <v>271</v>
      </c>
      <c r="V173" s="205">
        <v>359.0</v>
      </c>
      <c r="W173" s="205">
        <v>319.0</v>
      </c>
      <c r="Y173" s="205">
        <v>2.0</v>
      </c>
      <c r="Z173" s="205">
        <v>29.0</v>
      </c>
      <c r="AA173" s="205">
        <v>20.0</v>
      </c>
      <c r="AB173" s="205">
        <v>20.0</v>
      </c>
      <c r="AN173" s="205" t="s">
        <v>355</v>
      </c>
    </row>
    <row r="174" ht="17.25" customHeight="1">
      <c r="B174" s="205">
        <v>0.0</v>
      </c>
      <c r="C174" s="205" t="s">
        <v>271</v>
      </c>
      <c r="D174" s="205" t="s">
        <v>310</v>
      </c>
      <c r="E174" s="205" t="s">
        <v>310</v>
      </c>
      <c r="F174" s="205" t="s">
        <v>268</v>
      </c>
      <c r="G174" s="205" t="s">
        <v>271</v>
      </c>
      <c r="H174" s="205">
        <v>1.11265884E8</v>
      </c>
      <c r="I174" s="205" t="s">
        <v>311</v>
      </c>
      <c r="J174" s="205" t="s">
        <v>1093</v>
      </c>
      <c r="K174" s="205" t="s">
        <v>1095</v>
      </c>
      <c r="L174" s="205" t="s">
        <v>271</v>
      </c>
      <c r="T174" s="205" t="s">
        <v>271</v>
      </c>
      <c r="V174" s="205">
        <v>359.0</v>
      </c>
      <c r="W174" s="205">
        <v>319.0</v>
      </c>
      <c r="AN174" s="205" t="s">
        <v>357</v>
      </c>
    </row>
    <row r="175" ht="17.25" customHeight="1">
      <c r="B175" s="205">
        <v>0.0</v>
      </c>
      <c r="C175" s="205" t="s">
        <v>271</v>
      </c>
      <c r="D175" s="205" t="s">
        <v>310</v>
      </c>
      <c r="E175" s="205" t="s">
        <v>310</v>
      </c>
      <c r="F175" s="205" t="s">
        <v>268</v>
      </c>
      <c r="G175" s="205" t="s">
        <v>271</v>
      </c>
      <c r="H175" s="205">
        <v>1.58672103E8</v>
      </c>
      <c r="I175" s="205" t="s">
        <v>311</v>
      </c>
      <c r="J175" s="205" t="s">
        <v>1096</v>
      </c>
      <c r="K175" s="205" t="s">
        <v>1097</v>
      </c>
      <c r="L175" s="205" t="s">
        <v>271</v>
      </c>
      <c r="T175" s="205" t="s">
        <v>271</v>
      </c>
      <c r="V175" s="205">
        <v>2690.0</v>
      </c>
      <c r="W175" s="205">
        <v>2590.0</v>
      </c>
      <c r="BA175" s="205" t="s">
        <v>1098</v>
      </c>
    </row>
    <row r="176" ht="17.25" customHeight="1">
      <c r="B176" s="205">
        <v>0.0</v>
      </c>
      <c r="C176" s="205" t="s">
        <v>271</v>
      </c>
      <c r="D176" s="205" t="s">
        <v>310</v>
      </c>
      <c r="E176" s="205" t="s">
        <v>310</v>
      </c>
      <c r="F176" s="205" t="s">
        <v>268</v>
      </c>
      <c r="G176" s="205" t="s">
        <v>271</v>
      </c>
      <c r="H176" s="205">
        <v>1.58672166E8</v>
      </c>
      <c r="I176" s="205" t="s">
        <v>311</v>
      </c>
      <c r="J176" s="205" t="s">
        <v>1096</v>
      </c>
      <c r="K176" s="205" t="s">
        <v>1099</v>
      </c>
      <c r="L176" s="205" t="s">
        <v>271</v>
      </c>
      <c r="T176" s="205" t="s">
        <v>271</v>
      </c>
      <c r="V176" s="205">
        <v>2980.0</v>
      </c>
      <c r="W176" s="205">
        <v>2790.0</v>
      </c>
      <c r="BA176" s="205" t="s">
        <v>1100</v>
      </c>
    </row>
    <row r="177" ht="17.25" customHeight="1">
      <c r="B177" s="205">
        <v>0.0</v>
      </c>
      <c r="C177" s="205" t="s">
        <v>271</v>
      </c>
      <c r="D177" s="205" t="s">
        <v>310</v>
      </c>
      <c r="E177" s="205" t="s">
        <v>310</v>
      </c>
      <c r="F177" s="205" t="s">
        <v>268</v>
      </c>
      <c r="G177" s="205" t="s">
        <v>271</v>
      </c>
      <c r="H177" s="205">
        <v>2.57657821E8</v>
      </c>
      <c r="I177" s="205" t="s">
        <v>311</v>
      </c>
      <c r="J177" s="205" t="s">
        <v>1101</v>
      </c>
      <c r="K177" s="205" t="s">
        <v>1102</v>
      </c>
      <c r="L177" s="205" t="s">
        <v>271</v>
      </c>
      <c r="T177" s="205" t="s">
        <v>271</v>
      </c>
      <c r="V177" s="205">
        <v>1108.3</v>
      </c>
      <c r="Y177" s="205">
        <v>3.0</v>
      </c>
      <c r="Z177" s="205">
        <v>25.0</v>
      </c>
      <c r="AA177" s="205">
        <v>25.0</v>
      </c>
      <c r="AB177" s="205">
        <v>25.0</v>
      </c>
      <c r="AN177" s="205" t="s">
        <v>355</v>
      </c>
    </row>
    <row r="178" ht="17.25" customHeight="1">
      <c r="B178" s="205">
        <v>0.0</v>
      </c>
      <c r="C178" s="205" t="s">
        <v>271</v>
      </c>
      <c r="D178" s="205" t="s">
        <v>269</v>
      </c>
      <c r="E178" s="205" t="s">
        <v>513</v>
      </c>
      <c r="F178" s="205" t="s">
        <v>268</v>
      </c>
      <c r="G178" s="205" t="s">
        <v>271</v>
      </c>
      <c r="H178" s="205">
        <v>2.57700523E8</v>
      </c>
      <c r="I178" s="205" t="s">
        <v>311</v>
      </c>
      <c r="J178" s="205" t="s">
        <v>1103</v>
      </c>
      <c r="K178" s="205" t="s">
        <v>1104</v>
      </c>
      <c r="L178" s="205" t="s">
        <v>271</v>
      </c>
      <c r="T178" s="205" t="s">
        <v>268</v>
      </c>
      <c r="V178" s="205">
        <v>2899.0</v>
      </c>
      <c r="Y178" s="205">
        <v>8.0</v>
      </c>
      <c r="Z178" s="205">
        <v>60.0</v>
      </c>
      <c r="AA178" s="205">
        <v>60.0</v>
      </c>
      <c r="AB178" s="205">
        <v>60.0</v>
      </c>
      <c r="AO178" s="205" t="s">
        <v>371</v>
      </c>
    </row>
    <row r="179" ht="17.25" customHeight="1">
      <c r="B179" s="205">
        <v>0.0</v>
      </c>
      <c r="C179" s="205" t="s">
        <v>271</v>
      </c>
      <c r="D179" s="205" t="s">
        <v>269</v>
      </c>
      <c r="E179" s="205" t="s">
        <v>513</v>
      </c>
      <c r="F179" s="205" t="s">
        <v>268</v>
      </c>
      <c r="G179" s="205" t="s">
        <v>271</v>
      </c>
      <c r="H179" s="205">
        <v>2.57700535E8</v>
      </c>
      <c r="I179" s="205" t="s">
        <v>311</v>
      </c>
      <c r="J179" s="205" t="s">
        <v>1103</v>
      </c>
      <c r="K179" s="205" t="s">
        <v>1105</v>
      </c>
      <c r="L179" s="205" t="s">
        <v>271</v>
      </c>
      <c r="T179" s="205" t="s">
        <v>268</v>
      </c>
      <c r="V179" s="205">
        <v>2899.99</v>
      </c>
      <c r="Y179" s="205">
        <v>7.0</v>
      </c>
      <c r="Z179" s="205">
        <v>60.0</v>
      </c>
      <c r="AA179" s="205">
        <v>60.0</v>
      </c>
      <c r="AB179" s="205">
        <v>60.0</v>
      </c>
      <c r="AO179" s="205" t="s">
        <v>376</v>
      </c>
    </row>
    <row r="180" ht="17.25" customHeight="1">
      <c r="B180" s="205">
        <v>0.0</v>
      </c>
      <c r="C180" s="205" t="s">
        <v>271</v>
      </c>
      <c r="D180" s="205" t="s">
        <v>310</v>
      </c>
      <c r="E180" s="205" t="s">
        <v>310</v>
      </c>
      <c r="F180" s="205" t="s">
        <v>268</v>
      </c>
      <c r="G180" s="205" t="s">
        <v>271</v>
      </c>
      <c r="H180" s="205">
        <v>2.57701343E8</v>
      </c>
      <c r="I180" s="205" t="s">
        <v>311</v>
      </c>
      <c r="J180" s="205" t="s">
        <v>1106</v>
      </c>
      <c r="K180" s="205" t="s">
        <v>1107</v>
      </c>
      <c r="L180" s="205" t="s">
        <v>271</v>
      </c>
      <c r="T180" s="205" t="s">
        <v>271</v>
      </c>
      <c r="V180" s="205">
        <v>1072.2</v>
      </c>
      <c r="Y180" s="205">
        <v>3.0</v>
      </c>
      <c r="Z180" s="205">
        <v>25.0</v>
      </c>
      <c r="AA180" s="205">
        <v>25.0</v>
      </c>
      <c r="AB180" s="205">
        <v>25.0</v>
      </c>
      <c r="AN180" s="205" t="s">
        <v>355</v>
      </c>
    </row>
    <row r="181" ht="17.25" customHeight="1">
      <c r="B181" s="205">
        <v>0.0</v>
      </c>
      <c r="C181" s="205" t="s">
        <v>271</v>
      </c>
      <c r="D181" s="205" t="s">
        <v>310</v>
      </c>
      <c r="E181" s="205" t="s">
        <v>310</v>
      </c>
      <c r="F181" s="205" t="s">
        <v>268</v>
      </c>
      <c r="G181" s="205" t="s">
        <v>271</v>
      </c>
      <c r="H181" s="205">
        <v>2.67335045E8</v>
      </c>
      <c r="I181" s="205" t="s">
        <v>311</v>
      </c>
      <c r="J181" s="205" t="s">
        <v>1027</v>
      </c>
      <c r="K181" s="205" t="s">
        <v>1108</v>
      </c>
      <c r="L181" s="205" t="s">
        <v>271</v>
      </c>
      <c r="T181" s="205" t="s">
        <v>271</v>
      </c>
      <c r="V181" s="205">
        <v>602.1</v>
      </c>
      <c r="Y181" s="205">
        <v>1.5</v>
      </c>
      <c r="Z181" s="205">
        <v>25.0</v>
      </c>
      <c r="AA181" s="205">
        <v>25.0</v>
      </c>
      <c r="AB181" s="205">
        <v>15.0</v>
      </c>
      <c r="AN181" s="205" t="s">
        <v>357</v>
      </c>
    </row>
    <row r="182" ht="17.25" customHeight="1">
      <c r="B182" s="205">
        <v>0.0</v>
      </c>
      <c r="C182" s="205" t="s">
        <v>271</v>
      </c>
      <c r="D182" s="205" t="s">
        <v>310</v>
      </c>
      <c r="E182" s="205" t="s">
        <v>310</v>
      </c>
      <c r="F182" s="205" t="s">
        <v>268</v>
      </c>
      <c r="G182" s="205" t="s">
        <v>271</v>
      </c>
      <c r="H182" s="205">
        <v>2.67335935E8</v>
      </c>
      <c r="I182" s="205" t="s">
        <v>311</v>
      </c>
      <c r="J182" s="205" t="s">
        <v>1029</v>
      </c>
      <c r="K182" s="205" t="s">
        <v>1109</v>
      </c>
      <c r="L182" s="205" t="s">
        <v>271</v>
      </c>
      <c r="T182" s="205" t="s">
        <v>271</v>
      </c>
      <c r="V182" s="205">
        <v>818.6</v>
      </c>
      <c r="Y182" s="205">
        <v>2.0</v>
      </c>
      <c r="Z182" s="205">
        <v>25.0</v>
      </c>
      <c r="AA182" s="205">
        <v>25.0</v>
      </c>
      <c r="AB182" s="205">
        <v>15.0</v>
      </c>
      <c r="AN182" s="205" t="s">
        <v>357</v>
      </c>
    </row>
    <row r="183" ht="17.25" customHeight="1">
      <c r="B183" s="205">
        <v>0.0</v>
      </c>
      <c r="C183" s="205" t="s">
        <v>271</v>
      </c>
      <c r="D183" s="205" t="s">
        <v>310</v>
      </c>
      <c r="E183" s="205" t="s">
        <v>310</v>
      </c>
      <c r="F183" s="205" t="s">
        <v>268</v>
      </c>
      <c r="G183" s="205" t="s">
        <v>271</v>
      </c>
      <c r="H183" s="205">
        <v>2.67336832E8</v>
      </c>
      <c r="I183" s="205" t="s">
        <v>311</v>
      </c>
      <c r="J183" s="205" t="s">
        <v>1025</v>
      </c>
      <c r="K183" s="205" t="s">
        <v>1110</v>
      </c>
      <c r="L183" s="205" t="s">
        <v>271</v>
      </c>
      <c r="T183" s="205" t="s">
        <v>271</v>
      </c>
      <c r="V183" s="205">
        <v>808.3</v>
      </c>
      <c r="Y183" s="205">
        <v>2.0</v>
      </c>
      <c r="Z183" s="205">
        <v>30.0</v>
      </c>
      <c r="AA183" s="205">
        <v>30.0</v>
      </c>
      <c r="AB183" s="205">
        <v>13.0</v>
      </c>
      <c r="AN183" s="205" t="s">
        <v>357</v>
      </c>
    </row>
    <row r="184" ht="17.25" customHeight="1">
      <c r="B184" s="205">
        <v>0.0</v>
      </c>
      <c r="C184" s="205" t="s">
        <v>271</v>
      </c>
      <c r="D184" s="205" t="s">
        <v>310</v>
      </c>
      <c r="E184" s="205" t="s">
        <v>310</v>
      </c>
      <c r="F184" s="205" t="s">
        <v>268</v>
      </c>
      <c r="G184" s="205" t="s">
        <v>271</v>
      </c>
      <c r="H184" s="205">
        <v>2.67337171E8</v>
      </c>
      <c r="I184" s="205" t="s">
        <v>311</v>
      </c>
      <c r="J184" s="205" t="s">
        <v>1101</v>
      </c>
      <c r="K184" s="205" t="s">
        <v>1111</v>
      </c>
      <c r="L184" s="205" t="s">
        <v>271</v>
      </c>
      <c r="T184" s="205" t="s">
        <v>271</v>
      </c>
      <c r="V184" s="205">
        <v>1108.3</v>
      </c>
      <c r="Y184" s="205">
        <v>3.0</v>
      </c>
      <c r="Z184" s="205">
        <v>25.0</v>
      </c>
      <c r="AA184" s="205">
        <v>25.0</v>
      </c>
      <c r="AB184" s="205">
        <v>25.0</v>
      </c>
      <c r="AN184" s="205" t="s">
        <v>357</v>
      </c>
    </row>
    <row r="185" ht="17.25" customHeight="1">
      <c r="B185" s="205">
        <v>0.0</v>
      </c>
      <c r="C185" s="205" t="s">
        <v>271</v>
      </c>
      <c r="D185" s="205" t="s">
        <v>310</v>
      </c>
      <c r="E185" s="205" t="s">
        <v>310</v>
      </c>
      <c r="F185" s="205" t="s">
        <v>268</v>
      </c>
      <c r="G185" s="205" t="s">
        <v>271</v>
      </c>
      <c r="H185" s="205">
        <v>2.67337585E8</v>
      </c>
      <c r="I185" s="205" t="s">
        <v>311</v>
      </c>
      <c r="J185" s="205" t="s">
        <v>1106</v>
      </c>
      <c r="K185" s="205" t="s">
        <v>1112</v>
      </c>
      <c r="L185" s="205" t="s">
        <v>271</v>
      </c>
      <c r="T185" s="205" t="s">
        <v>271</v>
      </c>
      <c r="V185" s="205">
        <v>1072.2</v>
      </c>
      <c r="Y185" s="205">
        <v>3.0</v>
      </c>
      <c r="Z185" s="205">
        <v>25.0</v>
      </c>
      <c r="AA185" s="205">
        <v>25.0</v>
      </c>
      <c r="AB185" s="205">
        <v>25.0</v>
      </c>
      <c r="AN185" s="205" t="s">
        <v>357</v>
      </c>
    </row>
    <row r="186" ht="17.25" customHeight="1">
      <c r="B186" s="205">
        <v>0.0</v>
      </c>
      <c r="C186" s="205" t="s">
        <v>271</v>
      </c>
      <c r="D186" s="205" t="s">
        <v>310</v>
      </c>
      <c r="E186" s="205" t="s">
        <v>310</v>
      </c>
      <c r="F186" s="205" t="s">
        <v>268</v>
      </c>
      <c r="G186" s="205" t="s">
        <v>271</v>
      </c>
      <c r="H186" s="205">
        <v>2.68977621E8</v>
      </c>
      <c r="I186" s="205" t="s">
        <v>311</v>
      </c>
      <c r="J186" s="205" t="s">
        <v>1031</v>
      </c>
      <c r="K186" s="205" t="s">
        <v>1113</v>
      </c>
      <c r="L186" s="205" t="s">
        <v>271</v>
      </c>
      <c r="T186" s="205" t="s">
        <v>271</v>
      </c>
      <c r="V186" s="205">
        <v>3520.0</v>
      </c>
      <c r="W186" s="205">
        <v>3344.0</v>
      </c>
      <c r="Y186" s="205">
        <v>15.0</v>
      </c>
      <c r="Z186" s="205">
        <v>30.0</v>
      </c>
      <c r="AA186" s="205">
        <v>26.0</v>
      </c>
      <c r="AB186" s="205">
        <v>26.0</v>
      </c>
      <c r="AN186" s="205" t="s">
        <v>357</v>
      </c>
    </row>
    <row r="187" ht="17.25" customHeight="1">
      <c r="B187" s="205">
        <v>0.0</v>
      </c>
      <c r="C187" s="205" t="s">
        <v>271</v>
      </c>
      <c r="D187" s="205" t="s">
        <v>310</v>
      </c>
      <c r="E187" s="205" t="s">
        <v>310</v>
      </c>
      <c r="F187" s="205" t="s">
        <v>268</v>
      </c>
      <c r="G187" s="205" t="s">
        <v>271</v>
      </c>
      <c r="H187" s="205">
        <v>2.68979036E8</v>
      </c>
      <c r="I187" s="205" t="s">
        <v>311</v>
      </c>
      <c r="J187" s="205" t="s">
        <v>1039</v>
      </c>
      <c r="K187" s="205" t="s">
        <v>1114</v>
      </c>
      <c r="L187" s="205" t="s">
        <v>271</v>
      </c>
      <c r="T187" s="205" t="s">
        <v>271</v>
      </c>
      <c r="V187" s="205">
        <v>4813.0</v>
      </c>
      <c r="W187" s="205">
        <v>4572.0</v>
      </c>
      <c r="Y187" s="205">
        <v>15.0</v>
      </c>
      <c r="Z187" s="205">
        <v>30.0</v>
      </c>
      <c r="AA187" s="205">
        <v>26.0</v>
      </c>
      <c r="AB187" s="205">
        <v>26.0</v>
      </c>
      <c r="AN187" s="205" t="s">
        <v>357</v>
      </c>
    </row>
    <row r="188" ht="17.25" customHeight="1">
      <c r="B188" s="205">
        <v>0.0</v>
      </c>
      <c r="C188" s="205" t="s">
        <v>271</v>
      </c>
      <c r="D188" s="205" t="s">
        <v>310</v>
      </c>
      <c r="E188" s="205" t="s">
        <v>310</v>
      </c>
      <c r="F188" s="205" t="s">
        <v>268</v>
      </c>
      <c r="G188" s="205" t="s">
        <v>271</v>
      </c>
      <c r="H188" s="205">
        <v>2.68983189E8</v>
      </c>
      <c r="I188" s="205" t="s">
        <v>311</v>
      </c>
      <c r="J188" s="205" t="s">
        <v>1046</v>
      </c>
      <c r="K188" s="205" t="s">
        <v>1115</v>
      </c>
      <c r="L188" s="205" t="s">
        <v>271</v>
      </c>
      <c r="T188" s="205" t="s">
        <v>271</v>
      </c>
      <c r="V188" s="205">
        <v>4688.0</v>
      </c>
      <c r="W188" s="205">
        <v>4454.0</v>
      </c>
      <c r="Y188" s="205">
        <v>25.0</v>
      </c>
      <c r="Z188" s="205">
        <v>90.0</v>
      </c>
      <c r="AA188" s="205">
        <v>30.0</v>
      </c>
      <c r="AB188" s="205">
        <v>30.0</v>
      </c>
      <c r="AN188" s="205" t="s">
        <v>357</v>
      </c>
    </row>
    <row r="189" ht="17.25" customHeight="1">
      <c r="B189" s="205">
        <v>0.0</v>
      </c>
      <c r="C189" s="205" t="s">
        <v>271</v>
      </c>
      <c r="D189" s="205" t="s">
        <v>310</v>
      </c>
      <c r="E189" s="205" t="s">
        <v>310</v>
      </c>
      <c r="F189" s="205" t="s">
        <v>268</v>
      </c>
      <c r="G189" s="205" t="s">
        <v>271</v>
      </c>
      <c r="H189" s="205">
        <v>2.689836E8</v>
      </c>
      <c r="I189" s="205" t="s">
        <v>311</v>
      </c>
      <c r="J189" s="205" t="s">
        <v>1044</v>
      </c>
      <c r="K189" s="205" t="s">
        <v>1116</v>
      </c>
      <c r="L189" s="205" t="s">
        <v>271</v>
      </c>
      <c r="T189" s="205" t="s">
        <v>271</v>
      </c>
      <c r="V189" s="205">
        <v>6401.0</v>
      </c>
      <c r="W189" s="205">
        <v>6081.0</v>
      </c>
      <c r="Y189" s="205">
        <v>25.0</v>
      </c>
      <c r="Z189" s="205">
        <v>90.0</v>
      </c>
      <c r="AA189" s="205">
        <v>30.0</v>
      </c>
      <c r="AB189" s="205">
        <v>30.0</v>
      </c>
      <c r="AN189" s="205" t="s">
        <v>357</v>
      </c>
    </row>
    <row r="190" ht="17.25" customHeight="1">
      <c r="B190" s="205">
        <v>0.0</v>
      </c>
      <c r="C190" s="205" t="s">
        <v>271</v>
      </c>
      <c r="D190" s="205" t="s">
        <v>295</v>
      </c>
      <c r="E190" s="205" t="s">
        <v>295</v>
      </c>
      <c r="F190" s="205" t="s">
        <v>268</v>
      </c>
      <c r="G190" s="205" t="s">
        <v>271</v>
      </c>
      <c r="H190" s="205">
        <v>2.70965375E8</v>
      </c>
      <c r="I190" s="205" t="s">
        <v>311</v>
      </c>
      <c r="J190" s="205" t="s">
        <v>1117</v>
      </c>
      <c r="K190" s="205" t="s">
        <v>1118</v>
      </c>
      <c r="L190" s="205" t="s">
        <v>271</v>
      </c>
      <c r="T190" s="205" t="s">
        <v>268</v>
      </c>
      <c r="V190" s="205">
        <v>999.0</v>
      </c>
      <c r="Y190" s="205">
        <v>5.0</v>
      </c>
      <c r="Z190" s="205">
        <v>43.0</v>
      </c>
      <c r="AA190" s="205">
        <v>19.0</v>
      </c>
      <c r="AB190" s="205">
        <v>32.0</v>
      </c>
      <c r="AN190" s="205" t="s">
        <v>355</v>
      </c>
    </row>
    <row r="191" ht="17.25" customHeight="1">
      <c r="B191" s="205">
        <v>0.0</v>
      </c>
      <c r="C191" s="205" t="s">
        <v>271</v>
      </c>
      <c r="D191" s="205" t="s">
        <v>295</v>
      </c>
      <c r="E191" s="205" t="s">
        <v>295</v>
      </c>
      <c r="F191" s="205" t="s">
        <v>268</v>
      </c>
      <c r="G191" s="205" t="s">
        <v>271</v>
      </c>
      <c r="H191" s="205">
        <v>2.70965541E8</v>
      </c>
      <c r="I191" s="205" t="s">
        <v>311</v>
      </c>
      <c r="J191" s="205" t="s">
        <v>1117</v>
      </c>
      <c r="K191" s="205" t="s">
        <v>1119</v>
      </c>
      <c r="L191" s="205" t="s">
        <v>271</v>
      </c>
      <c r="T191" s="205" t="s">
        <v>268</v>
      </c>
      <c r="V191" s="205">
        <v>999.0</v>
      </c>
      <c r="Y191" s="205">
        <v>5.0</v>
      </c>
      <c r="Z191" s="205">
        <v>43.0</v>
      </c>
      <c r="AA191" s="205">
        <v>19.0</v>
      </c>
      <c r="AB191" s="205">
        <v>32.0</v>
      </c>
      <c r="AN191" s="205" t="s">
        <v>357</v>
      </c>
    </row>
    <row r="192" ht="17.25" customHeight="1">
      <c r="B192" s="205">
        <v>0.0</v>
      </c>
      <c r="C192" s="205" t="s">
        <v>271</v>
      </c>
      <c r="D192" s="205" t="s">
        <v>295</v>
      </c>
      <c r="E192" s="205" t="s">
        <v>295</v>
      </c>
      <c r="F192" s="205" t="s">
        <v>268</v>
      </c>
      <c r="G192" s="205" t="s">
        <v>271</v>
      </c>
      <c r="H192" s="205">
        <v>2.70970924E8</v>
      </c>
      <c r="I192" s="205" t="s">
        <v>311</v>
      </c>
      <c r="J192" s="205" t="s">
        <v>1120</v>
      </c>
      <c r="K192" s="205" t="s">
        <v>1121</v>
      </c>
      <c r="L192" s="205" t="s">
        <v>271</v>
      </c>
      <c r="T192" s="205" t="s">
        <v>268</v>
      </c>
      <c r="V192" s="205">
        <v>1199.0</v>
      </c>
      <c r="Y192" s="205">
        <v>8.0</v>
      </c>
      <c r="Z192" s="205">
        <v>39.0</v>
      </c>
      <c r="AA192" s="205">
        <v>29.0</v>
      </c>
      <c r="AB192" s="205">
        <v>31.0</v>
      </c>
      <c r="AN192" s="205" t="s">
        <v>357</v>
      </c>
    </row>
    <row r="193" ht="17.25" customHeight="1">
      <c r="B193" s="205">
        <v>0.0</v>
      </c>
      <c r="C193" s="205" t="s">
        <v>271</v>
      </c>
      <c r="D193" s="205" t="s">
        <v>295</v>
      </c>
      <c r="E193" s="205" t="s">
        <v>295</v>
      </c>
      <c r="F193" s="205" t="s">
        <v>268</v>
      </c>
      <c r="G193" s="205" t="s">
        <v>271</v>
      </c>
      <c r="H193" s="205">
        <v>2.70970925E8</v>
      </c>
      <c r="I193" s="205" t="s">
        <v>311</v>
      </c>
      <c r="J193" s="205" t="s">
        <v>1120</v>
      </c>
      <c r="K193" s="205" t="s">
        <v>1122</v>
      </c>
      <c r="L193" s="205" t="s">
        <v>271</v>
      </c>
      <c r="T193" s="205" t="s">
        <v>268</v>
      </c>
      <c r="V193" s="205">
        <v>1199.0</v>
      </c>
      <c r="Y193" s="205">
        <v>8.0</v>
      </c>
      <c r="Z193" s="205">
        <v>39.0</v>
      </c>
      <c r="AA193" s="205">
        <v>29.0</v>
      </c>
      <c r="AB193" s="205">
        <v>31.0</v>
      </c>
      <c r="AN193" s="205" t="s">
        <v>1123</v>
      </c>
    </row>
    <row r="194" ht="17.25" customHeight="1">
      <c r="B194" s="205">
        <v>0.0</v>
      </c>
      <c r="C194" s="205" t="s">
        <v>271</v>
      </c>
      <c r="D194" s="205" t="s">
        <v>295</v>
      </c>
      <c r="E194" s="205" t="s">
        <v>295</v>
      </c>
      <c r="F194" s="205" t="s">
        <v>268</v>
      </c>
      <c r="G194" s="205" t="s">
        <v>271</v>
      </c>
      <c r="H194" s="205">
        <v>2.70980892E8</v>
      </c>
      <c r="I194" s="205" t="s">
        <v>311</v>
      </c>
      <c r="J194" s="205" t="s">
        <v>1124</v>
      </c>
      <c r="K194" s="205" t="s">
        <v>1125</v>
      </c>
      <c r="L194" s="205" t="s">
        <v>271</v>
      </c>
      <c r="T194" s="205" t="s">
        <v>268</v>
      </c>
      <c r="V194" s="205">
        <v>999.0</v>
      </c>
      <c r="Y194" s="205">
        <v>6.0</v>
      </c>
      <c r="Z194" s="205">
        <v>36.0</v>
      </c>
      <c r="AA194" s="205">
        <v>26.0</v>
      </c>
      <c r="AB194" s="205">
        <v>28.0</v>
      </c>
      <c r="AN194" s="205" t="s">
        <v>1126</v>
      </c>
    </row>
    <row r="195" ht="17.25" customHeight="1">
      <c r="B195" s="205">
        <v>0.0</v>
      </c>
      <c r="C195" s="205" t="s">
        <v>271</v>
      </c>
      <c r="D195" s="205" t="s">
        <v>295</v>
      </c>
      <c r="E195" s="205" t="s">
        <v>295</v>
      </c>
      <c r="F195" s="205" t="s">
        <v>268</v>
      </c>
      <c r="G195" s="205" t="s">
        <v>271</v>
      </c>
      <c r="H195" s="205">
        <v>2.70980983E8</v>
      </c>
      <c r="I195" s="205" t="s">
        <v>311</v>
      </c>
      <c r="J195" s="205" t="s">
        <v>1124</v>
      </c>
      <c r="K195" s="205" t="s">
        <v>1127</v>
      </c>
      <c r="L195" s="205" t="s">
        <v>271</v>
      </c>
      <c r="T195" s="205" t="s">
        <v>268</v>
      </c>
      <c r="V195" s="205">
        <v>999.0</v>
      </c>
      <c r="Y195" s="205">
        <v>6.0</v>
      </c>
      <c r="Z195" s="205">
        <v>36.0</v>
      </c>
      <c r="AA195" s="205">
        <v>26.0</v>
      </c>
      <c r="AB195" s="205">
        <v>28.0</v>
      </c>
      <c r="AN195" s="205" t="s">
        <v>355</v>
      </c>
    </row>
    <row r="196" ht="17.25" customHeight="1">
      <c r="B196" s="205">
        <v>0.0</v>
      </c>
      <c r="C196" s="205" t="s">
        <v>271</v>
      </c>
      <c r="D196" s="205" t="s">
        <v>310</v>
      </c>
      <c r="E196" s="205" t="s">
        <v>310</v>
      </c>
      <c r="F196" s="205" t="s">
        <v>268</v>
      </c>
      <c r="G196" s="205" t="s">
        <v>271</v>
      </c>
      <c r="H196" s="205">
        <v>3.0179727E8</v>
      </c>
      <c r="I196" s="205" t="s">
        <v>311</v>
      </c>
      <c r="J196" s="205" t="s">
        <v>1128</v>
      </c>
      <c r="K196" s="205" t="s">
        <v>1129</v>
      </c>
      <c r="L196" s="205" t="s">
        <v>271</v>
      </c>
      <c r="T196" s="205" t="s">
        <v>271</v>
      </c>
      <c r="V196" s="205">
        <v>16399.0</v>
      </c>
      <c r="Y196" s="205">
        <v>12.0</v>
      </c>
      <c r="Z196" s="205">
        <v>63.0</v>
      </c>
      <c r="AA196" s="205">
        <v>28.0</v>
      </c>
      <c r="AB196" s="205">
        <v>28.0</v>
      </c>
      <c r="BA196" s="205" t="s">
        <v>1130</v>
      </c>
    </row>
    <row r="197" ht="17.25" customHeight="1">
      <c r="B197" s="205">
        <v>0.0</v>
      </c>
      <c r="C197" s="205" t="s">
        <v>271</v>
      </c>
      <c r="D197" s="205" t="s">
        <v>310</v>
      </c>
      <c r="E197" s="205" t="s">
        <v>310</v>
      </c>
      <c r="F197" s="205" t="s">
        <v>268</v>
      </c>
      <c r="G197" s="205" t="s">
        <v>271</v>
      </c>
      <c r="H197" s="205">
        <v>3.01797892E8</v>
      </c>
      <c r="I197" s="205" t="s">
        <v>311</v>
      </c>
      <c r="J197" s="205" t="s">
        <v>1128</v>
      </c>
      <c r="K197" s="205" t="s">
        <v>1131</v>
      </c>
      <c r="L197" s="205" t="s">
        <v>271</v>
      </c>
      <c r="T197" s="205" t="s">
        <v>271</v>
      </c>
      <c r="V197" s="205">
        <v>15899.0</v>
      </c>
      <c r="Y197" s="205">
        <v>12.0</v>
      </c>
      <c r="Z197" s="205">
        <v>63.0</v>
      </c>
      <c r="AA197" s="205">
        <v>28.0</v>
      </c>
      <c r="AB197" s="205">
        <v>28.0</v>
      </c>
      <c r="BA197" s="205" t="s">
        <v>1098</v>
      </c>
    </row>
    <row r="198" ht="17.25" customHeight="1">
      <c r="B198" s="205">
        <v>0.0</v>
      </c>
      <c r="C198" s="205" t="s">
        <v>271</v>
      </c>
      <c r="D198" s="205" t="s">
        <v>310</v>
      </c>
      <c r="E198" s="205" t="s">
        <v>310</v>
      </c>
      <c r="F198" s="205" t="s">
        <v>268</v>
      </c>
      <c r="G198" s="205" t="s">
        <v>271</v>
      </c>
      <c r="H198" s="205">
        <v>3.01809102E8</v>
      </c>
      <c r="I198" s="205" t="s">
        <v>311</v>
      </c>
      <c r="J198" s="205" t="s">
        <v>1132</v>
      </c>
      <c r="K198" s="205" t="s">
        <v>1133</v>
      </c>
      <c r="L198" s="205" t="s">
        <v>271</v>
      </c>
      <c r="T198" s="205" t="s">
        <v>271</v>
      </c>
      <c r="V198" s="205">
        <v>22990.0</v>
      </c>
      <c r="Y198" s="205">
        <v>12.0</v>
      </c>
      <c r="Z198" s="205">
        <v>92.0</v>
      </c>
      <c r="AA198" s="205">
        <v>28.0</v>
      </c>
      <c r="AB198" s="205">
        <v>28.0</v>
      </c>
      <c r="BA198" s="205" t="s">
        <v>1098</v>
      </c>
    </row>
    <row r="199" ht="17.25" customHeight="1">
      <c r="B199" s="205">
        <v>0.0</v>
      </c>
      <c r="C199" s="205" t="s">
        <v>271</v>
      </c>
      <c r="D199" s="205" t="s">
        <v>310</v>
      </c>
      <c r="E199" s="205" t="s">
        <v>310</v>
      </c>
      <c r="F199" s="205" t="s">
        <v>268</v>
      </c>
      <c r="G199" s="205" t="s">
        <v>271</v>
      </c>
      <c r="H199" s="205">
        <v>3.01809386E8</v>
      </c>
      <c r="I199" s="205" t="s">
        <v>311</v>
      </c>
      <c r="J199" s="205" t="s">
        <v>1132</v>
      </c>
      <c r="K199" s="205" t="s">
        <v>1134</v>
      </c>
      <c r="L199" s="205" t="s">
        <v>271</v>
      </c>
      <c r="T199" s="205" t="s">
        <v>271</v>
      </c>
      <c r="V199" s="205">
        <v>23199.0</v>
      </c>
      <c r="Y199" s="205">
        <v>12.0</v>
      </c>
      <c r="Z199" s="205">
        <v>92.0</v>
      </c>
      <c r="AA199" s="205">
        <v>28.0</v>
      </c>
      <c r="AB199" s="205">
        <v>28.0</v>
      </c>
      <c r="BA199" s="205" t="s">
        <v>1130</v>
      </c>
    </row>
    <row r="200" ht="17.25" customHeight="1">
      <c r="B200" s="205">
        <v>0.0</v>
      </c>
      <c r="C200" s="205" t="s">
        <v>271</v>
      </c>
      <c r="D200" s="205" t="s">
        <v>269</v>
      </c>
      <c r="E200" s="205" t="s">
        <v>513</v>
      </c>
      <c r="F200" s="205" t="s">
        <v>268</v>
      </c>
      <c r="G200" s="205" t="s">
        <v>271</v>
      </c>
      <c r="H200" s="205">
        <v>3.03506346E8</v>
      </c>
      <c r="I200" s="205" t="s">
        <v>311</v>
      </c>
      <c r="J200" s="205" t="s">
        <v>1135</v>
      </c>
      <c r="K200" s="205" t="s">
        <v>1136</v>
      </c>
      <c r="L200" s="205" t="s">
        <v>271</v>
      </c>
      <c r="T200" s="205" t="s">
        <v>271</v>
      </c>
      <c r="V200" s="205">
        <v>29.9</v>
      </c>
      <c r="Y200" s="205">
        <v>0.075</v>
      </c>
      <c r="Z200" s="205">
        <v>10.0</v>
      </c>
      <c r="AA200" s="205">
        <v>10.0</v>
      </c>
      <c r="AB200" s="205">
        <v>2.0</v>
      </c>
      <c r="AY200" s="205" t="s">
        <v>314</v>
      </c>
    </row>
    <row r="201" ht="17.25" customHeight="1">
      <c r="B201" s="205">
        <v>0.0</v>
      </c>
      <c r="C201" s="205" t="s">
        <v>271</v>
      </c>
      <c r="D201" s="205" t="s">
        <v>269</v>
      </c>
      <c r="E201" s="205" t="s">
        <v>513</v>
      </c>
      <c r="F201" s="205" t="s">
        <v>268</v>
      </c>
      <c r="G201" s="205" t="s">
        <v>271</v>
      </c>
      <c r="H201" s="205">
        <v>3.03508187E8</v>
      </c>
      <c r="I201" s="205" t="s">
        <v>311</v>
      </c>
      <c r="J201" s="205" t="s">
        <v>1135</v>
      </c>
      <c r="K201" s="205" t="s">
        <v>1137</v>
      </c>
      <c r="L201" s="205" t="s">
        <v>271</v>
      </c>
      <c r="T201" s="205" t="s">
        <v>271</v>
      </c>
      <c r="V201" s="205">
        <v>54.9</v>
      </c>
      <c r="Y201" s="205">
        <v>0.075</v>
      </c>
      <c r="Z201" s="205">
        <v>10.0</v>
      </c>
      <c r="AA201" s="205">
        <v>10.0</v>
      </c>
      <c r="AB201" s="205">
        <v>2.0</v>
      </c>
      <c r="AY201" s="205" t="s">
        <v>316</v>
      </c>
    </row>
    <row r="202" ht="17.25" customHeight="1">
      <c r="B202" s="205">
        <v>0.0</v>
      </c>
      <c r="C202" s="205" t="s">
        <v>271</v>
      </c>
      <c r="D202" s="205" t="s">
        <v>269</v>
      </c>
      <c r="E202" s="205" t="s">
        <v>513</v>
      </c>
      <c r="F202" s="205" t="s">
        <v>268</v>
      </c>
      <c r="G202" s="205" t="s">
        <v>271</v>
      </c>
      <c r="H202" s="205">
        <v>3.03508846E8</v>
      </c>
      <c r="I202" s="205" t="s">
        <v>311</v>
      </c>
      <c r="J202" s="205" t="s">
        <v>1135</v>
      </c>
      <c r="K202" s="205" t="s">
        <v>1138</v>
      </c>
      <c r="L202" s="205" t="s">
        <v>271</v>
      </c>
      <c r="T202" s="205" t="s">
        <v>271</v>
      </c>
      <c r="V202" s="205">
        <v>59.9</v>
      </c>
      <c r="Y202" s="205">
        <v>0.075</v>
      </c>
      <c r="Z202" s="205">
        <v>10.0</v>
      </c>
      <c r="AA202" s="205">
        <v>10.0</v>
      </c>
      <c r="AB202" s="205">
        <v>2.0</v>
      </c>
      <c r="AY202" s="205" t="s">
        <v>318</v>
      </c>
    </row>
    <row r="203" ht="17.25" customHeight="1">
      <c r="B203" s="205">
        <v>0.0</v>
      </c>
      <c r="C203" s="205" t="s">
        <v>271</v>
      </c>
      <c r="D203" s="205" t="s">
        <v>269</v>
      </c>
      <c r="E203" s="205" t="s">
        <v>513</v>
      </c>
      <c r="F203" s="205" t="s">
        <v>268</v>
      </c>
      <c r="G203" s="205" t="s">
        <v>271</v>
      </c>
      <c r="H203" s="205">
        <v>3.03700173E8</v>
      </c>
      <c r="I203" s="205" t="s">
        <v>311</v>
      </c>
      <c r="J203" s="205" t="s">
        <v>1135</v>
      </c>
      <c r="K203" s="205" t="s">
        <v>1139</v>
      </c>
      <c r="L203" s="205" t="s">
        <v>271</v>
      </c>
      <c r="T203" s="205" t="s">
        <v>271</v>
      </c>
      <c r="V203" s="205">
        <v>49.9</v>
      </c>
      <c r="Y203" s="205">
        <v>0.075</v>
      </c>
      <c r="Z203" s="205">
        <v>10.0</v>
      </c>
      <c r="AA203" s="205">
        <v>10.0</v>
      </c>
      <c r="AB203" s="205">
        <v>2.0</v>
      </c>
      <c r="AY203" s="205" t="s">
        <v>1140</v>
      </c>
    </row>
    <row r="204" ht="17.25" customHeight="1">
      <c r="B204" s="205">
        <v>0.0</v>
      </c>
      <c r="C204" s="205" t="s">
        <v>271</v>
      </c>
      <c r="D204" s="205" t="s">
        <v>310</v>
      </c>
      <c r="E204" s="205" t="s">
        <v>310</v>
      </c>
      <c r="F204" s="205" t="s">
        <v>268</v>
      </c>
      <c r="G204" s="205" t="s">
        <v>271</v>
      </c>
      <c r="H204" s="205">
        <v>3.23110973E8</v>
      </c>
      <c r="I204" s="205" t="s">
        <v>311</v>
      </c>
      <c r="J204" s="205" t="s">
        <v>1141</v>
      </c>
      <c r="K204" s="205" t="s">
        <v>1142</v>
      </c>
      <c r="L204" s="205" t="s">
        <v>271</v>
      </c>
      <c r="T204" s="205" t="s">
        <v>271</v>
      </c>
      <c r="V204" s="205">
        <v>2999.0</v>
      </c>
      <c r="Y204" s="205">
        <v>3.5</v>
      </c>
      <c r="Z204" s="205">
        <v>27.0</v>
      </c>
      <c r="AA204" s="205">
        <v>27.0</v>
      </c>
      <c r="AB204" s="205">
        <v>11.0</v>
      </c>
      <c r="AO204" s="205" t="s">
        <v>376</v>
      </c>
      <c r="AW204" s="205" t="s">
        <v>1143</v>
      </c>
    </row>
    <row r="205" ht="17.25" customHeight="1">
      <c r="B205" s="205">
        <v>0.0</v>
      </c>
      <c r="C205" s="205" t="s">
        <v>271</v>
      </c>
      <c r="D205" s="205" t="s">
        <v>310</v>
      </c>
      <c r="E205" s="205" t="s">
        <v>310</v>
      </c>
      <c r="F205" s="205" t="s">
        <v>268</v>
      </c>
      <c r="G205" s="205" t="s">
        <v>271</v>
      </c>
      <c r="H205" s="205">
        <v>3.23111014E8</v>
      </c>
      <c r="I205" s="205" t="s">
        <v>311</v>
      </c>
      <c r="J205" s="205" t="s">
        <v>1141</v>
      </c>
      <c r="K205" s="205" t="s">
        <v>1144</v>
      </c>
      <c r="L205" s="205" t="s">
        <v>271</v>
      </c>
      <c r="T205" s="205" t="s">
        <v>271</v>
      </c>
      <c r="V205" s="205">
        <v>2999.0</v>
      </c>
      <c r="Y205" s="205">
        <v>3.5</v>
      </c>
      <c r="Z205" s="205">
        <v>27.0</v>
      </c>
      <c r="AA205" s="205">
        <v>27.0</v>
      </c>
      <c r="AB205" s="205">
        <v>11.0</v>
      </c>
      <c r="AO205" s="205" t="s">
        <v>376</v>
      </c>
      <c r="AW205" s="205" t="s">
        <v>1145</v>
      </c>
    </row>
    <row r="206" ht="17.25" customHeight="1">
      <c r="B206" s="205">
        <v>0.0</v>
      </c>
      <c r="C206" s="205" t="s">
        <v>271</v>
      </c>
      <c r="D206" s="205" t="s">
        <v>310</v>
      </c>
      <c r="E206" s="205" t="s">
        <v>310</v>
      </c>
      <c r="F206" s="205" t="s">
        <v>268</v>
      </c>
      <c r="G206" s="205" t="s">
        <v>271</v>
      </c>
      <c r="H206" s="205">
        <v>3.23111188E8</v>
      </c>
      <c r="I206" s="205" t="s">
        <v>311</v>
      </c>
      <c r="J206" s="205" t="s">
        <v>1141</v>
      </c>
      <c r="K206" s="205" t="s">
        <v>1146</v>
      </c>
      <c r="L206" s="205" t="s">
        <v>271</v>
      </c>
      <c r="T206" s="205" t="s">
        <v>271</v>
      </c>
      <c r="V206" s="205">
        <v>2999.0</v>
      </c>
      <c r="Y206" s="205">
        <v>3.5</v>
      </c>
      <c r="Z206" s="205">
        <v>27.0</v>
      </c>
      <c r="AA206" s="205">
        <v>27.0</v>
      </c>
      <c r="AB206" s="205">
        <v>11.0</v>
      </c>
      <c r="AO206" s="205" t="s">
        <v>371</v>
      </c>
      <c r="AW206" s="205" t="s">
        <v>1143</v>
      </c>
    </row>
    <row r="207" ht="17.25" customHeight="1">
      <c r="B207" s="205">
        <v>0.0</v>
      </c>
      <c r="C207" s="205" t="s">
        <v>271</v>
      </c>
      <c r="D207" s="205" t="s">
        <v>310</v>
      </c>
      <c r="E207" s="205" t="s">
        <v>310</v>
      </c>
      <c r="F207" s="205" t="s">
        <v>268</v>
      </c>
      <c r="G207" s="205" t="s">
        <v>271</v>
      </c>
      <c r="H207" s="205">
        <v>3.23111338E8</v>
      </c>
      <c r="I207" s="205" t="s">
        <v>311</v>
      </c>
      <c r="J207" s="205" t="s">
        <v>1141</v>
      </c>
      <c r="K207" s="205" t="s">
        <v>1147</v>
      </c>
      <c r="L207" s="205" t="s">
        <v>271</v>
      </c>
      <c r="T207" s="205" t="s">
        <v>271</v>
      </c>
      <c r="V207" s="205">
        <v>2999.0</v>
      </c>
      <c r="Y207" s="205">
        <v>3.5</v>
      </c>
      <c r="Z207" s="205">
        <v>27.0</v>
      </c>
      <c r="AA207" s="205">
        <v>27.0</v>
      </c>
      <c r="AB207" s="205">
        <v>11.0</v>
      </c>
      <c r="AO207" s="205" t="s">
        <v>371</v>
      </c>
      <c r="AW207" s="205" t="s">
        <v>1145</v>
      </c>
    </row>
    <row r="208" ht="17.25" customHeight="1">
      <c r="B208" s="205">
        <v>0.0</v>
      </c>
      <c r="C208" s="205" t="s">
        <v>271</v>
      </c>
      <c r="D208" s="205" t="s">
        <v>310</v>
      </c>
      <c r="E208" s="205" t="s">
        <v>310</v>
      </c>
      <c r="F208" s="205" t="s">
        <v>268</v>
      </c>
      <c r="G208" s="205" t="s">
        <v>271</v>
      </c>
      <c r="H208" s="205">
        <v>3.26454825E8</v>
      </c>
      <c r="I208" s="205" t="s">
        <v>311</v>
      </c>
      <c r="J208" s="205" t="s">
        <v>1148</v>
      </c>
      <c r="K208" s="205" t="s">
        <v>1149</v>
      </c>
      <c r="L208" s="205" t="s">
        <v>271</v>
      </c>
      <c r="T208" s="205" t="s">
        <v>271</v>
      </c>
      <c r="V208" s="205">
        <v>2999.0</v>
      </c>
      <c r="Y208" s="205">
        <v>3.5</v>
      </c>
      <c r="Z208" s="205">
        <v>27.0</v>
      </c>
      <c r="AA208" s="205">
        <v>27.0</v>
      </c>
      <c r="AB208" s="205">
        <v>11.0</v>
      </c>
      <c r="AX208" s="205" t="s">
        <v>1150</v>
      </c>
    </row>
    <row r="209" ht="17.25" customHeight="1">
      <c r="B209" s="205">
        <v>0.0</v>
      </c>
      <c r="C209" s="205" t="s">
        <v>271</v>
      </c>
      <c r="D209" s="205" t="s">
        <v>310</v>
      </c>
      <c r="E209" s="205" t="s">
        <v>310</v>
      </c>
      <c r="F209" s="205" t="s">
        <v>268</v>
      </c>
      <c r="G209" s="205" t="s">
        <v>271</v>
      </c>
      <c r="H209" s="205">
        <v>3.26454878E8</v>
      </c>
      <c r="I209" s="205" t="s">
        <v>311</v>
      </c>
      <c r="J209" s="205" t="s">
        <v>1148</v>
      </c>
      <c r="K209" s="205" t="s">
        <v>1151</v>
      </c>
      <c r="L209" s="205" t="s">
        <v>271</v>
      </c>
      <c r="T209" s="205" t="s">
        <v>271</v>
      </c>
      <c r="V209" s="205">
        <v>2999.0</v>
      </c>
      <c r="Y209" s="205">
        <v>3.5</v>
      </c>
      <c r="Z209" s="205">
        <v>27.0</v>
      </c>
      <c r="AA209" s="205">
        <v>27.0</v>
      </c>
      <c r="AB209" s="205">
        <v>11.0</v>
      </c>
      <c r="AX209" s="205" t="s">
        <v>1152</v>
      </c>
    </row>
    <row r="210" ht="17.25" customHeight="1">
      <c r="B210" s="205">
        <v>0.0</v>
      </c>
      <c r="C210" s="205" t="s">
        <v>271</v>
      </c>
      <c r="D210" s="205" t="s">
        <v>310</v>
      </c>
      <c r="E210" s="205" t="s">
        <v>310</v>
      </c>
      <c r="F210" s="205" t="s">
        <v>268</v>
      </c>
      <c r="G210" s="205" t="s">
        <v>271</v>
      </c>
      <c r="H210" s="205">
        <v>3.26454946E8</v>
      </c>
      <c r="I210" s="205" t="s">
        <v>311</v>
      </c>
      <c r="J210" s="205" t="s">
        <v>1148</v>
      </c>
      <c r="K210" s="205" t="s">
        <v>1153</v>
      </c>
      <c r="L210" s="205" t="s">
        <v>271</v>
      </c>
      <c r="T210" s="205" t="s">
        <v>271</v>
      </c>
      <c r="V210" s="205">
        <v>2999.0</v>
      </c>
      <c r="Y210" s="205">
        <v>3.5</v>
      </c>
      <c r="Z210" s="205">
        <v>27.0</v>
      </c>
      <c r="AA210" s="205">
        <v>27.0</v>
      </c>
      <c r="AB210" s="205">
        <v>11.0</v>
      </c>
      <c r="AX210" s="205" t="s">
        <v>1154</v>
      </c>
    </row>
    <row r="211" ht="17.25" customHeight="1">
      <c r="B211" s="205">
        <v>0.0</v>
      </c>
      <c r="C211" s="205" t="s">
        <v>271</v>
      </c>
      <c r="D211" s="205" t="s">
        <v>310</v>
      </c>
      <c r="E211" s="205" t="s">
        <v>310</v>
      </c>
      <c r="F211" s="205" t="s">
        <v>268</v>
      </c>
      <c r="G211" s="205" t="s">
        <v>271</v>
      </c>
      <c r="H211" s="205">
        <v>3.26455029E8</v>
      </c>
      <c r="I211" s="205" t="s">
        <v>311</v>
      </c>
      <c r="J211" s="205" t="s">
        <v>1148</v>
      </c>
      <c r="K211" s="205" t="s">
        <v>1155</v>
      </c>
      <c r="L211" s="205" t="s">
        <v>271</v>
      </c>
      <c r="T211" s="205" t="s">
        <v>271</v>
      </c>
      <c r="V211" s="205">
        <v>2999.0</v>
      </c>
      <c r="Y211" s="205">
        <v>3.5</v>
      </c>
      <c r="Z211" s="205">
        <v>27.0</v>
      </c>
      <c r="AA211" s="205">
        <v>27.0</v>
      </c>
      <c r="AB211" s="205">
        <v>11.0</v>
      </c>
      <c r="AX211" s="205" t="s">
        <v>1156</v>
      </c>
    </row>
    <row r="212" ht="17.25" hidden="1" customHeight="1">
      <c r="A212" s="205" t="s">
        <v>1157</v>
      </c>
      <c r="F212" s="205" t="s">
        <v>271</v>
      </c>
      <c r="G212" s="205" t="s">
        <v>271</v>
      </c>
      <c r="H212" s="205">
        <v>8.843625E7</v>
      </c>
      <c r="I212" s="205" t="s">
        <v>1158</v>
      </c>
      <c r="K212" s="205" t="s">
        <v>1054</v>
      </c>
      <c r="L212" s="205" t="s">
        <v>268</v>
      </c>
      <c r="P212" s="205" t="s">
        <v>1159</v>
      </c>
      <c r="R212" s="205" t="s">
        <v>1160</v>
      </c>
      <c r="S212" s="205" t="s">
        <v>1161</v>
      </c>
      <c r="T212" s="205" t="s">
        <v>271</v>
      </c>
      <c r="X212" s="205" t="s">
        <v>307</v>
      </c>
      <c r="AC212" s="205" t="s">
        <v>299</v>
      </c>
      <c r="AD212" s="205" t="s">
        <v>1162</v>
      </c>
      <c r="AH212" s="205" t="s">
        <v>1163</v>
      </c>
      <c r="AI212" s="205" t="s">
        <v>1164</v>
      </c>
      <c r="AJ212" s="205" t="s">
        <v>1165</v>
      </c>
      <c r="AK212" s="205" t="s">
        <v>1166</v>
      </c>
    </row>
    <row r="213" ht="17.25" hidden="1" customHeight="1">
      <c r="A213" s="205" t="s">
        <v>1167</v>
      </c>
      <c r="F213" s="205" t="s">
        <v>271</v>
      </c>
      <c r="G213" s="205" t="s">
        <v>271</v>
      </c>
      <c r="H213" s="205">
        <v>8.8437277E7</v>
      </c>
      <c r="I213" s="205" t="s">
        <v>1158</v>
      </c>
      <c r="K213" s="205" t="s">
        <v>1057</v>
      </c>
      <c r="L213" s="205" t="s">
        <v>268</v>
      </c>
      <c r="P213" s="205" t="s">
        <v>1168</v>
      </c>
      <c r="R213" s="205" t="s">
        <v>1169</v>
      </c>
      <c r="T213" s="205" t="s">
        <v>271</v>
      </c>
      <c r="X213" s="205" t="s">
        <v>307</v>
      </c>
      <c r="AC213" s="205" t="s">
        <v>299</v>
      </c>
      <c r="AD213" s="205" t="s">
        <v>1162</v>
      </c>
      <c r="AH213" s="205" t="s">
        <v>1170</v>
      </c>
      <c r="AI213" s="205" t="s">
        <v>1171</v>
      </c>
      <c r="AJ213" s="205" t="s">
        <v>1172</v>
      </c>
    </row>
    <row r="214" ht="17.25" hidden="1" customHeight="1">
      <c r="A214" s="205" t="s">
        <v>1173</v>
      </c>
      <c r="F214" s="205" t="s">
        <v>271</v>
      </c>
      <c r="G214" s="205" t="s">
        <v>271</v>
      </c>
      <c r="H214" s="205">
        <v>8.8437633E7</v>
      </c>
      <c r="I214" s="205" t="s">
        <v>1158</v>
      </c>
      <c r="K214" s="205" t="s">
        <v>1059</v>
      </c>
      <c r="L214" s="205" t="s">
        <v>268</v>
      </c>
      <c r="P214" s="205" t="s">
        <v>1174</v>
      </c>
      <c r="R214" s="205" t="s">
        <v>1175</v>
      </c>
      <c r="S214" s="205" t="s">
        <v>1176</v>
      </c>
      <c r="T214" s="205" t="s">
        <v>271</v>
      </c>
      <c r="X214" s="205" t="s">
        <v>307</v>
      </c>
      <c r="AC214" s="205" t="s">
        <v>299</v>
      </c>
      <c r="AD214" s="205" t="s">
        <v>1162</v>
      </c>
      <c r="AH214" s="205" t="s">
        <v>1177</v>
      </c>
      <c r="AI214" s="205" t="s">
        <v>1178</v>
      </c>
      <c r="AJ214" s="205" t="s">
        <v>1179</v>
      </c>
    </row>
    <row r="215" ht="17.25" hidden="1" customHeight="1">
      <c r="A215" s="205" t="s">
        <v>1180</v>
      </c>
      <c r="F215" s="205" t="s">
        <v>271</v>
      </c>
      <c r="G215" s="205" t="s">
        <v>271</v>
      </c>
      <c r="H215" s="205">
        <v>1.11260503E8</v>
      </c>
      <c r="I215" s="205" t="s">
        <v>1158</v>
      </c>
      <c r="K215" s="205" t="s">
        <v>1085</v>
      </c>
      <c r="L215" s="205" t="s">
        <v>268</v>
      </c>
      <c r="R215" s="205" t="s">
        <v>1181</v>
      </c>
      <c r="T215" s="205" t="s">
        <v>271</v>
      </c>
      <c r="X215" s="205" t="s">
        <v>80</v>
      </c>
      <c r="AH215" s="205" t="s">
        <v>1182</v>
      </c>
      <c r="AI215" s="205" t="s">
        <v>1183</v>
      </c>
      <c r="AJ215" s="205" t="s">
        <v>1184</v>
      </c>
      <c r="AK215" s="205" t="s">
        <v>1185</v>
      </c>
      <c r="AL215" s="205" t="s">
        <v>1186</v>
      </c>
    </row>
    <row r="216" ht="17.25" hidden="1" customHeight="1">
      <c r="A216" s="205" t="s">
        <v>1187</v>
      </c>
      <c r="F216" s="205" t="s">
        <v>271</v>
      </c>
      <c r="G216" s="205" t="s">
        <v>271</v>
      </c>
      <c r="H216" s="205">
        <v>1.11275155E8</v>
      </c>
      <c r="I216" s="205" t="s">
        <v>1158</v>
      </c>
      <c r="K216" s="205" t="s">
        <v>1188</v>
      </c>
      <c r="L216" s="205" t="s">
        <v>268</v>
      </c>
      <c r="R216" s="205" t="s">
        <v>1189</v>
      </c>
      <c r="T216" s="205" t="s">
        <v>271</v>
      </c>
    </row>
    <row r="217" ht="17.25" hidden="1" customHeight="1">
      <c r="A217" s="205" t="s">
        <v>1190</v>
      </c>
      <c r="F217" s="205" t="s">
        <v>271</v>
      </c>
      <c r="G217" s="205" t="s">
        <v>271</v>
      </c>
      <c r="H217" s="205">
        <v>1.58671444E8</v>
      </c>
      <c r="I217" s="205" t="s">
        <v>1158</v>
      </c>
      <c r="K217" s="205" t="s">
        <v>1191</v>
      </c>
      <c r="L217" s="205" t="s">
        <v>268</v>
      </c>
      <c r="R217" s="205" t="s">
        <v>1192</v>
      </c>
      <c r="T217" s="205" t="s">
        <v>271</v>
      </c>
    </row>
    <row r="218" ht="17.25" hidden="1" customHeight="1">
      <c r="A218" s="205" t="s">
        <v>1193</v>
      </c>
      <c r="F218" s="205" t="s">
        <v>271</v>
      </c>
      <c r="G218" s="205" t="s">
        <v>271</v>
      </c>
      <c r="H218" s="205">
        <v>2.65737201E8</v>
      </c>
      <c r="I218" s="205" t="s">
        <v>1158</v>
      </c>
      <c r="K218" s="205" t="s">
        <v>312</v>
      </c>
      <c r="L218" s="205" t="s">
        <v>271</v>
      </c>
      <c r="M218" s="205" t="s">
        <v>1194</v>
      </c>
      <c r="P218" s="205" t="s">
        <v>1195</v>
      </c>
      <c r="R218" s="205" t="s">
        <v>1196</v>
      </c>
      <c r="T218" s="205" t="s">
        <v>271</v>
      </c>
      <c r="X218" s="205" t="s">
        <v>795</v>
      </c>
      <c r="AH218" s="205" t="s">
        <v>1197</v>
      </c>
    </row>
    <row r="219" ht="17.25" hidden="1" customHeight="1">
      <c r="A219" s="205" t="s">
        <v>1198</v>
      </c>
      <c r="F219" s="205" t="s">
        <v>271</v>
      </c>
      <c r="G219" s="205" t="s">
        <v>271</v>
      </c>
      <c r="H219" s="205">
        <v>2.65741679E8</v>
      </c>
      <c r="I219" s="205" t="s">
        <v>1158</v>
      </c>
      <c r="K219" s="205" t="s">
        <v>323</v>
      </c>
      <c r="L219" s="205" t="s">
        <v>271</v>
      </c>
      <c r="M219" s="205" t="s">
        <v>1194</v>
      </c>
      <c r="P219" s="205" t="s">
        <v>1199</v>
      </c>
      <c r="R219" s="205" t="s">
        <v>1200</v>
      </c>
      <c r="T219" s="205" t="s">
        <v>271</v>
      </c>
      <c r="X219" s="205" t="s">
        <v>795</v>
      </c>
      <c r="AH219" s="205" t="s">
        <v>1201</v>
      </c>
    </row>
    <row r="220" ht="17.25" hidden="1" customHeight="1">
      <c r="A220" s="205" t="s">
        <v>1202</v>
      </c>
      <c r="F220" s="205" t="s">
        <v>271</v>
      </c>
      <c r="G220" s="205" t="s">
        <v>271</v>
      </c>
      <c r="H220" s="205">
        <v>2.70964941E8</v>
      </c>
      <c r="I220" s="205" t="s">
        <v>1158</v>
      </c>
      <c r="K220" s="205" t="s">
        <v>1117</v>
      </c>
      <c r="L220" s="205" t="s">
        <v>271</v>
      </c>
      <c r="R220" s="205" t="s">
        <v>1203</v>
      </c>
      <c r="T220" s="205" t="s">
        <v>271</v>
      </c>
      <c r="X220" s="205" t="s">
        <v>1204</v>
      </c>
      <c r="AH220" s="205" t="s">
        <v>1205</v>
      </c>
      <c r="AI220" s="205" t="s">
        <v>1206</v>
      </c>
      <c r="AJ220" s="205" t="s">
        <v>1207</v>
      </c>
      <c r="AK220" s="205" t="s">
        <v>1208</v>
      </c>
    </row>
    <row r="221" ht="17.25" hidden="1" customHeight="1">
      <c r="A221" s="205" t="s">
        <v>1209</v>
      </c>
      <c r="F221" s="205" t="s">
        <v>271</v>
      </c>
      <c r="G221" s="205" t="s">
        <v>271</v>
      </c>
      <c r="H221" s="205">
        <v>2.70970923E8</v>
      </c>
      <c r="I221" s="205" t="s">
        <v>1158</v>
      </c>
      <c r="K221" s="205" t="s">
        <v>1120</v>
      </c>
      <c r="L221" s="205" t="s">
        <v>271</v>
      </c>
      <c r="R221" s="205" t="s">
        <v>1210</v>
      </c>
      <c r="T221" s="205" t="s">
        <v>271</v>
      </c>
      <c r="X221" s="205" t="s">
        <v>1204</v>
      </c>
      <c r="AH221" s="205" t="s">
        <v>1211</v>
      </c>
      <c r="AI221" s="205" t="s">
        <v>1212</v>
      </c>
      <c r="AJ221" s="205" t="s">
        <v>1213</v>
      </c>
      <c r="AK221" s="205" t="s">
        <v>1214</v>
      </c>
      <c r="AL221" s="205" t="s">
        <v>1215</v>
      </c>
    </row>
    <row r="222" ht="17.25" hidden="1" customHeight="1">
      <c r="A222" s="205" t="s">
        <v>1216</v>
      </c>
      <c r="F222" s="205" t="s">
        <v>271</v>
      </c>
      <c r="G222" s="205" t="s">
        <v>271</v>
      </c>
      <c r="H222" s="205">
        <v>2.70980494E8</v>
      </c>
      <c r="I222" s="205" t="s">
        <v>1158</v>
      </c>
      <c r="K222" s="205" t="s">
        <v>1124</v>
      </c>
      <c r="L222" s="205" t="s">
        <v>271</v>
      </c>
      <c r="R222" s="205" t="s">
        <v>1217</v>
      </c>
      <c r="T222" s="205" t="s">
        <v>271</v>
      </c>
      <c r="X222" s="205" t="s">
        <v>1204</v>
      </c>
      <c r="AH222" s="205" t="s">
        <v>1218</v>
      </c>
      <c r="AI222" s="205" t="s">
        <v>1219</v>
      </c>
      <c r="AJ222" s="205" t="s">
        <v>1220</v>
      </c>
      <c r="AK222" s="205" t="s">
        <v>1221</v>
      </c>
      <c r="AL222" s="205" t="s">
        <v>1222</v>
      </c>
    </row>
    <row r="223" ht="17.25" hidden="1" customHeight="1">
      <c r="A223" s="205" t="s">
        <v>1223</v>
      </c>
      <c r="F223" s="205" t="s">
        <v>271</v>
      </c>
      <c r="G223" s="205" t="s">
        <v>271</v>
      </c>
      <c r="H223" s="205">
        <v>3.23109483E8</v>
      </c>
      <c r="I223" s="205" t="s">
        <v>1158</v>
      </c>
      <c r="K223" s="205" t="s">
        <v>1141</v>
      </c>
      <c r="L223" s="205" t="s">
        <v>271</v>
      </c>
      <c r="R223" s="205" t="s">
        <v>1224</v>
      </c>
      <c r="T223" s="205" t="s">
        <v>271</v>
      </c>
      <c r="X223" s="205" t="s">
        <v>795</v>
      </c>
      <c r="AH223" s="205" t="s">
        <v>1225</v>
      </c>
      <c r="AI223" s="205" t="s">
        <v>1226</v>
      </c>
      <c r="AJ223" s="205" t="s">
        <v>1227</v>
      </c>
      <c r="AK223" s="205" t="s">
        <v>1228</v>
      </c>
      <c r="AL223" s="205" t="s">
        <v>1229</v>
      </c>
    </row>
    <row r="224" ht="17.25" customHeight="1">
      <c r="A224" s="204" t="s">
        <v>1230</v>
      </c>
      <c r="F224" s="205" t="s">
        <v>268</v>
      </c>
      <c r="G224" s="205" t="s">
        <v>271</v>
      </c>
      <c r="H224" s="205">
        <v>3.5767157E7</v>
      </c>
      <c r="I224" s="205" t="s">
        <v>1158</v>
      </c>
      <c r="K224" s="205" t="s">
        <v>1025</v>
      </c>
      <c r="L224" s="205" t="s">
        <v>268</v>
      </c>
      <c r="R224" s="205" t="s">
        <v>1231</v>
      </c>
      <c r="T224" s="205" t="s">
        <v>271</v>
      </c>
      <c r="X224" s="205" t="s">
        <v>656</v>
      </c>
      <c r="AC224" s="205" t="s">
        <v>299</v>
      </c>
      <c r="AD224" s="205" t="s">
        <v>300</v>
      </c>
      <c r="AH224" s="205" t="s">
        <v>1232</v>
      </c>
      <c r="AI224" s="205" t="s">
        <v>1233</v>
      </c>
      <c r="AJ224" s="205" t="s">
        <v>1234</v>
      </c>
      <c r="AK224" s="205" t="s">
        <v>1235</v>
      </c>
    </row>
    <row r="225" ht="17.25" customHeight="1">
      <c r="A225" s="204" t="s">
        <v>1236</v>
      </c>
      <c r="F225" s="205" t="s">
        <v>268</v>
      </c>
      <c r="G225" s="205" t="s">
        <v>271</v>
      </c>
      <c r="H225" s="205">
        <v>3.5767584E7</v>
      </c>
      <c r="I225" s="205" t="s">
        <v>1158</v>
      </c>
      <c r="K225" s="205" t="s">
        <v>1101</v>
      </c>
      <c r="L225" s="205" t="s">
        <v>268</v>
      </c>
      <c r="R225" s="205" t="s">
        <v>1237</v>
      </c>
      <c r="T225" s="205" t="s">
        <v>271</v>
      </c>
      <c r="X225" s="205" t="s">
        <v>656</v>
      </c>
      <c r="AC225" s="205" t="s">
        <v>299</v>
      </c>
      <c r="AD225" s="205" t="s">
        <v>300</v>
      </c>
      <c r="AH225" s="205" t="s">
        <v>1238</v>
      </c>
      <c r="AI225" s="205" t="s">
        <v>1239</v>
      </c>
      <c r="AJ225" s="205" t="s">
        <v>1240</v>
      </c>
      <c r="AK225" s="205" t="s">
        <v>1241</v>
      </c>
    </row>
    <row r="226" ht="17.25" customHeight="1">
      <c r="A226" s="204" t="s">
        <v>1242</v>
      </c>
      <c r="F226" s="205" t="s">
        <v>268</v>
      </c>
      <c r="G226" s="205" t="s">
        <v>271</v>
      </c>
      <c r="H226" s="205">
        <v>3.5767937E7</v>
      </c>
      <c r="I226" s="205" t="s">
        <v>1158</v>
      </c>
      <c r="K226" s="205" t="s">
        <v>1027</v>
      </c>
      <c r="L226" s="205" t="s">
        <v>271</v>
      </c>
      <c r="R226" s="205" t="s">
        <v>1243</v>
      </c>
      <c r="T226" s="205" t="s">
        <v>271</v>
      </c>
      <c r="X226" s="205" t="s">
        <v>656</v>
      </c>
      <c r="AC226" s="205" t="s">
        <v>299</v>
      </c>
      <c r="AD226" s="205" t="s">
        <v>300</v>
      </c>
      <c r="AH226" s="205" t="s">
        <v>1244</v>
      </c>
      <c r="AI226" s="205" t="s">
        <v>1245</v>
      </c>
      <c r="AJ226" s="205" t="s">
        <v>1246</v>
      </c>
      <c r="AK226" s="205" t="s">
        <v>1247</v>
      </c>
    </row>
    <row r="227" ht="17.25" customHeight="1">
      <c r="A227" s="204" t="s">
        <v>1248</v>
      </c>
      <c r="F227" s="205" t="s">
        <v>268</v>
      </c>
      <c r="G227" s="205" t="s">
        <v>271</v>
      </c>
      <c r="H227" s="205">
        <v>3.5768297E7</v>
      </c>
      <c r="I227" s="205" t="s">
        <v>1158</v>
      </c>
      <c r="K227" s="205" t="s">
        <v>1029</v>
      </c>
      <c r="L227" s="205" t="s">
        <v>268</v>
      </c>
      <c r="R227" s="205" t="s">
        <v>1249</v>
      </c>
      <c r="T227" s="205" t="s">
        <v>271</v>
      </c>
      <c r="X227" s="205" t="s">
        <v>656</v>
      </c>
      <c r="AC227" s="205" t="s">
        <v>299</v>
      </c>
      <c r="AD227" s="205" t="s">
        <v>300</v>
      </c>
      <c r="AH227" s="205" t="s">
        <v>1250</v>
      </c>
      <c r="AI227" s="205" t="s">
        <v>1251</v>
      </c>
      <c r="AJ227" s="205" t="s">
        <v>1252</v>
      </c>
      <c r="AK227" s="205" t="s">
        <v>1253</v>
      </c>
    </row>
    <row r="228" ht="17.25" customHeight="1">
      <c r="A228" s="204" t="s">
        <v>1254</v>
      </c>
      <c r="F228" s="205" t="s">
        <v>268</v>
      </c>
      <c r="G228" s="205" t="s">
        <v>271</v>
      </c>
      <c r="H228" s="205">
        <v>5.5796286E7</v>
      </c>
      <c r="I228" s="205" t="s">
        <v>1158</v>
      </c>
      <c r="K228" s="205" t="s">
        <v>1031</v>
      </c>
      <c r="L228" s="205" t="s">
        <v>268</v>
      </c>
      <c r="R228" s="205" t="s">
        <v>1255</v>
      </c>
      <c r="T228" s="205" t="s">
        <v>271</v>
      </c>
      <c r="X228" s="205" t="s">
        <v>656</v>
      </c>
      <c r="AC228" s="205" t="s">
        <v>299</v>
      </c>
      <c r="AD228" s="205" t="s">
        <v>488</v>
      </c>
      <c r="AH228" s="205" t="s">
        <v>1256</v>
      </c>
      <c r="AI228" s="205" t="s">
        <v>1257</v>
      </c>
      <c r="AJ228" s="205" t="s">
        <v>1258</v>
      </c>
      <c r="AK228" s="205" t="s">
        <v>1259</v>
      </c>
      <c r="AL228" s="205" t="s">
        <v>1260</v>
      </c>
    </row>
    <row r="229" ht="17.25" customHeight="1">
      <c r="A229" s="205" t="s">
        <v>1261</v>
      </c>
      <c r="F229" s="205" t="s">
        <v>268</v>
      </c>
      <c r="G229" s="205" t="s">
        <v>271</v>
      </c>
      <c r="H229" s="205">
        <v>5.5799073E7</v>
      </c>
      <c r="I229" s="205" t="s">
        <v>1158</v>
      </c>
      <c r="K229" s="205" t="s">
        <v>1033</v>
      </c>
      <c r="L229" s="205" t="s">
        <v>271</v>
      </c>
      <c r="R229" s="205" t="s">
        <v>1262</v>
      </c>
      <c r="T229" s="205" t="s">
        <v>271</v>
      </c>
      <c r="X229" s="205" t="s">
        <v>656</v>
      </c>
      <c r="AC229" s="205" t="s">
        <v>299</v>
      </c>
      <c r="AD229" s="205" t="s">
        <v>488</v>
      </c>
      <c r="AH229" s="205" t="s">
        <v>1263</v>
      </c>
      <c r="AI229" s="205" t="s">
        <v>1264</v>
      </c>
      <c r="AJ229" s="205" t="s">
        <v>1265</v>
      </c>
      <c r="AK229" s="205" t="s">
        <v>1266</v>
      </c>
      <c r="AL229" s="205" t="s">
        <v>1267</v>
      </c>
    </row>
    <row r="230" ht="17.25" customHeight="1">
      <c r="A230" s="205" t="s">
        <v>1268</v>
      </c>
      <c r="F230" s="205" t="s">
        <v>268</v>
      </c>
      <c r="G230" s="205" t="s">
        <v>271</v>
      </c>
      <c r="H230" s="205">
        <v>5.5800718E7</v>
      </c>
      <c r="I230" s="205" t="s">
        <v>1158</v>
      </c>
      <c r="K230" s="205" t="s">
        <v>1036</v>
      </c>
      <c r="L230" s="205" t="s">
        <v>271</v>
      </c>
      <c r="R230" s="205" t="s">
        <v>1269</v>
      </c>
      <c r="T230" s="205" t="s">
        <v>271</v>
      </c>
      <c r="X230" s="205" t="s">
        <v>656</v>
      </c>
      <c r="AC230" s="205" t="s">
        <v>299</v>
      </c>
      <c r="AD230" s="205" t="s">
        <v>488</v>
      </c>
      <c r="AH230" s="205" t="s">
        <v>1270</v>
      </c>
      <c r="AI230" s="205" t="s">
        <v>1271</v>
      </c>
      <c r="AJ230" s="205" t="s">
        <v>1272</v>
      </c>
      <c r="AK230" s="205" t="s">
        <v>1273</v>
      </c>
      <c r="AL230" s="205" t="s">
        <v>1274</v>
      </c>
    </row>
    <row r="231" ht="17.25" customHeight="1">
      <c r="A231" s="205" t="s">
        <v>1275</v>
      </c>
      <c r="F231" s="205" t="s">
        <v>268</v>
      </c>
      <c r="G231" s="205" t="s">
        <v>271</v>
      </c>
      <c r="H231" s="205">
        <v>5.5801725E7</v>
      </c>
      <c r="I231" s="205" t="s">
        <v>1158</v>
      </c>
      <c r="K231" s="205" t="s">
        <v>1039</v>
      </c>
      <c r="L231" s="205" t="s">
        <v>268</v>
      </c>
      <c r="R231" s="205" t="s">
        <v>1276</v>
      </c>
      <c r="T231" s="205" t="s">
        <v>271</v>
      </c>
      <c r="X231" s="205" t="s">
        <v>656</v>
      </c>
      <c r="AC231" s="205" t="s">
        <v>299</v>
      </c>
      <c r="AD231" s="205" t="s">
        <v>488</v>
      </c>
      <c r="AH231" s="205" t="s">
        <v>1277</v>
      </c>
      <c r="AI231" s="205" t="s">
        <v>1278</v>
      </c>
      <c r="AJ231" s="205" t="s">
        <v>1279</v>
      </c>
      <c r="AK231" s="205" t="s">
        <v>1280</v>
      </c>
      <c r="AL231" s="205" t="s">
        <v>1281</v>
      </c>
    </row>
    <row r="232" ht="17.25" customHeight="1">
      <c r="A232" s="205" t="s">
        <v>1282</v>
      </c>
      <c r="F232" s="205" t="s">
        <v>268</v>
      </c>
      <c r="G232" s="205" t="s">
        <v>271</v>
      </c>
      <c r="H232" s="205">
        <v>5.5802158E7</v>
      </c>
      <c r="I232" s="205" t="s">
        <v>1158</v>
      </c>
      <c r="K232" s="205" t="s">
        <v>1041</v>
      </c>
      <c r="L232" s="205" t="s">
        <v>268</v>
      </c>
      <c r="R232" s="205" t="s">
        <v>1283</v>
      </c>
      <c r="T232" s="205" t="s">
        <v>271</v>
      </c>
      <c r="X232" s="205" t="s">
        <v>656</v>
      </c>
      <c r="AC232" s="205" t="s">
        <v>299</v>
      </c>
      <c r="AD232" s="205" t="s">
        <v>488</v>
      </c>
      <c r="AH232" s="205" t="s">
        <v>1284</v>
      </c>
      <c r="AI232" s="205" t="s">
        <v>1285</v>
      </c>
      <c r="AJ232" s="205" t="s">
        <v>1286</v>
      </c>
      <c r="AK232" s="205" t="s">
        <v>1287</v>
      </c>
      <c r="AL232" s="205" t="s">
        <v>1288</v>
      </c>
    </row>
    <row r="233" ht="17.25" customHeight="1">
      <c r="A233" s="205" t="s">
        <v>1289</v>
      </c>
      <c r="F233" s="205" t="s">
        <v>268</v>
      </c>
      <c r="G233" s="205" t="s">
        <v>271</v>
      </c>
      <c r="H233" s="205">
        <v>5.5830207E7</v>
      </c>
      <c r="I233" s="205" t="s">
        <v>1158</v>
      </c>
      <c r="K233" s="205" t="s">
        <v>1044</v>
      </c>
      <c r="L233" s="205" t="s">
        <v>268</v>
      </c>
      <c r="R233" s="205" t="s">
        <v>1290</v>
      </c>
      <c r="T233" s="205" t="s">
        <v>271</v>
      </c>
      <c r="X233" s="205" t="s">
        <v>656</v>
      </c>
      <c r="AC233" s="205" t="s">
        <v>299</v>
      </c>
      <c r="AD233" s="205" t="s">
        <v>488</v>
      </c>
      <c r="AH233" s="205" t="s">
        <v>1291</v>
      </c>
      <c r="AI233" s="205" t="s">
        <v>1292</v>
      </c>
      <c r="AJ233" s="205" t="s">
        <v>1293</v>
      </c>
      <c r="AK233" s="205" t="s">
        <v>1294</v>
      </c>
      <c r="AL233" s="205" t="s">
        <v>1295</v>
      </c>
    </row>
    <row r="234" ht="17.25" customHeight="1">
      <c r="A234" s="205" t="s">
        <v>1296</v>
      </c>
      <c r="F234" s="205" t="s">
        <v>268</v>
      </c>
      <c r="G234" s="205" t="s">
        <v>271</v>
      </c>
      <c r="H234" s="205">
        <v>5.583044E7</v>
      </c>
      <c r="I234" s="205" t="s">
        <v>1158</v>
      </c>
      <c r="K234" s="205" t="s">
        <v>1046</v>
      </c>
      <c r="L234" s="205" t="s">
        <v>271</v>
      </c>
      <c r="R234" s="205" t="s">
        <v>1297</v>
      </c>
      <c r="T234" s="205" t="s">
        <v>271</v>
      </c>
      <c r="X234" s="205" t="s">
        <v>656</v>
      </c>
      <c r="AC234" s="205" t="s">
        <v>299</v>
      </c>
      <c r="AD234" s="205" t="s">
        <v>488</v>
      </c>
      <c r="AH234" s="205" t="s">
        <v>1298</v>
      </c>
      <c r="AI234" s="205" t="s">
        <v>1299</v>
      </c>
      <c r="AJ234" s="205" t="s">
        <v>1300</v>
      </c>
      <c r="AK234" s="205" t="s">
        <v>1301</v>
      </c>
      <c r="AL234" s="205" t="s">
        <v>1302</v>
      </c>
    </row>
    <row r="235" ht="17.25" customHeight="1">
      <c r="A235" s="205" t="s">
        <v>1303</v>
      </c>
      <c r="F235" s="205" t="s">
        <v>268</v>
      </c>
      <c r="G235" s="205" t="s">
        <v>271</v>
      </c>
      <c r="H235" s="205">
        <v>5.5830641E7</v>
      </c>
      <c r="I235" s="205" t="s">
        <v>1158</v>
      </c>
      <c r="K235" s="205" t="s">
        <v>1048</v>
      </c>
      <c r="L235" s="205" t="s">
        <v>268</v>
      </c>
      <c r="R235" s="205" t="s">
        <v>1304</v>
      </c>
      <c r="T235" s="205" t="s">
        <v>271</v>
      </c>
      <c r="X235" s="205" t="s">
        <v>656</v>
      </c>
      <c r="AC235" s="205" t="s">
        <v>299</v>
      </c>
      <c r="AD235" s="205" t="s">
        <v>488</v>
      </c>
      <c r="AH235" s="205" t="s">
        <v>1305</v>
      </c>
      <c r="AI235" s="205" t="s">
        <v>1306</v>
      </c>
      <c r="AJ235" s="205" t="s">
        <v>1307</v>
      </c>
      <c r="AK235" s="205" t="s">
        <v>1308</v>
      </c>
      <c r="AL235" s="205" t="s">
        <v>1309</v>
      </c>
    </row>
    <row r="236" ht="17.25" customHeight="1">
      <c r="A236" s="205" t="s">
        <v>1310</v>
      </c>
      <c r="F236" s="205" t="s">
        <v>268</v>
      </c>
      <c r="G236" s="205" t="s">
        <v>271</v>
      </c>
      <c r="H236" s="205">
        <v>6.01705E7</v>
      </c>
      <c r="I236" s="205" t="s">
        <v>1158</v>
      </c>
      <c r="K236" s="205" t="s">
        <v>1051</v>
      </c>
      <c r="L236" s="205" t="s">
        <v>268</v>
      </c>
      <c r="R236" s="205" t="s">
        <v>1311</v>
      </c>
      <c r="T236" s="205" t="s">
        <v>271</v>
      </c>
      <c r="X236" s="205" t="s">
        <v>656</v>
      </c>
      <c r="AC236" s="205" t="s">
        <v>299</v>
      </c>
      <c r="AD236" s="205" t="s">
        <v>300</v>
      </c>
      <c r="AE236" s="205" t="s">
        <v>657</v>
      </c>
      <c r="AH236" s="205" t="s">
        <v>1312</v>
      </c>
      <c r="AI236" s="205" t="s">
        <v>1313</v>
      </c>
      <c r="AJ236" s="205" t="s">
        <v>1314</v>
      </c>
      <c r="AK236" s="205" t="s">
        <v>1315</v>
      </c>
      <c r="AL236" s="205" t="s">
        <v>1316</v>
      </c>
    </row>
    <row r="237" ht="17.25" customHeight="1">
      <c r="A237" s="205" t="s">
        <v>1317</v>
      </c>
      <c r="F237" s="205" t="s">
        <v>268</v>
      </c>
      <c r="G237" s="205" t="s">
        <v>271</v>
      </c>
      <c r="H237" s="205">
        <v>1.02514858E8</v>
      </c>
      <c r="I237" s="205" t="s">
        <v>1158</v>
      </c>
      <c r="K237" s="205" t="s">
        <v>1061</v>
      </c>
      <c r="L237" s="205" t="s">
        <v>268</v>
      </c>
      <c r="P237" s="205" t="s">
        <v>1318</v>
      </c>
      <c r="Q237" s="205" t="s">
        <v>1319</v>
      </c>
      <c r="R237" s="205" t="s">
        <v>1320</v>
      </c>
      <c r="T237" s="205" t="s">
        <v>271</v>
      </c>
      <c r="AH237" s="205" t="s">
        <v>1321</v>
      </c>
    </row>
    <row r="238" ht="17.25" customHeight="1">
      <c r="A238" s="205" t="s">
        <v>1322</v>
      </c>
      <c r="F238" s="205" t="s">
        <v>268</v>
      </c>
      <c r="G238" s="205" t="s">
        <v>271</v>
      </c>
      <c r="H238" s="205">
        <v>1.06844052E8</v>
      </c>
      <c r="I238" s="205" t="s">
        <v>1158</v>
      </c>
      <c r="K238" s="205" t="s">
        <v>1072</v>
      </c>
      <c r="L238" s="205" t="s">
        <v>268</v>
      </c>
      <c r="P238" s="205" t="s">
        <v>1323</v>
      </c>
      <c r="Q238" s="205" t="s">
        <v>1324</v>
      </c>
      <c r="R238" s="205" t="s">
        <v>1325</v>
      </c>
      <c r="T238" s="205" t="s">
        <v>271</v>
      </c>
      <c r="AH238" s="205" t="s">
        <v>1326</v>
      </c>
      <c r="AI238" s="205" t="s">
        <v>1327</v>
      </c>
    </row>
    <row r="239" ht="17.25" customHeight="1">
      <c r="A239" s="205" t="s">
        <v>1328</v>
      </c>
      <c r="F239" s="205" t="s">
        <v>268</v>
      </c>
      <c r="G239" s="205" t="s">
        <v>271</v>
      </c>
      <c r="H239" s="205">
        <v>1.11211862E8</v>
      </c>
      <c r="I239" s="205" t="s">
        <v>1158</v>
      </c>
      <c r="K239" s="205" t="s">
        <v>568</v>
      </c>
      <c r="L239" s="205" t="s">
        <v>268</v>
      </c>
      <c r="R239" s="205" t="s">
        <v>1329</v>
      </c>
      <c r="T239" s="205" t="s">
        <v>271</v>
      </c>
      <c r="X239" s="205" t="s">
        <v>507</v>
      </c>
      <c r="AC239" s="205" t="s">
        <v>299</v>
      </c>
      <c r="AH239" s="205" t="s">
        <v>1330</v>
      </c>
      <c r="AI239" s="205" t="s">
        <v>1331</v>
      </c>
      <c r="AJ239" s="205" t="s">
        <v>1332</v>
      </c>
      <c r="AK239" s="205" t="s">
        <v>1333</v>
      </c>
    </row>
    <row r="240" ht="17.25" customHeight="1">
      <c r="A240" s="205" t="s">
        <v>1334</v>
      </c>
      <c r="F240" s="205" t="s">
        <v>268</v>
      </c>
      <c r="G240" s="205" t="s">
        <v>271</v>
      </c>
      <c r="H240" s="205">
        <v>1.11212409E8</v>
      </c>
      <c r="I240" s="205" t="s">
        <v>1158</v>
      </c>
      <c r="K240" s="205" t="s">
        <v>1079</v>
      </c>
      <c r="L240" s="205" t="s">
        <v>268</v>
      </c>
      <c r="R240" s="205" t="s">
        <v>1335</v>
      </c>
      <c r="T240" s="205" t="s">
        <v>271</v>
      </c>
      <c r="X240" s="205" t="s">
        <v>507</v>
      </c>
      <c r="AC240" s="205" t="s">
        <v>299</v>
      </c>
      <c r="AH240" s="205" t="s">
        <v>1336</v>
      </c>
      <c r="AI240" s="205" t="s">
        <v>1337</v>
      </c>
      <c r="AJ240" s="205" t="s">
        <v>1338</v>
      </c>
      <c r="AK240" s="205" t="s">
        <v>1339</v>
      </c>
    </row>
    <row r="241" ht="17.25" customHeight="1">
      <c r="A241" s="205" t="s">
        <v>1340</v>
      </c>
      <c r="F241" s="205" t="s">
        <v>268</v>
      </c>
      <c r="G241" s="205" t="s">
        <v>271</v>
      </c>
      <c r="H241" s="205">
        <v>1.11215213E8</v>
      </c>
      <c r="I241" s="205" t="s">
        <v>1158</v>
      </c>
      <c r="K241" s="205" t="s">
        <v>1082</v>
      </c>
      <c r="L241" s="205" t="s">
        <v>268</v>
      </c>
      <c r="R241" s="205" t="s">
        <v>1341</v>
      </c>
      <c r="T241" s="205" t="s">
        <v>271</v>
      </c>
      <c r="X241" s="205" t="s">
        <v>507</v>
      </c>
      <c r="AH241" s="205" t="s">
        <v>1342</v>
      </c>
      <c r="AI241" s="205" t="s">
        <v>1343</v>
      </c>
      <c r="AJ241" s="205" t="s">
        <v>1344</v>
      </c>
      <c r="AK241" s="205" t="s">
        <v>1345</v>
      </c>
      <c r="AL241" s="205" t="s">
        <v>1346</v>
      </c>
    </row>
    <row r="242" ht="17.25" customHeight="1">
      <c r="A242" s="205" t="s">
        <v>1347</v>
      </c>
      <c r="F242" s="205" t="s">
        <v>268</v>
      </c>
      <c r="G242" s="205" t="s">
        <v>271</v>
      </c>
      <c r="H242" s="205">
        <v>1.11261221E8</v>
      </c>
      <c r="I242" s="205" t="s">
        <v>1158</v>
      </c>
      <c r="K242" s="205" t="s">
        <v>1088</v>
      </c>
      <c r="L242" s="205" t="s">
        <v>268</v>
      </c>
      <c r="R242" s="205" t="s">
        <v>1348</v>
      </c>
      <c r="T242" s="205" t="s">
        <v>271</v>
      </c>
      <c r="X242" s="205" t="s">
        <v>80</v>
      </c>
      <c r="AH242" s="205" t="s">
        <v>1349</v>
      </c>
      <c r="AI242" s="205" t="s">
        <v>1350</v>
      </c>
      <c r="AJ242" s="205" t="s">
        <v>1351</v>
      </c>
      <c r="AK242" s="205" t="s">
        <v>1352</v>
      </c>
      <c r="AL242" s="205" t="s">
        <v>1353</v>
      </c>
    </row>
    <row r="243" ht="17.25" customHeight="1">
      <c r="A243" s="205" t="s">
        <v>1354</v>
      </c>
      <c r="F243" s="205" t="s">
        <v>268</v>
      </c>
      <c r="G243" s="205" t="s">
        <v>271</v>
      </c>
      <c r="H243" s="205">
        <v>1.11261605E8</v>
      </c>
      <c r="I243" s="205" t="s">
        <v>1158</v>
      </c>
      <c r="K243" s="205" t="s">
        <v>1091</v>
      </c>
      <c r="L243" s="205" t="s">
        <v>268</v>
      </c>
      <c r="R243" s="205" t="s">
        <v>1355</v>
      </c>
      <c r="T243" s="205" t="s">
        <v>271</v>
      </c>
      <c r="X243" s="205" t="s">
        <v>80</v>
      </c>
      <c r="AC243" s="205" t="s">
        <v>299</v>
      </c>
      <c r="AH243" s="205" t="s">
        <v>1356</v>
      </c>
      <c r="AI243" s="205" t="s">
        <v>1357</v>
      </c>
      <c r="AJ243" s="205" t="s">
        <v>1358</v>
      </c>
      <c r="AK243" s="205" t="s">
        <v>1359</v>
      </c>
    </row>
    <row r="244" ht="17.25" customHeight="1">
      <c r="A244" s="205" t="s">
        <v>1360</v>
      </c>
      <c r="F244" s="205" t="s">
        <v>268</v>
      </c>
      <c r="G244" s="205" t="s">
        <v>271</v>
      </c>
      <c r="H244" s="205">
        <v>1.11265737E8</v>
      </c>
      <c r="I244" s="205" t="s">
        <v>1158</v>
      </c>
      <c r="K244" s="205" t="s">
        <v>1093</v>
      </c>
      <c r="L244" s="205" t="s">
        <v>268</v>
      </c>
      <c r="R244" s="205" t="s">
        <v>1361</v>
      </c>
      <c r="T244" s="205" t="s">
        <v>271</v>
      </c>
      <c r="X244" s="205" t="s">
        <v>507</v>
      </c>
      <c r="AC244" s="205" t="s">
        <v>299</v>
      </c>
      <c r="AH244" s="205" t="s">
        <v>1362</v>
      </c>
      <c r="AI244" s="205" t="s">
        <v>1363</v>
      </c>
      <c r="AJ244" s="205" t="s">
        <v>1364</v>
      </c>
      <c r="AK244" s="205" t="s">
        <v>1365</v>
      </c>
      <c r="AL244" s="205" t="s">
        <v>1366</v>
      </c>
    </row>
    <row r="245" ht="17.25" customHeight="1">
      <c r="A245" s="205" t="s">
        <v>1367</v>
      </c>
      <c r="F245" s="205" t="s">
        <v>268</v>
      </c>
      <c r="G245" s="205" t="s">
        <v>271</v>
      </c>
      <c r="H245" s="205">
        <v>1.58671985E8</v>
      </c>
      <c r="I245" s="205" t="s">
        <v>1158</v>
      </c>
      <c r="K245" s="205" t="s">
        <v>1096</v>
      </c>
      <c r="L245" s="205" t="s">
        <v>268</v>
      </c>
      <c r="R245" s="205" t="s">
        <v>1368</v>
      </c>
      <c r="T245" s="205" t="s">
        <v>271</v>
      </c>
      <c r="AH245" s="205" t="s">
        <v>1369</v>
      </c>
    </row>
    <row r="246" ht="17.25" customHeight="1">
      <c r="A246" s="205" t="s">
        <v>1370</v>
      </c>
      <c r="F246" s="205" t="s">
        <v>268</v>
      </c>
      <c r="G246" s="205" t="s">
        <v>271</v>
      </c>
      <c r="H246" s="205">
        <v>2.57656857E8</v>
      </c>
      <c r="I246" s="205" t="s">
        <v>1158</v>
      </c>
      <c r="K246" s="205" t="s">
        <v>429</v>
      </c>
      <c r="L246" s="205" t="s">
        <v>268</v>
      </c>
      <c r="P246" s="205" t="s">
        <v>1370</v>
      </c>
      <c r="Q246" s="205" t="s">
        <v>1371</v>
      </c>
      <c r="R246" s="205" t="s">
        <v>1372</v>
      </c>
      <c r="T246" s="205" t="s">
        <v>271</v>
      </c>
      <c r="X246" s="205" t="s">
        <v>80</v>
      </c>
      <c r="AH246" s="205" t="s">
        <v>1373</v>
      </c>
      <c r="AI246" s="205" t="s">
        <v>1374</v>
      </c>
      <c r="AJ246" s="205" t="s">
        <v>1375</v>
      </c>
    </row>
    <row r="247" ht="17.25" customHeight="1">
      <c r="A247" s="205" t="s">
        <v>1376</v>
      </c>
      <c r="F247" s="205" t="s">
        <v>268</v>
      </c>
      <c r="G247" s="205" t="s">
        <v>271</v>
      </c>
      <c r="H247" s="205">
        <v>2.57659159E8</v>
      </c>
      <c r="I247" s="205" t="s">
        <v>1158</v>
      </c>
      <c r="K247" s="205" t="s">
        <v>1103</v>
      </c>
      <c r="L247" s="205" t="s">
        <v>268</v>
      </c>
      <c r="P247" s="205" t="s">
        <v>1376</v>
      </c>
      <c r="R247" s="205" t="s">
        <v>1377</v>
      </c>
      <c r="T247" s="205" t="s">
        <v>271</v>
      </c>
      <c r="X247" s="205" t="s">
        <v>80</v>
      </c>
      <c r="AH247" s="205" t="s">
        <v>1378</v>
      </c>
      <c r="AI247" s="205" t="s">
        <v>1379</v>
      </c>
      <c r="AJ247" s="205" t="s">
        <v>1380</v>
      </c>
      <c r="AK247" s="205" t="s">
        <v>1381</v>
      </c>
    </row>
    <row r="248" ht="17.25" customHeight="1">
      <c r="A248" s="205" t="s">
        <v>1382</v>
      </c>
      <c r="F248" s="205" t="s">
        <v>268</v>
      </c>
      <c r="G248" s="205" t="s">
        <v>271</v>
      </c>
      <c r="H248" s="205">
        <v>2.57701207E8</v>
      </c>
      <c r="I248" s="205" t="s">
        <v>1158</v>
      </c>
      <c r="K248" s="205" t="s">
        <v>1106</v>
      </c>
      <c r="L248" s="205" t="s">
        <v>271</v>
      </c>
      <c r="P248" s="205" t="s">
        <v>1382</v>
      </c>
      <c r="Q248" s="205" t="s">
        <v>1383</v>
      </c>
      <c r="R248" s="205" t="s">
        <v>1384</v>
      </c>
      <c r="T248" s="205" t="s">
        <v>271</v>
      </c>
      <c r="AH248" s="205" t="s">
        <v>1385</v>
      </c>
      <c r="AI248" s="205" t="s">
        <v>1386</v>
      </c>
      <c r="AJ248" s="205" t="s">
        <v>1387</v>
      </c>
    </row>
    <row r="249" ht="17.25" customHeight="1">
      <c r="A249" s="205" t="s">
        <v>1388</v>
      </c>
      <c r="F249" s="205" t="s">
        <v>268</v>
      </c>
      <c r="G249" s="205" t="s">
        <v>271</v>
      </c>
      <c r="H249" s="205">
        <v>3.01796992E8</v>
      </c>
      <c r="I249" s="205" t="s">
        <v>1158</v>
      </c>
      <c r="K249" s="205" t="s">
        <v>1128</v>
      </c>
      <c r="L249" s="205" t="s">
        <v>271</v>
      </c>
      <c r="R249" s="205" t="s">
        <v>1389</v>
      </c>
      <c r="T249" s="205" t="s">
        <v>271</v>
      </c>
      <c r="X249" s="205" t="s">
        <v>727</v>
      </c>
      <c r="AH249" s="205" t="s">
        <v>1390</v>
      </c>
      <c r="AI249" s="205" t="s">
        <v>1391</v>
      </c>
    </row>
    <row r="250" ht="17.25" customHeight="1">
      <c r="A250" s="205" t="s">
        <v>1392</v>
      </c>
      <c r="F250" s="205" t="s">
        <v>268</v>
      </c>
      <c r="G250" s="205" t="s">
        <v>271</v>
      </c>
      <c r="H250" s="205">
        <v>3.01808863E8</v>
      </c>
      <c r="I250" s="205" t="s">
        <v>1158</v>
      </c>
      <c r="K250" s="205" t="s">
        <v>1132</v>
      </c>
      <c r="L250" s="205" t="s">
        <v>271</v>
      </c>
      <c r="R250" s="205" t="s">
        <v>1393</v>
      </c>
      <c r="T250" s="205" t="s">
        <v>271</v>
      </c>
      <c r="X250" s="205" t="s">
        <v>727</v>
      </c>
      <c r="AH250" s="205" t="s">
        <v>1394</v>
      </c>
      <c r="AI250" s="205" t="s">
        <v>1395</v>
      </c>
    </row>
    <row r="251" ht="17.25" customHeight="1">
      <c r="A251" s="205" t="s">
        <v>1396</v>
      </c>
      <c r="F251" s="205" t="s">
        <v>268</v>
      </c>
      <c r="G251" s="205" t="s">
        <v>271</v>
      </c>
      <c r="H251" s="205">
        <v>3.03462674E8</v>
      </c>
      <c r="I251" s="205" t="s">
        <v>1158</v>
      </c>
      <c r="K251" s="205" t="s">
        <v>1135</v>
      </c>
      <c r="L251" s="205" t="s">
        <v>271</v>
      </c>
      <c r="R251" s="205" t="s">
        <v>1397</v>
      </c>
      <c r="T251" s="205" t="s">
        <v>271</v>
      </c>
      <c r="X251" s="205" t="s">
        <v>1398</v>
      </c>
      <c r="AH251" s="205" t="s">
        <v>1399</v>
      </c>
    </row>
    <row r="252" ht="17.25" customHeight="1">
      <c r="A252" s="205" t="s">
        <v>1223</v>
      </c>
      <c r="F252" s="205" t="s">
        <v>268</v>
      </c>
      <c r="G252" s="205" t="s">
        <v>271</v>
      </c>
      <c r="H252" s="205">
        <v>3.26454434E8</v>
      </c>
      <c r="I252" s="205" t="s">
        <v>1158</v>
      </c>
      <c r="K252" s="205" t="s">
        <v>1148</v>
      </c>
      <c r="L252" s="205" t="s">
        <v>271</v>
      </c>
      <c r="R252" s="205" t="s">
        <v>1400</v>
      </c>
      <c r="T252" s="205" t="s">
        <v>271</v>
      </c>
      <c r="X252" s="205" t="s">
        <v>795</v>
      </c>
      <c r="AH252" s="205" t="s">
        <v>1401</v>
      </c>
      <c r="AI252" s="205" t="s">
        <v>1402</v>
      </c>
      <c r="AJ252" s="205" t="s">
        <v>1403</v>
      </c>
      <c r="AK252" s="205" t="s">
        <v>1404</v>
      </c>
      <c r="AL252" s="205" t="s">
        <v>1405</v>
      </c>
    </row>
    <row r="253" ht="17.25" customHeight="1">
      <c r="A253" s="205" t="s">
        <v>1406</v>
      </c>
      <c r="F253" s="205" t="s">
        <v>268</v>
      </c>
      <c r="G253" s="205" t="s">
        <v>271</v>
      </c>
      <c r="H253" s="205">
        <v>3.28704017E8</v>
      </c>
      <c r="I253" s="205" t="s">
        <v>1158</v>
      </c>
      <c r="K253" s="205" t="s">
        <v>369</v>
      </c>
      <c r="L253" s="205" t="s">
        <v>268</v>
      </c>
      <c r="R253" s="205" t="s">
        <v>1407</v>
      </c>
      <c r="T253" s="205" t="s">
        <v>271</v>
      </c>
      <c r="X253" s="205" t="s">
        <v>1408</v>
      </c>
      <c r="AH253" s="205" t="s">
        <v>1409</v>
      </c>
      <c r="AI253" s="205" t="s">
        <v>1410</v>
      </c>
      <c r="AJ253" s="205" t="s">
        <v>1411</v>
      </c>
      <c r="AK253" s="205" t="s">
        <v>1412</v>
      </c>
      <c r="AL253" s="205" t="s">
        <v>1413</v>
      </c>
    </row>
    <row r="254" ht="17.25" customHeight="1">
      <c r="A254" s="205" t="s">
        <v>1414</v>
      </c>
      <c r="F254" s="205" t="s">
        <v>268</v>
      </c>
      <c r="G254" s="205" t="s">
        <v>271</v>
      </c>
      <c r="H254" s="205">
        <v>3.28705498E8</v>
      </c>
      <c r="I254" s="205" t="s">
        <v>1158</v>
      </c>
      <c r="K254" s="205" t="s">
        <v>353</v>
      </c>
      <c r="L254" s="205" t="s">
        <v>268</v>
      </c>
      <c r="P254" s="205" t="s">
        <v>1414</v>
      </c>
      <c r="Q254" s="205" t="s">
        <v>1415</v>
      </c>
      <c r="R254" s="205" t="s">
        <v>1416</v>
      </c>
      <c r="T254" s="205" t="s">
        <v>271</v>
      </c>
      <c r="X254" s="205" t="s">
        <v>1408</v>
      </c>
      <c r="AH254" s="205" t="s">
        <v>1417</v>
      </c>
      <c r="AI254" s="205" t="s">
        <v>1418</v>
      </c>
      <c r="AJ254" s="205" t="s">
        <v>1419</v>
      </c>
      <c r="AK254" s="205" t="s">
        <v>1420</v>
      </c>
      <c r="AL254" s="205" t="s">
        <v>1421</v>
      </c>
    </row>
    <row r="255" ht="17.25" customHeight="1">
      <c r="A255" s="205" t="s">
        <v>1422</v>
      </c>
      <c r="F255" s="205" t="s">
        <v>268</v>
      </c>
      <c r="G255" s="205" t="s">
        <v>271</v>
      </c>
      <c r="H255" s="205">
        <v>3.28710436E8</v>
      </c>
      <c r="I255" s="205" t="s">
        <v>1158</v>
      </c>
      <c r="K255" s="205" t="s">
        <v>372</v>
      </c>
      <c r="L255" s="205" t="s">
        <v>268</v>
      </c>
      <c r="P255" s="205" t="s">
        <v>1423</v>
      </c>
      <c r="Q255" s="205" t="s">
        <v>1424</v>
      </c>
      <c r="R255" s="205" t="s">
        <v>1425</v>
      </c>
      <c r="T255" s="205" t="s">
        <v>271</v>
      </c>
      <c r="X255" s="205" t="s">
        <v>1408</v>
      </c>
      <c r="AH255" s="205" t="s">
        <v>1426</v>
      </c>
      <c r="AI255" s="205" t="s">
        <v>1427</v>
      </c>
      <c r="AJ255" s="205" t="s">
        <v>1428</v>
      </c>
      <c r="AK255" s="205" t="s">
        <v>1429</v>
      </c>
      <c r="AL255" s="205" t="s">
        <v>1430</v>
      </c>
    </row>
    <row r="256" ht="17.25" customHeight="1">
      <c r="A256" s="205" t="s">
        <v>1431</v>
      </c>
      <c r="F256" s="205" t="s">
        <v>268</v>
      </c>
      <c r="G256" s="205" t="s">
        <v>271</v>
      </c>
      <c r="H256" s="205">
        <v>3.2967713E8</v>
      </c>
      <c r="I256" s="205" t="s">
        <v>1158</v>
      </c>
      <c r="K256" s="205" t="s">
        <v>358</v>
      </c>
      <c r="L256" s="205" t="s">
        <v>268</v>
      </c>
      <c r="P256" s="205" t="s">
        <v>1431</v>
      </c>
      <c r="Q256" s="205" t="s">
        <v>1432</v>
      </c>
      <c r="R256" s="205" t="s">
        <v>1433</v>
      </c>
      <c r="T256" s="205" t="s">
        <v>271</v>
      </c>
      <c r="X256" s="205" t="s">
        <v>80</v>
      </c>
      <c r="AH256" s="205" t="s">
        <v>1434</v>
      </c>
      <c r="AI256" s="205" t="s">
        <v>1435</v>
      </c>
      <c r="AJ256" s="205" t="s">
        <v>1436</v>
      </c>
      <c r="AK256" s="205" t="s">
        <v>1437</v>
      </c>
    </row>
    <row r="257" ht="17.25" customHeight="1">
      <c r="A257" s="205" t="s">
        <v>1438</v>
      </c>
      <c r="F257" s="205" t="s">
        <v>268</v>
      </c>
      <c r="G257" s="205" t="s">
        <v>271</v>
      </c>
      <c r="H257" s="205">
        <v>3.29740268E8</v>
      </c>
      <c r="I257" s="205" t="s">
        <v>1158</v>
      </c>
      <c r="K257" s="205" t="s">
        <v>431</v>
      </c>
      <c r="L257" s="205" t="s">
        <v>268</v>
      </c>
      <c r="P257" s="205" t="s">
        <v>1438</v>
      </c>
      <c r="Q257" s="205" t="s">
        <v>1439</v>
      </c>
      <c r="R257" s="205" t="s">
        <v>1440</v>
      </c>
      <c r="T257" s="205" t="s">
        <v>271</v>
      </c>
      <c r="X257" s="205" t="s">
        <v>80</v>
      </c>
      <c r="AH257" s="205" t="s">
        <v>1441</v>
      </c>
      <c r="AI257" s="205" t="s">
        <v>1442</v>
      </c>
      <c r="AJ257" s="205" t="s">
        <v>1443</v>
      </c>
    </row>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BA$257">
    <filterColumn colId="5">
      <filters>
        <filter val="S"/>
      </filters>
    </filterColumn>
    <sortState ref="A1:BA257">
      <sortCondition descending="1" ref="B1:B257"/>
    </sortState>
  </autoFilter>
  <printOptions/>
  <pageMargins bottom="0.75" footer="0.0" header="0.0" left="0.7" right="0.7" top="0.75"/>
  <pageSetup orientation="landscape"/>
  <drawing r:id="rId1"/>
</worksheet>
</file>